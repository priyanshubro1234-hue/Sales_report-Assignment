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47CE04B9-7C5F-43D8-9263-16DAFA40265B}" xr6:coauthVersionLast="47" xr6:coauthVersionMax="47" xr10:uidLastSave="{00000000-0000-0000-0000-000000000000}"/>
  <bookViews>
    <workbookView xWindow="-108" yWindow="-108" windowWidth="23256" windowHeight="12456" xr2:uid="{6C11048B-6E86-4A1A-BAB5-D0170D40BCF9}"/>
  </bookViews>
  <sheets>
    <sheet name="Dataset &amp; Q1" sheetId="1" r:id="rId1"/>
    <sheet name="Q2" sheetId="2" r:id="rId2"/>
    <sheet name="Q3" sheetId="4" r:id="rId3"/>
    <sheet name="Q4" sheetId="3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  <sheet name="Q11" sheetId="11" r:id="rId11"/>
    <sheet name="Q12" sheetId="12" r:id="rId12"/>
    <sheet name="Q13" sheetId="13" r:id="rId13"/>
    <sheet name="Q14" sheetId="14" r:id="rId14"/>
  </sheets>
  <definedNames>
    <definedName name="_xlnm._FilterDatabase" localSheetId="0" hidden="1">'Dataset &amp; Q1'!$A$1:$I$101</definedName>
    <definedName name="_xlnm._FilterDatabase" localSheetId="1" hidden="1">'Q2'!$A$1:$K$401</definedName>
    <definedName name="_xlnm._FilterDatabase" localSheetId="6" hidden="1">'Q7'!$A$1:$L$101</definedName>
  </definedNames>
  <calcPr calcId="191029"/>
  <pivotCaches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4" l="1"/>
  <c r="L10" i="14"/>
  <c r="L9" i="14"/>
  <c r="L8" i="14"/>
  <c r="L7" i="14"/>
  <c r="L6" i="14"/>
  <c r="L5" i="14"/>
  <c r="L4" i="14"/>
  <c r="L3" i="14"/>
  <c r="L2" i="14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318" i="13"/>
  <c r="L319" i="13"/>
  <c r="L320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392" i="13"/>
  <c r="L393" i="13"/>
  <c r="L394" i="13"/>
  <c r="L395" i="13"/>
  <c r="L396" i="13"/>
  <c r="L397" i="13"/>
  <c r="L398" i="13"/>
  <c r="L399" i="13"/>
  <c r="L400" i="13"/>
  <c r="L401" i="13"/>
  <c r="L2" i="13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8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334" i="12"/>
  <c r="N335" i="12"/>
  <c r="N336" i="12"/>
  <c r="N337" i="12"/>
  <c r="N338" i="12"/>
  <c r="N339" i="12"/>
  <c r="N340" i="12"/>
  <c r="N341" i="12"/>
  <c r="N342" i="12"/>
  <c r="N343" i="12"/>
  <c r="N344" i="12"/>
  <c r="N345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6" i="12"/>
  <c r="N377" i="12"/>
  <c r="N378" i="12"/>
  <c r="N379" i="12"/>
  <c r="N380" i="12"/>
  <c r="N381" i="12"/>
  <c r="N382" i="12"/>
  <c r="N383" i="12"/>
  <c r="N384" i="12"/>
  <c r="N385" i="12"/>
  <c r="N386" i="12"/>
  <c r="N387" i="12"/>
  <c r="N388" i="12"/>
  <c r="N389" i="12"/>
  <c r="N390" i="12"/>
  <c r="N391" i="12"/>
  <c r="N392" i="12"/>
  <c r="N393" i="12"/>
  <c r="N394" i="12"/>
  <c r="N395" i="12"/>
  <c r="N396" i="12"/>
  <c r="N397" i="12"/>
  <c r="N398" i="12"/>
  <c r="N399" i="12"/>
  <c r="N400" i="12"/>
  <c r="N401" i="12"/>
  <c r="N2" i="12"/>
  <c r="L102" i="12"/>
  <c r="M102" i="12"/>
  <c r="L103" i="12"/>
  <c r="M103" i="12"/>
  <c r="L104" i="12"/>
  <c r="M104" i="12"/>
  <c r="L105" i="12"/>
  <c r="M105" i="12"/>
  <c r="L106" i="12"/>
  <c r="M106" i="12"/>
  <c r="L107" i="12"/>
  <c r="M107" i="12"/>
  <c r="L108" i="12"/>
  <c r="M108" i="12"/>
  <c r="L109" i="12"/>
  <c r="M109" i="12"/>
  <c r="L110" i="12"/>
  <c r="M110" i="12"/>
  <c r="L111" i="12"/>
  <c r="M111" i="12"/>
  <c r="L112" i="12"/>
  <c r="M112" i="12"/>
  <c r="L113" i="12"/>
  <c r="M113" i="12"/>
  <c r="L114" i="12"/>
  <c r="M114" i="12"/>
  <c r="L115" i="12"/>
  <c r="M115" i="12"/>
  <c r="L116" i="12"/>
  <c r="M116" i="12"/>
  <c r="L117" i="12"/>
  <c r="M117" i="12"/>
  <c r="L118" i="12"/>
  <c r="M118" i="12"/>
  <c r="L119" i="12"/>
  <c r="M119" i="12"/>
  <c r="L120" i="12"/>
  <c r="M120" i="12"/>
  <c r="L121" i="12"/>
  <c r="M121" i="12"/>
  <c r="L122" i="12"/>
  <c r="M122" i="12"/>
  <c r="L123" i="12"/>
  <c r="M123" i="12"/>
  <c r="L124" i="12"/>
  <c r="M124" i="12"/>
  <c r="L125" i="12"/>
  <c r="M125" i="12"/>
  <c r="L126" i="12"/>
  <c r="M126" i="12"/>
  <c r="L127" i="12"/>
  <c r="M127" i="12"/>
  <c r="L128" i="12"/>
  <c r="M128" i="12"/>
  <c r="L129" i="12"/>
  <c r="M129" i="12"/>
  <c r="L130" i="12"/>
  <c r="M130" i="12"/>
  <c r="L131" i="12"/>
  <c r="M131" i="12"/>
  <c r="L132" i="12"/>
  <c r="M132" i="12"/>
  <c r="L133" i="12"/>
  <c r="M133" i="12"/>
  <c r="L134" i="12"/>
  <c r="M134" i="12"/>
  <c r="L135" i="12"/>
  <c r="M135" i="12"/>
  <c r="L136" i="12"/>
  <c r="M136" i="12"/>
  <c r="L137" i="12"/>
  <c r="M137" i="12"/>
  <c r="L138" i="12"/>
  <c r="M138" i="12"/>
  <c r="L139" i="12"/>
  <c r="M139" i="12"/>
  <c r="L140" i="12"/>
  <c r="M140" i="12"/>
  <c r="L141" i="12"/>
  <c r="M141" i="12"/>
  <c r="L142" i="12"/>
  <c r="M142" i="12"/>
  <c r="L143" i="12"/>
  <c r="M143" i="12"/>
  <c r="L144" i="12"/>
  <c r="M144" i="12"/>
  <c r="L145" i="12"/>
  <c r="M145" i="12"/>
  <c r="L146" i="12"/>
  <c r="M146" i="12"/>
  <c r="L147" i="12"/>
  <c r="M147" i="12"/>
  <c r="L148" i="12"/>
  <c r="M148" i="12"/>
  <c r="L149" i="12"/>
  <c r="M149" i="12"/>
  <c r="L150" i="12"/>
  <c r="M150" i="12"/>
  <c r="L151" i="12"/>
  <c r="M151" i="12"/>
  <c r="L152" i="12"/>
  <c r="M152" i="12"/>
  <c r="L153" i="12"/>
  <c r="M153" i="12"/>
  <c r="L154" i="12"/>
  <c r="M154" i="12"/>
  <c r="L155" i="12"/>
  <c r="M155" i="12"/>
  <c r="L156" i="12"/>
  <c r="M156" i="12"/>
  <c r="L157" i="12"/>
  <c r="M157" i="12"/>
  <c r="L158" i="12"/>
  <c r="M158" i="12"/>
  <c r="L159" i="12"/>
  <c r="M159" i="12"/>
  <c r="L160" i="12"/>
  <c r="M160" i="12"/>
  <c r="L161" i="12"/>
  <c r="M161" i="12"/>
  <c r="L162" i="12"/>
  <c r="M162" i="12"/>
  <c r="L163" i="12"/>
  <c r="M163" i="12"/>
  <c r="L164" i="12"/>
  <c r="M164" i="12"/>
  <c r="L165" i="12"/>
  <c r="M165" i="12"/>
  <c r="L166" i="12"/>
  <c r="M166" i="12"/>
  <c r="L167" i="12"/>
  <c r="M167" i="12"/>
  <c r="L168" i="12"/>
  <c r="M168" i="12"/>
  <c r="L169" i="12"/>
  <c r="M169" i="12"/>
  <c r="L170" i="12"/>
  <c r="M170" i="12"/>
  <c r="L171" i="12"/>
  <c r="M171" i="12"/>
  <c r="L172" i="12"/>
  <c r="M172" i="12"/>
  <c r="L173" i="12"/>
  <c r="M173" i="12"/>
  <c r="L174" i="12"/>
  <c r="M174" i="12"/>
  <c r="L175" i="12"/>
  <c r="M175" i="12"/>
  <c r="L176" i="12"/>
  <c r="M176" i="12"/>
  <c r="L177" i="12"/>
  <c r="M177" i="12"/>
  <c r="L178" i="12"/>
  <c r="M178" i="12"/>
  <c r="L179" i="12"/>
  <c r="M179" i="12"/>
  <c r="L180" i="12"/>
  <c r="M180" i="12"/>
  <c r="L181" i="12"/>
  <c r="M181" i="12"/>
  <c r="L182" i="12"/>
  <c r="M182" i="12"/>
  <c r="L183" i="12"/>
  <c r="M183" i="12"/>
  <c r="L184" i="12"/>
  <c r="M184" i="12"/>
  <c r="L185" i="12"/>
  <c r="M185" i="12"/>
  <c r="L186" i="12"/>
  <c r="M186" i="12"/>
  <c r="L187" i="12"/>
  <c r="M187" i="12"/>
  <c r="L188" i="12"/>
  <c r="M188" i="12"/>
  <c r="L189" i="12"/>
  <c r="M189" i="12"/>
  <c r="L190" i="12"/>
  <c r="M190" i="12"/>
  <c r="L191" i="12"/>
  <c r="M191" i="12"/>
  <c r="L192" i="12"/>
  <c r="M192" i="12"/>
  <c r="L193" i="12"/>
  <c r="M193" i="12"/>
  <c r="L194" i="12"/>
  <c r="M194" i="12"/>
  <c r="L195" i="12"/>
  <c r="M195" i="12"/>
  <c r="L196" i="12"/>
  <c r="M196" i="12"/>
  <c r="L197" i="12"/>
  <c r="M197" i="12"/>
  <c r="L198" i="12"/>
  <c r="M198" i="12"/>
  <c r="L199" i="12"/>
  <c r="M199" i="12"/>
  <c r="L200" i="12"/>
  <c r="M200" i="12"/>
  <c r="L201" i="12"/>
  <c r="M201" i="12"/>
  <c r="L202" i="12"/>
  <c r="M202" i="12"/>
  <c r="L203" i="12"/>
  <c r="M203" i="12"/>
  <c r="L204" i="12"/>
  <c r="M204" i="12"/>
  <c r="L205" i="12"/>
  <c r="M205" i="12"/>
  <c r="L206" i="12"/>
  <c r="M206" i="12"/>
  <c r="L207" i="12"/>
  <c r="M207" i="12"/>
  <c r="L208" i="12"/>
  <c r="M208" i="12"/>
  <c r="L209" i="12"/>
  <c r="M209" i="12"/>
  <c r="L210" i="12"/>
  <c r="M210" i="12"/>
  <c r="L211" i="12"/>
  <c r="M211" i="12"/>
  <c r="L212" i="12"/>
  <c r="M212" i="12"/>
  <c r="L213" i="12"/>
  <c r="M213" i="12"/>
  <c r="L214" i="12"/>
  <c r="M214" i="12"/>
  <c r="L215" i="12"/>
  <c r="M215" i="12"/>
  <c r="L216" i="12"/>
  <c r="M216" i="12"/>
  <c r="L217" i="12"/>
  <c r="M217" i="12"/>
  <c r="L218" i="12"/>
  <c r="M218" i="12"/>
  <c r="L219" i="12"/>
  <c r="M219" i="12"/>
  <c r="L220" i="12"/>
  <c r="M220" i="12"/>
  <c r="L221" i="12"/>
  <c r="M221" i="12"/>
  <c r="L222" i="12"/>
  <c r="M222" i="12"/>
  <c r="L223" i="12"/>
  <c r="M223" i="12"/>
  <c r="L224" i="12"/>
  <c r="M224" i="12"/>
  <c r="L225" i="12"/>
  <c r="M225" i="12"/>
  <c r="L226" i="12"/>
  <c r="M226" i="12"/>
  <c r="L227" i="12"/>
  <c r="M227" i="12"/>
  <c r="L228" i="12"/>
  <c r="M228" i="12"/>
  <c r="L229" i="12"/>
  <c r="M229" i="12"/>
  <c r="L230" i="12"/>
  <c r="M230" i="12"/>
  <c r="L231" i="12"/>
  <c r="M231" i="12"/>
  <c r="L232" i="12"/>
  <c r="M232" i="12"/>
  <c r="L233" i="12"/>
  <c r="M233" i="12"/>
  <c r="L234" i="12"/>
  <c r="M234" i="12"/>
  <c r="L235" i="12"/>
  <c r="M235" i="12"/>
  <c r="L236" i="12"/>
  <c r="M236" i="12"/>
  <c r="L237" i="12"/>
  <c r="M237" i="12"/>
  <c r="L238" i="12"/>
  <c r="M238" i="12"/>
  <c r="L239" i="12"/>
  <c r="M239" i="12"/>
  <c r="L240" i="12"/>
  <c r="M240" i="12"/>
  <c r="L241" i="12"/>
  <c r="M241" i="12"/>
  <c r="L242" i="12"/>
  <c r="M242" i="12"/>
  <c r="L243" i="12"/>
  <c r="M243" i="12"/>
  <c r="L244" i="12"/>
  <c r="M244" i="12"/>
  <c r="L245" i="12"/>
  <c r="M245" i="12"/>
  <c r="L246" i="12"/>
  <c r="M246" i="12"/>
  <c r="L247" i="12"/>
  <c r="M247" i="12"/>
  <c r="L248" i="12"/>
  <c r="M248" i="12"/>
  <c r="L249" i="12"/>
  <c r="M249" i="12"/>
  <c r="L250" i="12"/>
  <c r="M250" i="12"/>
  <c r="L251" i="12"/>
  <c r="M251" i="12"/>
  <c r="L252" i="12"/>
  <c r="M252" i="12"/>
  <c r="L253" i="12"/>
  <c r="M253" i="12"/>
  <c r="L254" i="12"/>
  <c r="M254" i="12"/>
  <c r="L255" i="12"/>
  <c r="M255" i="12"/>
  <c r="L256" i="12"/>
  <c r="M256" i="12"/>
  <c r="L257" i="12"/>
  <c r="M257" i="12"/>
  <c r="L258" i="12"/>
  <c r="M258" i="12"/>
  <c r="L259" i="12"/>
  <c r="M259" i="12"/>
  <c r="L260" i="12"/>
  <c r="M260" i="12"/>
  <c r="L261" i="12"/>
  <c r="M261" i="12"/>
  <c r="L262" i="12"/>
  <c r="M262" i="12"/>
  <c r="L263" i="12"/>
  <c r="M263" i="12"/>
  <c r="L264" i="12"/>
  <c r="M264" i="12"/>
  <c r="L265" i="12"/>
  <c r="M265" i="12"/>
  <c r="L266" i="12"/>
  <c r="M266" i="12"/>
  <c r="L267" i="12"/>
  <c r="M267" i="12"/>
  <c r="L268" i="12"/>
  <c r="M268" i="12"/>
  <c r="L269" i="12"/>
  <c r="M269" i="12"/>
  <c r="L270" i="12"/>
  <c r="M270" i="12"/>
  <c r="L271" i="12"/>
  <c r="M271" i="12"/>
  <c r="L272" i="12"/>
  <c r="M272" i="12"/>
  <c r="L273" i="12"/>
  <c r="M273" i="12"/>
  <c r="L274" i="12"/>
  <c r="M274" i="12"/>
  <c r="L275" i="12"/>
  <c r="M275" i="12"/>
  <c r="L276" i="12"/>
  <c r="M276" i="12"/>
  <c r="L277" i="12"/>
  <c r="M277" i="12"/>
  <c r="L278" i="12"/>
  <c r="M278" i="12"/>
  <c r="L279" i="12"/>
  <c r="M279" i="12"/>
  <c r="L280" i="12"/>
  <c r="M280" i="12"/>
  <c r="L281" i="12"/>
  <c r="M281" i="12"/>
  <c r="L282" i="12"/>
  <c r="M282" i="12"/>
  <c r="L283" i="12"/>
  <c r="M283" i="12"/>
  <c r="L284" i="12"/>
  <c r="M284" i="12"/>
  <c r="L285" i="12"/>
  <c r="M285" i="12"/>
  <c r="L286" i="12"/>
  <c r="M286" i="12"/>
  <c r="L287" i="12"/>
  <c r="M287" i="12"/>
  <c r="L288" i="12"/>
  <c r="M288" i="12"/>
  <c r="L289" i="12"/>
  <c r="M289" i="12"/>
  <c r="L290" i="12"/>
  <c r="M290" i="12"/>
  <c r="L291" i="12"/>
  <c r="M291" i="12"/>
  <c r="L292" i="12"/>
  <c r="M292" i="12"/>
  <c r="L293" i="12"/>
  <c r="M293" i="12"/>
  <c r="L294" i="12"/>
  <c r="M294" i="12"/>
  <c r="L295" i="12"/>
  <c r="M295" i="12"/>
  <c r="L296" i="12"/>
  <c r="M296" i="12"/>
  <c r="L297" i="12"/>
  <c r="M297" i="12"/>
  <c r="L298" i="12"/>
  <c r="M298" i="12"/>
  <c r="L299" i="12"/>
  <c r="M299" i="12"/>
  <c r="L300" i="12"/>
  <c r="M300" i="12"/>
  <c r="L301" i="12"/>
  <c r="M301" i="12"/>
  <c r="L302" i="12"/>
  <c r="M302" i="12"/>
  <c r="L303" i="12"/>
  <c r="M303" i="12"/>
  <c r="L304" i="12"/>
  <c r="M304" i="12"/>
  <c r="L305" i="12"/>
  <c r="M305" i="12"/>
  <c r="L306" i="12"/>
  <c r="M306" i="12"/>
  <c r="L307" i="12"/>
  <c r="M307" i="12"/>
  <c r="L308" i="12"/>
  <c r="M308" i="12"/>
  <c r="L309" i="12"/>
  <c r="M309" i="12"/>
  <c r="L310" i="12"/>
  <c r="M310" i="12"/>
  <c r="L311" i="12"/>
  <c r="M311" i="12"/>
  <c r="L312" i="12"/>
  <c r="M312" i="12"/>
  <c r="L313" i="12"/>
  <c r="M313" i="12"/>
  <c r="L314" i="12"/>
  <c r="M314" i="12"/>
  <c r="L315" i="12"/>
  <c r="M315" i="12"/>
  <c r="L316" i="12"/>
  <c r="M316" i="12"/>
  <c r="L317" i="12"/>
  <c r="M317" i="12"/>
  <c r="L318" i="12"/>
  <c r="M318" i="12"/>
  <c r="L319" i="12"/>
  <c r="M319" i="12"/>
  <c r="L320" i="12"/>
  <c r="M320" i="12"/>
  <c r="L321" i="12"/>
  <c r="M321" i="12"/>
  <c r="L322" i="12"/>
  <c r="M322" i="12"/>
  <c r="L323" i="12"/>
  <c r="M323" i="12"/>
  <c r="L324" i="12"/>
  <c r="M324" i="12"/>
  <c r="L325" i="12"/>
  <c r="M325" i="12"/>
  <c r="L326" i="12"/>
  <c r="M326" i="12"/>
  <c r="L327" i="12"/>
  <c r="M327" i="12"/>
  <c r="L328" i="12"/>
  <c r="M328" i="12"/>
  <c r="L329" i="12"/>
  <c r="M329" i="12"/>
  <c r="L330" i="12"/>
  <c r="M330" i="12"/>
  <c r="L331" i="12"/>
  <c r="M331" i="12"/>
  <c r="L332" i="12"/>
  <c r="M332" i="12"/>
  <c r="L333" i="12"/>
  <c r="M333" i="12"/>
  <c r="L334" i="12"/>
  <c r="M334" i="12"/>
  <c r="L335" i="12"/>
  <c r="M335" i="12"/>
  <c r="L336" i="12"/>
  <c r="M336" i="12"/>
  <c r="L337" i="12"/>
  <c r="M337" i="12"/>
  <c r="L338" i="12"/>
  <c r="M338" i="12"/>
  <c r="L339" i="12"/>
  <c r="M339" i="12"/>
  <c r="L340" i="12"/>
  <c r="M340" i="12"/>
  <c r="L341" i="12"/>
  <c r="M341" i="12"/>
  <c r="L342" i="12"/>
  <c r="M342" i="12"/>
  <c r="L343" i="12"/>
  <c r="M343" i="12"/>
  <c r="L344" i="12"/>
  <c r="M344" i="12"/>
  <c r="L345" i="12"/>
  <c r="M345" i="12"/>
  <c r="L346" i="12"/>
  <c r="M346" i="12"/>
  <c r="L347" i="12"/>
  <c r="M347" i="12"/>
  <c r="L348" i="12"/>
  <c r="M348" i="12"/>
  <c r="L349" i="12"/>
  <c r="M349" i="12"/>
  <c r="L350" i="12"/>
  <c r="M350" i="12"/>
  <c r="L351" i="12"/>
  <c r="M351" i="12"/>
  <c r="L352" i="12"/>
  <c r="M352" i="12"/>
  <c r="L353" i="12"/>
  <c r="M353" i="12"/>
  <c r="L354" i="12"/>
  <c r="M354" i="12"/>
  <c r="L355" i="12"/>
  <c r="M355" i="12"/>
  <c r="L356" i="12"/>
  <c r="M356" i="12"/>
  <c r="L357" i="12"/>
  <c r="M357" i="12"/>
  <c r="L358" i="12"/>
  <c r="M358" i="12"/>
  <c r="L359" i="12"/>
  <c r="M359" i="12"/>
  <c r="L360" i="12"/>
  <c r="M360" i="12"/>
  <c r="L361" i="12"/>
  <c r="M361" i="12"/>
  <c r="L362" i="12"/>
  <c r="M362" i="12"/>
  <c r="L363" i="12"/>
  <c r="M363" i="12"/>
  <c r="L364" i="12"/>
  <c r="M364" i="12"/>
  <c r="L365" i="12"/>
  <c r="M365" i="12"/>
  <c r="L366" i="12"/>
  <c r="M366" i="12"/>
  <c r="L367" i="12"/>
  <c r="M367" i="12"/>
  <c r="L368" i="12"/>
  <c r="M368" i="12"/>
  <c r="L369" i="12"/>
  <c r="M369" i="12"/>
  <c r="L370" i="12"/>
  <c r="M370" i="12"/>
  <c r="L371" i="12"/>
  <c r="M371" i="12"/>
  <c r="L372" i="12"/>
  <c r="M372" i="12"/>
  <c r="L373" i="12"/>
  <c r="M373" i="12"/>
  <c r="L374" i="12"/>
  <c r="M374" i="12"/>
  <c r="L375" i="12"/>
  <c r="M375" i="12"/>
  <c r="L376" i="12"/>
  <c r="M376" i="12"/>
  <c r="L377" i="12"/>
  <c r="M377" i="12"/>
  <c r="L378" i="12"/>
  <c r="M378" i="12"/>
  <c r="L379" i="12"/>
  <c r="M379" i="12"/>
  <c r="L380" i="12"/>
  <c r="M380" i="12"/>
  <c r="L381" i="12"/>
  <c r="M381" i="12"/>
  <c r="L382" i="12"/>
  <c r="M382" i="12"/>
  <c r="L383" i="12"/>
  <c r="M383" i="12"/>
  <c r="L384" i="12"/>
  <c r="M384" i="12"/>
  <c r="L385" i="12"/>
  <c r="M385" i="12"/>
  <c r="L386" i="12"/>
  <c r="M386" i="12"/>
  <c r="L387" i="12"/>
  <c r="M387" i="12"/>
  <c r="L388" i="12"/>
  <c r="M388" i="12"/>
  <c r="L389" i="12"/>
  <c r="M389" i="12"/>
  <c r="L390" i="12"/>
  <c r="M390" i="12"/>
  <c r="L391" i="12"/>
  <c r="M391" i="12"/>
  <c r="L392" i="12"/>
  <c r="M392" i="12"/>
  <c r="L393" i="12"/>
  <c r="M393" i="12"/>
  <c r="L394" i="12"/>
  <c r="M394" i="12"/>
  <c r="L395" i="12"/>
  <c r="M395" i="12"/>
  <c r="L396" i="12"/>
  <c r="M396" i="12"/>
  <c r="L397" i="12"/>
  <c r="M397" i="12"/>
  <c r="L398" i="12"/>
  <c r="M398" i="12"/>
  <c r="L399" i="12"/>
  <c r="M399" i="12"/>
  <c r="L400" i="12"/>
  <c r="M400" i="12"/>
  <c r="L401" i="12"/>
  <c r="M401" i="12"/>
  <c r="L102" i="11"/>
  <c r="M102" i="11"/>
  <c r="N102" i="11"/>
  <c r="L103" i="11"/>
  <c r="M103" i="11"/>
  <c r="N103" i="11"/>
  <c r="L104" i="11"/>
  <c r="M104" i="11"/>
  <c r="N104" i="11"/>
  <c r="L105" i="11"/>
  <c r="M105" i="11"/>
  <c r="N105" i="11"/>
  <c r="L106" i="11"/>
  <c r="M106" i="11"/>
  <c r="N106" i="11"/>
  <c r="L107" i="11"/>
  <c r="M107" i="11"/>
  <c r="N107" i="11"/>
  <c r="L108" i="11"/>
  <c r="M108" i="11"/>
  <c r="N108" i="11"/>
  <c r="L109" i="11"/>
  <c r="M109" i="11"/>
  <c r="N109" i="11"/>
  <c r="L110" i="11"/>
  <c r="M110" i="11"/>
  <c r="N110" i="11"/>
  <c r="L111" i="11"/>
  <c r="M111" i="11"/>
  <c r="N111" i="11"/>
  <c r="L112" i="11"/>
  <c r="M112" i="11"/>
  <c r="N112" i="11"/>
  <c r="L113" i="11"/>
  <c r="M113" i="11"/>
  <c r="N113" i="11"/>
  <c r="L114" i="11"/>
  <c r="M114" i="11"/>
  <c r="N114" i="11"/>
  <c r="L115" i="11"/>
  <c r="M115" i="11"/>
  <c r="N115" i="11"/>
  <c r="L116" i="11"/>
  <c r="M116" i="11"/>
  <c r="N116" i="11"/>
  <c r="L117" i="11"/>
  <c r="M117" i="11"/>
  <c r="N117" i="11"/>
  <c r="L118" i="11"/>
  <c r="M118" i="11"/>
  <c r="N118" i="11"/>
  <c r="L119" i="11"/>
  <c r="M119" i="11"/>
  <c r="N119" i="11"/>
  <c r="L120" i="11"/>
  <c r="M120" i="11"/>
  <c r="N120" i="11"/>
  <c r="L121" i="11"/>
  <c r="M121" i="11"/>
  <c r="N121" i="11"/>
  <c r="L122" i="11"/>
  <c r="M122" i="11"/>
  <c r="N122" i="11"/>
  <c r="L123" i="11"/>
  <c r="M123" i="11"/>
  <c r="N123" i="11"/>
  <c r="L124" i="11"/>
  <c r="M124" i="11"/>
  <c r="N124" i="11"/>
  <c r="L125" i="11"/>
  <c r="M125" i="11"/>
  <c r="N125" i="11"/>
  <c r="L126" i="11"/>
  <c r="M126" i="11"/>
  <c r="N126" i="11"/>
  <c r="L127" i="11"/>
  <c r="M127" i="11"/>
  <c r="N127" i="11"/>
  <c r="L128" i="11"/>
  <c r="M128" i="11"/>
  <c r="N128" i="11"/>
  <c r="L129" i="11"/>
  <c r="M129" i="11"/>
  <c r="N129" i="11"/>
  <c r="L130" i="11"/>
  <c r="M130" i="11"/>
  <c r="N130" i="11"/>
  <c r="L131" i="11"/>
  <c r="M131" i="11"/>
  <c r="N131" i="11"/>
  <c r="L132" i="11"/>
  <c r="M132" i="11"/>
  <c r="N132" i="11"/>
  <c r="L133" i="11"/>
  <c r="M133" i="11"/>
  <c r="N133" i="11"/>
  <c r="L134" i="11"/>
  <c r="M134" i="11"/>
  <c r="N134" i="11"/>
  <c r="L135" i="11"/>
  <c r="M135" i="11"/>
  <c r="N135" i="11"/>
  <c r="L136" i="11"/>
  <c r="M136" i="11"/>
  <c r="N136" i="11"/>
  <c r="L137" i="11"/>
  <c r="M137" i="11"/>
  <c r="N137" i="11"/>
  <c r="L138" i="11"/>
  <c r="M138" i="11"/>
  <c r="N138" i="11"/>
  <c r="L139" i="11"/>
  <c r="M139" i="11"/>
  <c r="N139" i="11"/>
  <c r="L140" i="11"/>
  <c r="M140" i="11"/>
  <c r="N140" i="11"/>
  <c r="L141" i="11"/>
  <c r="M141" i="11"/>
  <c r="N141" i="11"/>
  <c r="L142" i="11"/>
  <c r="M142" i="11"/>
  <c r="N142" i="11"/>
  <c r="L143" i="11"/>
  <c r="M143" i="11"/>
  <c r="N143" i="11"/>
  <c r="L144" i="11"/>
  <c r="M144" i="11"/>
  <c r="N144" i="11"/>
  <c r="L145" i="11"/>
  <c r="M145" i="11"/>
  <c r="N145" i="11"/>
  <c r="L146" i="11"/>
  <c r="M146" i="11"/>
  <c r="N146" i="11"/>
  <c r="L147" i="11"/>
  <c r="M147" i="11"/>
  <c r="N147" i="11"/>
  <c r="L148" i="11"/>
  <c r="M148" i="11"/>
  <c r="N148" i="11"/>
  <c r="L149" i="11"/>
  <c r="M149" i="11"/>
  <c r="N149" i="11"/>
  <c r="L150" i="11"/>
  <c r="M150" i="11"/>
  <c r="N150" i="11"/>
  <c r="L151" i="11"/>
  <c r="M151" i="11"/>
  <c r="N151" i="11"/>
  <c r="L152" i="11"/>
  <c r="M152" i="11"/>
  <c r="N152" i="11"/>
  <c r="L153" i="11"/>
  <c r="M153" i="11"/>
  <c r="N153" i="11"/>
  <c r="L154" i="11"/>
  <c r="M154" i="11"/>
  <c r="N154" i="11"/>
  <c r="L155" i="11"/>
  <c r="M155" i="11"/>
  <c r="N155" i="11"/>
  <c r="L156" i="11"/>
  <c r="M156" i="11"/>
  <c r="N156" i="11"/>
  <c r="L157" i="11"/>
  <c r="M157" i="11"/>
  <c r="N157" i="11"/>
  <c r="L158" i="11"/>
  <c r="M158" i="11"/>
  <c r="N158" i="11"/>
  <c r="L159" i="11"/>
  <c r="M159" i="11"/>
  <c r="N159" i="11"/>
  <c r="L160" i="11"/>
  <c r="M160" i="11"/>
  <c r="N160" i="11"/>
  <c r="L161" i="11"/>
  <c r="M161" i="11"/>
  <c r="N161" i="11"/>
  <c r="L162" i="11"/>
  <c r="M162" i="11"/>
  <c r="N162" i="11"/>
  <c r="L163" i="11"/>
  <c r="M163" i="11"/>
  <c r="N163" i="11"/>
  <c r="L164" i="11"/>
  <c r="M164" i="11"/>
  <c r="N164" i="11"/>
  <c r="L165" i="11"/>
  <c r="M165" i="11"/>
  <c r="N165" i="11"/>
  <c r="L166" i="11"/>
  <c r="M166" i="11"/>
  <c r="N166" i="11"/>
  <c r="L167" i="11"/>
  <c r="M167" i="11"/>
  <c r="N167" i="11"/>
  <c r="L168" i="11"/>
  <c r="M168" i="11"/>
  <c r="N168" i="11"/>
  <c r="L169" i="11"/>
  <c r="M169" i="11"/>
  <c r="N169" i="11"/>
  <c r="L170" i="11"/>
  <c r="M170" i="11"/>
  <c r="N170" i="11"/>
  <c r="L171" i="11"/>
  <c r="M171" i="11"/>
  <c r="N171" i="11"/>
  <c r="L172" i="11"/>
  <c r="M172" i="11"/>
  <c r="N172" i="11"/>
  <c r="L173" i="11"/>
  <c r="M173" i="11"/>
  <c r="N173" i="11"/>
  <c r="L174" i="11"/>
  <c r="M174" i="11"/>
  <c r="N174" i="11"/>
  <c r="L175" i="11"/>
  <c r="M175" i="11"/>
  <c r="N175" i="11"/>
  <c r="L176" i="11"/>
  <c r="M176" i="11"/>
  <c r="N176" i="11"/>
  <c r="L177" i="11"/>
  <c r="M177" i="11"/>
  <c r="N177" i="11"/>
  <c r="L178" i="11"/>
  <c r="M178" i="11"/>
  <c r="N178" i="11"/>
  <c r="L179" i="11"/>
  <c r="M179" i="11"/>
  <c r="N179" i="11"/>
  <c r="L180" i="11"/>
  <c r="M180" i="11"/>
  <c r="N180" i="11"/>
  <c r="L181" i="11"/>
  <c r="M181" i="11"/>
  <c r="N181" i="11"/>
  <c r="L182" i="11"/>
  <c r="M182" i="11"/>
  <c r="N182" i="11"/>
  <c r="L183" i="11"/>
  <c r="M183" i="11"/>
  <c r="N183" i="11"/>
  <c r="L184" i="11"/>
  <c r="M184" i="11"/>
  <c r="N184" i="11"/>
  <c r="L185" i="11"/>
  <c r="M185" i="11"/>
  <c r="N185" i="11"/>
  <c r="L186" i="11"/>
  <c r="M186" i="11"/>
  <c r="N186" i="11"/>
  <c r="L187" i="11"/>
  <c r="M187" i="11"/>
  <c r="N187" i="11"/>
  <c r="L188" i="11"/>
  <c r="M188" i="11"/>
  <c r="N188" i="11"/>
  <c r="L189" i="11"/>
  <c r="M189" i="11"/>
  <c r="N189" i="11"/>
  <c r="L190" i="11"/>
  <c r="M190" i="11"/>
  <c r="N190" i="11"/>
  <c r="L191" i="11"/>
  <c r="M191" i="11"/>
  <c r="N191" i="11"/>
  <c r="L192" i="11"/>
  <c r="M192" i="11"/>
  <c r="N192" i="11"/>
  <c r="L193" i="11"/>
  <c r="M193" i="11"/>
  <c r="N193" i="11"/>
  <c r="L194" i="11"/>
  <c r="M194" i="11"/>
  <c r="N194" i="11"/>
  <c r="L195" i="11"/>
  <c r="M195" i="11"/>
  <c r="N195" i="11"/>
  <c r="L196" i="11"/>
  <c r="M196" i="11"/>
  <c r="N196" i="11"/>
  <c r="L197" i="11"/>
  <c r="M197" i="11"/>
  <c r="N197" i="11"/>
  <c r="L198" i="11"/>
  <c r="M198" i="11"/>
  <c r="N198" i="11"/>
  <c r="L199" i="11"/>
  <c r="M199" i="11"/>
  <c r="N199" i="11"/>
  <c r="L200" i="11"/>
  <c r="M200" i="11"/>
  <c r="N200" i="11"/>
  <c r="L201" i="11"/>
  <c r="M201" i="11"/>
  <c r="N201" i="11"/>
  <c r="L202" i="11"/>
  <c r="M202" i="11"/>
  <c r="N202" i="11"/>
  <c r="L203" i="11"/>
  <c r="M203" i="11"/>
  <c r="N203" i="11"/>
  <c r="L204" i="11"/>
  <c r="M204" i="11"/>
  <c r="N204" i="11"/>
  <c r="L205" i="11"/>
  <c r="M205" i="11"/>
  <c r="N205" i="11"/>
  <c r="L206" i="11"/>
  <c r="M206" i="11"/>
  <c r="N206" i="11"/>
  <c r="L207" i="11"/>
  <c r="M207" i="11"/>
  <c r="N207" i="11"/>
  <c r="L208" i="11"/>
  <c r="M208" i="11"/>
  <c r="N208" i="11"/>
  <c r="L209" i="11"/>
  <c r="M209" i="11"/>
  <c r="N209" i="11"/>
  <c r="L210" i="11"/>
  <c r="M210" i="11"/>
  <c r="N210" i="11"/>
  <c r="L211" i="11"/>
  <c r="M211" i="11"/>
  <c r="N211" i="11"/>
  <c r="L212" i="11"/>
  <c r="M212" i="11"/>
  <c r="N212" i="11"/>
  <c r="L213" i="11"/>
  <c r="M213" i="11"/>
  <c r="N213" i="11"/>
  <c r="L214" i="11"/>
  <c r="M214" i="11"/>
  <c r="N214" i="11"/>
  <c r="L215" i="11"/>
  <c r="M215" i="11"/>
  <c r="N215" i="11"/>
  <c r="L216" i="11"/>
  <c r="M216" i="11"/>
  <c r="N216" i="11"/>
  <c r="L217" i="11"/>
  <c r="M217" i="11"/>
  <c r="N217" i="11"/>
  <c r="L218" i="11"/>
  <c r="M218" i="11"/>
  <c r="N218" i="11"/>
  <c r="L219" i="11"/>
  <c r="M219" i="11"/>
  <c r="N219" i="11"/>
  <c r="L220" i="11"/>
  <c r="M220" i="11"/>
  <c r="N220" i="11"/>
  <c r="L221" i="11"/>
  <c r="M221" i="11"/>
  <c r="N221" i="11"/>
  <c r="L222" i="11"/>
  <c r="M222" i="11"/>
  <c r="N222" i="11"/>
  <c r="L223" i="11"/>
  <c r="M223" i="11"/>
  <c r="N223" i="11"/>
  <c r="L224" i="11"/>
  <c r="M224" i="11"/>
  <c r="N224" i="11"/>
  <c r="L225" i="11"/>
  <c r="M225" i="11"/>
  <c r="N225" i="11"/>
  <c r="L226" i="11"/>
  <c r="M226" i="11"/>
  <c r="N226" i="11"/>
  <c r="L227" i="11"/>
  <c r="M227" i="11"/>
  <c r="N227" i="11"/>
  <c r="L228" i="11"/>
  <c r="M228" i="11"/>
  <c r="N228" i="11"/>
  <c r="L229" i="11"/>
  <c r="M229" i="11"/>
  <c r="N229" i="11"/>
  <c r="L230" i="11"/>
  <c r="M230" i="11"/>
  <c r="N230" i="11"/>
  <c r="L231" i="11"/>
  <c r="M231" i="11"/>
  <c r="N231" i="11"/>
  <c r="L232" i="11"/>
  <c r="M232" i="11"/>
  <c r="N232" i="11"/>
  <c r="L233" i="11"/>
  <c r="M233" i="11"/>
  <c r="N233" i="11"/>
  <c r="L234" i="11"/>
  <c r="M234" i="11"/>
  <c r="N234" i="11"/>
  <c r="L235" i="11"/>
  <c r="M235" i="11"/>
  <c r="N235" i="11"/>
  <c r="L236" i="11"/>
  <c r="M236" i="11"/>
  <c r="N236" i="11"/>
  <c r="L237" i="11"/>
  <c r="M237" i="11"/>
  <c r="N237" i="11"/>
  <c r="L238" i="11"/>
  <c r="M238" i="11"/>
  <c r="N238" i="11"/>
  <c r="L239" i="11"/>
  <c r="M239" i="11"/>
  <c r="N239" i="11"/>
  <c r="L240" i="11"/>
  <c r="M240" i="11"/>
  <c r="N240" i="11"/>
  <c r="L241" i="11"/>
  <c r="M241" i="11"/>
  <c r="N241" i="11"/>
  <c r="L242" i="11"/>
  <c r="M242" i="11"/>
  <c r="N242" i="11"/>
  <c r="L243" i="11"/>
  <c r="M243" i="11"/>
  <c r="N243" i="11"/>
  <c r="L244" i="11"/>
  <c r="M244" i="11"/>
  <c r="N244" i="11"/>
  <c r="L245" i="11"/>
  <c r="M245" i="11"/>
  <c r="N245" i="11"/>
  <c r="L246" i="11"/>
  <c r="M246" i="11"/>
  <c r="N246" i="11"/>
  <c r="L247" i="11"/>
  <c r="M247" i="11"/>
  <c r="N247" i="11"/>
  <c r="L248" i="11"/>
  <c r="M248" i="11"/>
  <c r="N248" i="11"/>
  <c r="L249" i="11"/>
  <c r="M249" i="11"/>
  <c r="N249" i="11"/>
  <c r="L250" i="11"/>
  <c r="M250" i="11"/>
  <c r="N250" i="11"/>
  <c r="L251" i="11"/>
  <c r="M251" i="11"/>
  <c r="N251" i="11"/>
  <c r="L252" i="11"/>
  <c r="M252" i="11"/>
  <c r="N252" i="11"/>
  <c r="L253" i="11"/>
  <c r="M253" i="11"/>
  <c r="N253" i="11"/>
  <c r="L254" i="11"/>
  <c r="M254" i="11"/>
  <c r="N254" i="11"/>
  <c r="L255" i="11"/>
  <c r="M255" i="11"/>
  <c r="N255" i="11"/>
  <c r="L256" i="11"/>
  <c r="M256" i="11"/>
  <c r="N256" i="11"/>
  <c r="L257" i="11"/>
  <c r="M257" i="11"/>
  <c r="N257" i="11"/>
  <c r="L258" i="11"/>
  <c r="M258" i="11"/>
  <c r="N258" i="11"/>
  <c r="L259" i="11"/>
  <c r="M259" i="11"/>
  <c r="N259" i="11"/>
  <c r="L260" i="11"/>
  <c r="M260" i="11"/>
  <c r="N260" i="11"/>
  <c r="L261" i="11"/>
  <c r="M261" i="11"/>
  <c r="N261" i="11"/>
  <c r="L262" i="11"/>
  <c r="M262" i="11"/>
  <c r="N262" i="11"/>
  <c r="L263" i="11"/>
  <c r="M263" i="11"/>
  <c r="N263" i="11"/>
  <c r="L264" i="11"/>
  <c r="M264" i="11"/>
  <c r="N264" i="11"/>
  <c r="L265" i="11"/>
  <c r="M265" i="11"/>
  <c r="N265" i="11"/>
  <c r="L266" i="11"/>
  <c r="M266" i="11"/>
  <c r="N266" i="11"/>
  <c r="L267" i="11"/>
  <c r="M267" i="11"/>
  <c r="N267" i="11"/>
  <c r="L268" i="11"/>
  <c r="M268" i="11"/>
  <c r="N268" i="11"/>
  <c r="L269" i="11"/>
  <c r="M269" i="11"/>
  <c r="N269" i="11"/>
  <c r="L270" i="11"/>
  <c r="M270" i="11"/>
  <c r="N270" i="11"/>
  <c r="L271" i="11"/>
  <c r="M271" i="11"/>
  <c r="N271" i="11"/>
  <c r="L272" i="11"/>
  <c r="M272" i="11"/>
  <c r="N272" i="11"/>
  <c r="L273" i="11"/>
  <c r="M273" i="11"/>
  <c r="N273" i="11"/>
  <c r="L274" i="11"/>
  <c r="M274" i="11"/>
  <c r="N274" i="11"/>
  <c r="L275" i="11"/>
  <c r="M275" i="11"/>
  <c r="N275" i="11"/>
  <c r="L276" i="11"/>
  <c r="M276" i="11"/>
  <c r="N276" i="11"/>
  <c r="L277" i="11"/>
  <c r="M277" i="11"/>
  <c r="N277" i="11"/>
  <c r="L278" i="11"/>
  <c r="M278" i="11"/>
  <c r="N278" i="11"/>
  <c r="L279" i="11"/>
  <c r="M279" i="11"/>
  <c r="N279" i="11"/>
  <c r="L280" i="11"/>
  <c r="M280" i="11"/>
  <c r="N280" i="11"/>
  <c r="L281" i="11"/>
  <c r="M281" i="11"/>
  <c r="N281" i="11"/>
  <c r="L282" i="11"/>
  <c r="M282" i="11"/>
  <c r="N282" i="11"/>
  <c r="L283" i="11"/>
  <c r="M283" i="11"/>
  <c r="N283" i="11"/>
  <c r="L284" i="11"/>
  <c r="M284" i="11"/>
  <c r="N284" i="11"/>
  <c r="L285" i="11"/>
  <c r="M285" i="11"/>
  <c r="N285" i="11"/>
  <c r="L286" i="11"/>
  <c r="M286" i="11"/>
  <c r="N286" i="11"/>
  <c r="L287" i="11"/>
  <c r="M287" i="11"/>
  <c r="N287" i="11"/>
  <c r="L288" i="11"/>
  <c r="M288" i="11"/>
  <c r="N288" i="11"/>
  <c r="L289" i="11"/>
  <c r="M289" i="11"/>
  <c r="N289" i="11"/>
  <c r="L290" i="11"/>
  <c r="M290" i="11"/>
  <c r="N290" i="11"/>
  <c r="L291" i="11"/>
  <c r="M291" i="11"/>
  <c r="N291" i="11"/>
  <c r="L292" i="11"/>
  <c r="M292" i="11"/>
  <c r="N292" i="11"/>
  <c r="L293" i="11"/>
  <c r="M293" i="11"/>
  <c r="N293" i="11"/>
  <c r="L294" i="11"/>
  <c r="M294" i="11"/>
  <c r="N294" i="11"/>
  <c r="L295" i="11"/>
  <c r="M295" i="11"/>
  <c r="N295" i="11"/>
  <c r="L296" i="11"/>
  <c r="M296" i="11"/>
  <c r="N296" i="11"/>
  <c r="L297" i="11"/>
  <c r="M297" i="11"/>
  <c r="N297" i="11"/>
  <c r="L298" i="11"/>
  <c r="M298" i="11"/>
  <c r="N298" i="11"/>
  <c r="L299" i="11"/>
  <c r="M299" i="11"/>
  <c r="N299" i="11"/>
  <c r="L300" i="11"/>
  <c r="M300" i="11"/>
  <c r="N300" i="11"/>
  <c r="L301" i="11"/>
  <c r="M301" i="11"/>
  <c r="N301" i="11"/>
  <c r="L302" i="11"/>
  <c r="M302" i="11"/>
  <c r="N302" i="11"/>
  <c r="L303" i="11"/>
  <c r="M303" i="11"/>
  <c r="N303" i="11"/>
  <c r="L304" i="11"/>
  <c r="M304" i="11"/>
  <c r="N304" i="11"/>
  <c r="L305" i="11"/>
  <c r="M305" i="11"/>
  <c r="N305" i="11"/>
  <c r="L306" i="11"/>
  <c r="M306" i="11"/>
  <c r="N306" i="11"/>
  <c r="L307" i="11"/>
  <c r="M307" i="11"/>
  <c r="N307" i="11"/>
  <c r="L308" i="11"/>
  <c r="M308" i="11"/>
  <c r="N308" i="11"/>
  <c r="L309" i="11"/>
  <c r="M309" i="11"/>
  <c r="N309" i="11"/>
  <c r="L310" i="11"/>
  <c r="M310" i="11"/>
  <c r="N310" i="11"/>
  <c r="L311" i="11"/>
  <c r="M311" i="11"/>
  <c r="N311" i="11"/>
  <c r="L312" i="11"/>
  <c r="M312" i="11"/>
  <c r="N312" i="11"/>
  <c r="L313" i="11"/>
  <c r="M313" i="11"/>
  <c r="N313" i="11"/>
  <c r="L314" i="11"/>
  <c r="M314" i="11"/>
  <c r="N314" i="11"/>
  <c r="L315" i="11"/>
  <c r="M315" i="11"/>
  <c r="N315" i="11"/>
  <c r="L316" i="11"/>
  <c r="M316" i="11"/>
  <c r="N316" i="11"/>
  <c r="L317" i="11"/>
  <c r="M317" i="11"/>
  <c r="N317" i="11"/>
  <c r="L318" i="11"/>
  <c r="M318" i="11"/>
  <c r="N318" i="11"/>
  <c r="L319" i="11"/>
  <c r="M319" i="11"/>
  <c r="N319" i="11"/>
  <c r="L320" i="11"/>
  <c r="M320" i="11"/>
  <c r="N320" i="11"/>
  <c r="L321" i="11"/>
  <c r="M321" i="11"/>
  <c r="N321" i="11"/>
  <c r="L322" i="11"/>
  <c r="M322" i="11"/>
  <c r="N322" i="11"/>
  <c r="L323" i="11"/>
  <c r="M323" i="11"/>
  <c r="N323" i="11"/>
  <c r="L324" i="11"/>
  <c r="M324" i="11"/>
  <c r="N324" i="11"/>
  <c r="L325" i="11"/>
  <c r="M325" i="11"/>
  <c r="N325" i="11"/>
  <c r="L326" i="11"/>
  <c r="M326" i="11"/>
  <c r="N326" i="11"/>
  <c r="L327" i="11"/>
  <c r="M327" i="11"/>
  <c r="N327" i="11"/>
  <c r="L328" i="11"/>
  <c r="M328" i="11"/>
  <c r="N328" i="11"/>
  <c r="L329" i="11"/>
  <c r="M329" i="11"/>
  <c r="N329" i="11"/>
  <c r="L330" i="11"/>
  <c r="M330" i="11"/>
  <c r="N330" i="11"/>
  <c r="L331" i="11"/>
  <c r="M331" i="11"/>
  <c r="N331" i="11"/>
  <c r="L332" i="11"/>
  <c r="M332" i="11"/>
  <c r="N332" i="11"/>
  <c r="L333" i="11"/>
  <c r="M333" i="11"/>
  <c r="N333" i="11"/>
  <c r="L334" i="11"/>
  <c r="M334" i="11"/>
  <c r="N334" i="11"/>
  <c r="L335" i="11"/>
  <c r="M335" i="11"/>
  <c r="N335" i="11"/>
  <c r="L336" i="11"/>
  <c r="M336" i="11"/>
  <c r="N336" i="11"/>
  <c r="L337" i="11"/>
  <c r="M337" i="11"/>
  <c r="N337" i="11"/>
  <c r="L338" i="11"/>
  <c r="M338" i="11"/>
  <c r="N338" i="11"/>
  <c r="L339" i="11"/>
  <c r="M339" i="11"/>
  <c r="N339" i="11"/>
  <c r="L340" i="11"/>
  <c r="M340" i="11"/>
  <c r="N340" i="11"/>
  <c r="L341" i="11"/>
  <c r="M341" i="11"/>
  <c r="N341" i="11"/>
  <c r="L342" i="11"/>
  <c r="M342" i="11"/>
  <c r="N342" i="11"/>
  <c r="L343" i="11"/>
  <c r="M343" i="11"/>
  <c r="N343" i="11"/>
  <c r="L344" i="11"/>
  <c r="M344" i="11"/>
  <c r="N344" i="11"/>
  <c r="L345" i="11"/>
  <c r="M345" i="11"/>
  <c r="N345" i="11"/>
  <c r="L346" i="11"/>
  <c r="M346" i="11"/>
  <c r="N346" i="11"/>
  <c r="L347" i="11"/>
  <c r="M347" i="11"/>
  <c r="N347" i="11"/>
  <c r="L348" i="11"/>
  <c r="M348" i="11"/>
  <c r="N348" i="11"/>
  <c r="L349" i="11"/>
  <c r="M349" i="11"/>
  <c r="N349" i="11"/>
  <c r="L350" i="11"/>
  <c r="M350" i="11"/>
  <c r="N350" i="11"/>
  <c r="L351" i="11"/>
  <c r="M351" i="11"/>
  <c r="N351" i="11"/>
  <c r="L352" i="11"/>
  <c r="M352" i="11"/>
  <c r="N352" i="11"/>
  <c r="L353" i="11"/>
  <c r="M353" i="11"/>
  <c r="N353" i="11"/>
  <c r="L354" i="11"/>
  <c r="M354" i="11"/>
  <c r="N354" i="11"/>
  <c r="L355" i="11"/>
  <c r="M355" i="11"/>
  <c r="N355" i="11"/>
  <c r="L356" i="11"/>
  <c r="M356" i="11"/>
  <c r="N356" i="11"/>
  <c r="L357" i="11"/>
  <c r="M357" i="11"/>
  <c r="N357" i="11"/>
  <c r="L358" i="11"/>
  <c r="M358" i="11"/>
  <c r="N358" i="11"/>
  <c r="L359" i="11"/>
  <c r="M359" i="11"/>
  <c r="N359" i="11"/>
  <c r="L360" i="11"/>
  <c r="M360" i="11"/>
  <c r="N360" i="11"/>
  <c r="L361" i="11"/>
  <c r="M361" i="11"/>
  <c r="N361" i="11"/>
  <c r="L362" i="11"/>
  <c r="M362" i="11"/>
  <c r="N362" i="11"/>
  <c r="L363" i="11"/>
  <c r="M363" i="11"/>
  <c r="N363" i="11"/>
  <c r="L364" i="11"/>
  <c r="M364" i="11"/>
  <c r="N364" i="11"/>
  <c r="L365" i="11"/>
  <c r="M365" i="11"/>
  <c r="N365" i="11"/>
  <c r="L366" i="11"/>
  <c r="M366" i="11"/>
  <c r="N366" i="11"/>
  <c r="L367" i="11"/>
  <c r="M367" i="11"/>
  <c r="N367" i="11"/>
  <c r="L368" i="11"/>
  <c r="M368" i="11"/>
  <c r="N368" i="11"/>
  <c r="L369" i="11"/>
  <c r="M369" i="11"/>
  <c r="N369" i="11"/>
  <c r="L370" i="11"/>
  <c r="M370" i="11"/>
  <c r="N370" i="11"/>
  <c r="L371" i="11"/>
  <c r="M371" i="11"/>
  <c r="N371" i="11"/>
  <c r="L372" i="11"/>
  <c r="M372" i="11"/>
  <c r="N372" i="11"/>
  <c r="L373" i="11"/>
  <c r="M373" i="11"/>
  <c r="N373" i="11"/>
  <c r="L374" i="11"/>
  <c r="M374" i="11"/>
  <c r="N374" i="11"/>
  <c r="L375" i="11"/>
  <c r="M375" i="11"/>
  <c r="N375" i="11"/>
  <c r="L376" i="11"/>
  <c r="M376" i="11"/>
  <c r="N376" i="11"/>
  <c r="L377" i="11"/>
  <c r="M377" i="11"/>
  <c r="N377" i="11"/>
  <c r="L378" i="11"/>
  <c r="M378" i="11"/>
  <c r="N378" i="11"/>
  <c r="L379" i="11"/>
  <c r="M379" i="11"/>
  <c r="N379" i="11"/>
  <c r="L380" i="11"/>
  <c r="M380" i="11"/>
  <c r="N380" i="11"/>
  <c r="L381" i="11"/>
  <c r="M381" i="11"/>
  <c r="N381" i="11"/>
  <c r="L382" i="11"/>
  <c r="M382" i="11"/>
  <c r="N382" i="11"/>
  <c r="L383" i="11"/>
  <c r="M383" i="11"/>
  <c r="N383" i="11"/>
  <c r="L384" i="11"/>
  <c r="M384" i="11"/>
  <c r="N384" i="11"/>
  <c r="L385" i="11"/>
  <c r="M385" i="11"/>
  <c r="N385" i="11"/>
  <c r="L386" i="11"/>
  <c r="M386" i="11"/>
  <c r="N386" i="11"/>
  <c r="L387" i="11"/>
  <c r="M387" i="11"/>
  <c r="N387" i="11"/>
  <c r="L388" i="11"/>
  <c r="M388" i="11"/>
  <c r="N388" i="11"/>
  <c r="L389" i="11"/>
  <c r="M389" i="11"/>
  <c r="N389" i="11"/>
  <c r="L390" i="11"/>
  <c r="M390" i="11"/>
  <c r="N390" i="11"/>
  <c r="L391" i="11"/>
  <c r="M391" i="11"/>
  <c r="N391" i="11"/>
  <c r="L392" i="11"/>
  <c r="M392" i="11"/>
  <c r="N392" i="11"/>
  <c r="L393" i="11"/>
  <c r="M393" i="11"/>
  <c r="N393" i="11"/>
  <c r="L394" i="11"/>
  <c r="M394" i="11"/>
  <c r="N394" i="11"/>
  <c r="L395" i="11"/>
  <c r="M395" i="11"/>
  <c r="N395" i="11"/>
  <c r="L396" i="11"/>
  <c r="M396" i="11"/>
  <c r="N396" i="11"/>
  <c r="L397" i="11"/>
  <c r="M397" i="11"/>
  <c r="N397" i="11"/>
  <c r="L398" i="11"/>
  <c r="M398" i="11"/>
  <c r="N398" i="11"/>
  <c r="L399" i="11"/>
  <c r="M399" i="11"/>
  <c r="N399" i="11"/>
  <c r="L400" i="11"/>
  <c r="M400" i="11"/>
  <c r="N400" i="11"/>
  <c r="L401" i="11"/>
  <c r="M401" i="11"/>
  <c r="N401" i="11"/>
  <c r="L102" i="10"/>
  <c r="M102" i="10"/>
  <c r="N102" i="10"/>
  <c r="L103" i="10"/>
  <c r="M103" i="10"/>
  <c r="N103" i="10"/>
  <c r="L104" i="10"/>
  <c r="M104" i="10"/>
  <c r="N104" i="10"/>
  <c r="L105" i="10"/>
  <c r="M105" i="10"/>
  <c r="N105" i="10"/>
  <c r="L106" i="10"/>
  <c r="M106" i="10"/>
  <c r="N106" i="10"/>
  <c r="L107" i="10"/>
  <c r="M107" i="10"/>
  <c r="N107" i="10"/>
  <c r="L108" i="10"/>
  <c r="M108" i="10"/>
  <c r="N108" i="10"/>
  <c r="L109" i="10"/>
  <c r="M109" i="10"/>
  <c r="N109" i="10"/>
  <c r="L110" i="10"/>
  <c r="M110" i="10"/>
  <c r="N110" i="10"/>
  <c r="L111" i="10"/>
  <c r="M111" i="10"/>
  <c r="N111" i="10"/>
  <c r="L112" i="10"/>
  <c r="M112" i="10"/>
  <c r="N112" i="10"/>
  <c r="L113" i="10"/>
  <c r="M113" i="10"/>
  <c r="N113" i="10"/>
  <c r="L114" i="10"/>
  <c r="M114" i="10"/>
  <c r="N114" i="10"/>
  <c r="L115" i="10"/>
  <c r="M115" i="10"/>
  <c r="N115" i="10"/>
  <c r="L116" i="10"/>
  <c r="M116" i="10"/>
  <c r="N116" i="10"/>
  <c r="L117" i="10"/>
  <c r="M117" i="10"/>
  <c r="N117" i="10"/>
  <c r="L118" i="10"/>
  <c r="M118" i="10"/>
  <c r="N118" i="10"/>
  <c r="L119" i="10"/>
  <c r="M119" i="10"/>
  <c r="N119" i="10"/>
  <c r="L120" i="10"/>
  <c r="M120" i="10"/>
  <c r="N120" i="10"/>
  <c r="L121" i="10"/>
  <c r="M121" i="10"/>
  <c r="N121" i="10"/>
  <c r="L122" i="10"/>
  <c r="M122" i="10"/>
  <c r="N122" i="10"/>
  <c r="L123" i="10"/>
  <c r="M123" i="10"/>
  <c r="N123" i="10"/>
  <c r="L124" i="10"/>
  <c r="M124" i="10"/>
  <c r="N124" i="10"/>
  <c r="L125" i="10"/>
  <c r="M125" i="10"/>
  <c r="N125" i="10"/>
  <c r="L126" i="10"/>
  <c r="M126" i="10"/>
  <c r="N126" i="10"/>
  <c r="L127" i="10"/>
  <c r="M127" i="10"/>
  <c r="N127" i="10"/>
  <c r="L128" i="10"/>
  <c r="M128" i="10"/>
  <c r="N128" i="10"/>
  <c r="L129" i="10"/>
  <c r="M129" i="10"/>
  <c r="N129" i="10"/>
  <c r="L130" i="10"/>
  <c r="M130" i="10"/>
  <c r="N130" i="10"/>
  <c r="L131" i="10"/>
  <c r="M131" i="10"/>
  <c r="N131" i="10"/>
  <c r="L132" i="10"/>
  <c r="M132" i="10"/>
  <c r="N132" i="10"/>
  <c r="L133" i="10"/>
  <c r="M133" i="10"/>
  <c r="N133" i="10"/>
  <c r="L134" i="10"/>
  <c r="M134" i="10"/>
  <c r="N134" i="10"/>
  <c r="L135" i="10"/>
  <c r="M135" i="10"/>
  <c r="N135" i="10"/>
  <c r="L136" i="10"/>
  <c r="M136" i="10"/>
  <c r="N136" i="10"/>
  <c r="L137" i="10"/>
  <c r="M137" i="10"/>
  <c r="N137" i="10"/>
  <c r="L138" i="10"/>
  <c r="M138" i="10"/>
  <c r="N138" i="10"/>
  <c r="L139" i="10"/>
  <c r="M139" i="10"/>
  <c r="N139" i="10"/>
  <c r="L140" i="10"/>
  <c r="M140" i="10"/>
  <c r="N140" i="10"/>
  <c r="L141" i="10"/>
  <c r="M141" i="10"/>
  <c r="N141" i="10"/>
  <c r="L142" i="10"/>
  <c r="M142" i="10"/>
  <c r="N142" i="10"/>
  <c r="L143" i="10"/>
  <c r="M143" i="10"/>
  <c r="N143" i="10"/>
  <c r="L144" i="10"/>
  <c r="M144" i="10"/>
  <c r="N144" i="10"/>
  <c r="L145" i="10"/>
  <c r="M145" i="10"/>
  <c r="N145" i="10"/>
  <c r="L146" i="10"/>
  <c r="M146" i="10"/>
  <c r="N146" i="10"/>
  <c r="L147" i="10"/>
  <c r="M147" i="10"/>
  <c r="N147" i="10"/>
  <c r="L148" i="10"/>
  <c r="M148" i="10"/>
  <c r="N148" i="10"/>
  <c r="L149" i="10"/>
  <c r="M149" i="10"/>
  <c r="N149" i="10"/>
  <c r="L150" i="10"/>
  <c r="M150" i="10"/>
  <c r="N150" i="10"/>
  <c r="L151" i="10"/>
  <c r="M151" i="10"/>
  <c r="N151" i="10"/>
  <c r="L152" i="10"/>
  <c r="M152" i="10"/>
  <c r="N152" i="10"/>
  <c r="L153" i="10"/>
  <c r="M153" i="10"/>
  <c r="N153" i="10"/>
  <c r="L154" i="10"/>
  <c r="M154" i="10"/>
  <c r="N154" i="10"/>
  <c r="L155" i="10"/>
  <c r="M155" i="10"/>
  <c r="N155" i="10"/>
  <c r="L156" i="10"/>
  <c r="M156" i="10"/>
  <c r="N156" i="10"/>
  <c r="L157" i="10"/>
  <c r="M157" i="10"/>
  <c r="N157" i="10"/>
  <c r="L158" i="10"/>
  <c r="M158" i="10"/>
  <c r="N158" i="10"/>
  <c r="L159" i="10"/>
  <c r="M159" i="10"/>
  <c r="N159" i="10"/>
  <c r="L160" i="10"/>
  <c r="M160" i="10"/>
  <c r="N160" i="10"/>
  <c r="L161" i="10"/>
  <c r="M161" i="10"/>
  <c r="N161" i="10"/>
  <c r="L162" i="10"/>
  <c r="M162" i="10"/>
  <c r="N162" i="10"/>
  <c r="L163" i="10"/>
  <c r="M163" i="10"/>
  <c r="N163" i="10"/>
  <c r="L164" i="10"/>
  <c r="M164" i="10"/>
  <c r="N164" i="10"/>
  <c r="L165" i="10"/>
  <c r="M165" i="10"/>
  <c r="N165" i="10"/>
  <c r="L166" i="10"/>
  <c r="M166" i="10"/>
  <c r="N166" i="10"/>
  <c r="L167" i="10"/>
  <c r="M167" i="10"/>
  <c r="N167" i="10"/>
  <c r="L168" i="10"/>
  <c r="M168" i="10"/>
  <c r="N168" i="10"/>
  <c r="L169" i="10"/>
  <c r="M169" i="10"/>
  <c r="N169" i="10"/>
  <c r="L170" i="10"/>
  <c r="M170" i="10"/>
  <c r="N170" i="10"/>
  <c r="L171" i="10"/>
  <c r="M171" i="10"/>
  <c r="N171" i="10"/>
  <c r="L172" i="10"/>
  <c r="M172" i="10"/>
  <c r="N172" i="10"/>
  <c r="L173" i="10"/>
  <c r="M173" i="10"/>
  <c r="N173" i="10"/>
  <c r="L174" i="10"/>
  <c r="M174" i="10"/>
  <c r="N174" i="10"/>
  <c r="L175" i="10"/>
  <c r="M175" i="10"/>
  <c r="N175" i="10"/>
  <c r="L176" i="10"/>
  <c r="M176" i="10"/>
  <c r="N176" i="10"/>
  <c r="L177" i="10"/>
  <c r="M177" i="10"/>
  <c r="N177" i="10"/>
  <c r="L178" i="10"/>
  <c r="M178" i="10"/>
  <c r="N178" i="10"/>
  <c r="L179" i="10"/>
  <c r="M179" i="10"/>
  <c r="N179" i="10"/>
  <c r="L180" i="10"/>
  <c r="M180" i="10"/>
  <c r="N180" i="10"/>
  <c r="L181" i="10"/>
  <c r="M181" i="10"/>
  <c r="N181" i="10"/>
  <c r="L182" i="10"/>
  <c r="M182" i="10"/>
  <c r="N182" i="10"/>
  <c r="L183" i="10"/>
  <c r="M183" i="10"/>
  <c r="N183" i="10"/>
  <c r="L184" i="10"/>
  <c r="M184" i="10"/>
  <c r="N184" i="10"/>
  <c r="L185" i="10"/>
  <c r="M185" i="10"/>
  <c r="N185" i="10"/>
  <c r="L186" i="10"/>
  <c r="M186" i="10"/>
  <c r="N186" i="10"/>
  <c r="L187" i="10"/>
  <c r="M187" i="10"/>
  <c r="N187" i="10"/>
  <c r="L188" i="10"/>
  <c r="M188" i="10"/>
  <c r="N188" i="10"/>
  <c r="L189" i="10"/>
  <c r="M189" i="10"/>
  <c r="N189" i="10"/>
  <c r="L190" i="10"/>
  <c r="M190" i="10"/>
  <c r="N190" i="10"/>
  <c r="L191" i="10"/>
  <c r="M191" i="10"/>
  <c r="N191" i="10"/>
  <c r="L192" i="10"/>
  <c r="M192" i="10"/>
  <c r="N192" i="10"/>
  <c r="L193" i="10"/>
  <c r="M193" i="10"/>
  <c r="N193" i="10"/>
  <c r="L194" i="10"/>
  <c r="M194" i="10"/>
  <c r="N194" i="10"/>
  <c r="L195" i="10"/>
  <c r="M195" i="10"/>
  <c r="N195" i="10"/>
  <c r="L196" i="10"/>
  <c r="M196" i="10"/>
  <c r="N196" i="10"/>
  <c r="L197" i="10"/>
  <c r="M197" i="10"/>
  <c r="N197" i="10"/>
  <c r="L198" i="10"/>
  <c r="M198" i="10"/>
  <c r="N198" i="10"/>
  <c r="L199" i="10"/>
  <c r="M199" i="10"/>
  <c r="N199" i="10"/>
  <c r="L200" i="10"/>
  <c r="M200" i="10"/>
  <c r="N200" i="10"/>
  <c r="L201" i="10"/>
  <c r="M201" i="10"/>
  <c r="N201" i="10"/>
  <c r="L202" i="10"/>
  <c r="M202" i="10"/>
  <c r="N202" i="10"/>
  <c r="L203" i="10"/>
  <c r="M203" i="10"/>
  <c r="N203" i="10"/>
  <c r="L204" i="10"/>
  <c r="M204" i="10"/>
  <c r="N204" i="10"/>
  <c r="L205" i="10"/>
  <c r="M205" i="10"/>
  <c r="N205" i="10"/>
  <c r="L206" i="10"/>
  <c r="M206" i="10"/>
  <c r="N206" i="10"/>
  <c r="L207" i="10"/>
  <c r="M207" i="10"/>
  <c r="N207" i="10"/>
  <c r="L208" i="10"/>
  <c r="M208" i="10"/>
  <c r="N208" i="10"/>
  <c r="L209" i="10"/>
  <c r="M209" i="10"/>
  <c r="N209" i="10"/>
  <c r="L210" i="10"/>
  <c r="M210" i="10"/>
  <c r="N210" i="10"/>
  <c r="L211" i="10"/>
  <c r="M211" i="10"/>
  <c r="N211" i="10"/>
  <c r="L212" i="10"/>
  <c r="M212" i="10"/>
  <c r="N212" i="10"/>
  <c r="L213" i="10"/>
  <c r="M213" i="10"/>
  <c r="N213" i="10"/>
  <c r="L214" i="10"/>
  <c r="M214" i="10"/>
  <c r="N214" i="10"/>
  <c r="L215" i="10"/>
  <c r="M215" i="10"/>
  <c r="N215" i="10"/>
  <c r="L216" i="10"/>
  <c r="M216" i="10"/>
  <c r="N216" i="10"/>
  <c r="L217" i="10"/>
  <c r="M217" i="10"/>
  <c r="N217" i="10"/>
  <c r="L218" i="10"/>
  <c r="M218" i="10"/>
  <c r="N218" i="10"/>
  <c r="L219" i="10"/>
  <c r="M219" i="10"/>
  <c r="N219" i="10"/>
  <c r="L220" i="10"/>
  <c r="M220" i="10"/>
  <c r="N220" i="10"/>
  <c r="L221" i="10"/>
  <c r="M221" i="10"/>
  <c r="N221" i="10"/>
  <c r="L222" i="10"/>
  <c r="M222" i="10"/>
  <c r="N222" i="10"/>
  <c r="L223" i="10"/>
  <c r="M223" i="10"/>
  <c r="N223" i="10"/>
  <c r="L224" i="10"/>
  <c r="M224" i="10"/>
  <c r="N224" i="10"/>
  <c r="L225" i="10"/>
  <c r="M225" i="10"/>
  <c r="N225" i="10"/>
  <c r="L226" i="10"/>
  <c r="M226" i="10"/>
  <c r="N226" i="10"/>
  <c r="L227" i="10"/>
  <c r="M227" i="10"/>
  <c r="N227" i="10"/>
  <c r="L228" i="10"/>
  <c r="M228" i="10"/>
  <c r="N228" i="10"/>
  <c r="L229" i="10"/>
  <c r="M229" i="10"/>
  <c r="N229" i="10"/>
  <c r="L230" i="10"/>
  <c r="M230" i="10"/>
  <c r="N230" i="10"/>
  <c r="L231" i="10"/>
  <c r="M231" i="10"/>
  <c r="N231" i="10"/>
  <c r="L232" i="10"/>
  <c r="M232" i="10"/>
  <c r="N232" i="10"/>
  <c r="L233" i="10"/>
  <c r="M233" i="10"/>
  <c r="N233" i="10"/>
  <c r="L234" i="10"/>
  <c r="M234" i="10"/>
  <c r="N234" i="10"/>
  <c r="L235" i="10"/>
  <c r="M235" i="10"/>
  <c r="N235" i="10"/>
  <c r="L236" i="10"/>
  <c r="M236" i="10"/>
  <c r="N236" i="10"/>
  <c r="L237" i="10"/>
  <c r="M237" i="10"/>
  <c r="N237" i="10"/>
  <c r="L238" i="10"/>
  <c r="M238" i="10"/>
  <c r="N238" i="10"/>
  <c r="L239" i="10"/>
  <c r="M239" i="10"/>
  <c r="N239" i="10"/>
  <c r="L240" i="10"/>
  <c r="M240" i="10"/>
  <c r="N240" i="10"/>
  <c r="L241" i="10"/>
  <c r="M241" i="10"/>
  <c r="N241" i="10"/>
  <c r="L242" i="10"/>
  <c r="M242" i="10"/>
  <c r="N242" i="10"/>
  <c r="L243" i="10"/>
  <c r="M243" i="10"/>
  <c r="N243" i="10"/>
  <c r="L244" i="10"/>
  <c r="M244" i="10"/>
  <c r="N244" i="10"/>
  <c r="L245" i="10"/>
  <c r="M245" i="10"/>
  <c r="N245" i="10"/>
  <c r="L246" i="10"/>
  <c r="M246" i="10"/>
  <c r="N246" i="10"/>
  <c r="L247" i="10"/>
  <c r="M247" i="10"/>
  <c r="N247" i="10"/>
  <c r="L248" i="10"/>
  <c r="M248" i="10"/>
  <c r="N248" i="10"/>
  <c r="L249" i="10"/>
  <c r="M249" i="10"/>
  <c r="N249" i="10"/>
  <c r="L250" i="10"/>
  <c r="M250" i="10"/>
  <c r="N250" i="10"/>
  <c r="L251" i="10"/>
  <c r="M251" i="10"/>
  <c r="N251" i="10"/>
  <c r="L252" i="10"/>
  <c r="M252" i="10"/>
  <c r="N252" i="10"/>
  <c r="L253" i="10"/>
  <c r="M253" i="10"/>
  <c r="N253" i="10"/>
  <c r="L254" i="10"/>
  <c r="M254" i="10"/>
  <c r="N254" i="10"/>
  <c r="L255" i="10"/>
  <c r="M255" i="10"/>
  <c r="N255" i="10"/>
  <c r="L256" i="10"/>
  <c r="M256" i="10"/>
  <c r="N256" i="10"/>
  <c r="L257" i="10"/>
  <c r="M257" i="10"/>
  <c r="N257" i="10"/>
  <c r="L258" i="10"/>
  <c r="M258" i="10"/>
  <c r="N258" i="10"/>
  <c r="L259" i="10"/>
  <c r="M259" i="10"/>
  <c r="N259" i="10"/>
  <c r="L260" i="10"/>
  <c r="M260" i="10"/>
  <c r="N260" i="10"/>
  <c r="L261" i="10"/>
  <c r="M261" i="10"/>
  <c r="N261" i="10"/>
  <c r="L262" i="10"/>
  <c r="M262" i="10"/>
  <c r="N262" i="10"/>
  <c r="L263" i="10"/>
  <c r="M263" i="10"/>
  <c r="N263" i="10"/>
  <c r="L264" i="10"/>
  <c r="M264" i="10"/>
  <c r="N264" i="10"/>
  <c r="L265" i="10"/>
  <c r="M265" i="10"/>
  <c r="N265" i="10"/>
  <c r="L266" i="10"/>
  <c r="M266" i="10"/>
  <c r="N266" i="10"/>
  <c r="L267" i="10"/>
  <c r="M267" i="10"/>
  <c r="N267" i="10"/>
  <c r="L268" i="10"/>
  <c r="M268" i="10"/>
  <c r="N268" i="10"/>
  <c r="L269" i="10"/>
  <c r="M269" i="10"/>
  <c r="N269" i="10"/>
  <c r="L270" i="10"/>
  <c r="M270" i="10"/>
  <c r="N270" i="10"/>
  <c r="L271" i="10"/>
  <c r="M271" i="10"/>
  <c r="N271" i="10"/>
  <c r="L272" i="10"/>
  <c r="M272" i="10"/>
  <c r="N272" i="10"/>
  <c r="L273" i="10"/>
  <c r="M273" i="10"/>
  <c r="N273" i="10"/>
  <c r="L274" i="10"/>
  <c r="M274" i="10"/>
  <c r="N274" i="10"/>
  <c r="L275" i="10"/>
  <c r="M275" i="10"/>
  <c r="N275" i="10"/>
  <c r="L276" i="10"/>
  <c r="M276" i="10"/>
  <c r="N276" i="10"/>
  <c r="L277" i="10"/>
  <c r="M277" i="10"/>
  <c r="N277" i="10"/>
  <c r="L278" i="10"/>
  <c r="M278" i="10"/>
  <c r="N278" i="10"/>
  <c r="L279" i="10"/>
  <c r="M279" i="10"/>
  <c r="N279" i="10"/>
  <c r="L280" i="10"/>
  <c r="M280" i="10"/>
  <c r="N280" i="10"/>
  <c r="L281" i="10"/>
  <c r="M281" i="10"/>
  <c r="N281" i="10"/>
  <c r="L282" i="10"/>
  <c r="M282" i="10"/>
  <c r="N282" i="10"/>
  <c r="L283" i="10"/>
  <c r="M283" i="10"/>
  <c r="N283" i="10"/>
  <c r="L284" i="10"/>
  <c r="M284" i="10"/>
  <c r="N284" i="10"/>
  <c r="L285" i="10"/>
  <c r="M285" i="10"/>
  <c r="N285" i="10"/>
  <c r="L286" i="10"/>
  <c r="M286" i="10"/>
  <c r="N286" i="10"/>
  <c r="L287" i="10"/>
  <c r="M287" i="10"/>
  <c r="N287" i="10"/>
  <c r="L288" i="10"/>
  <c r="M288" i="10"/>
  <c r="N288" i="10"/>
  <c r="L289" i="10"/>
  <c r="M289" i="10"/>
  <c r="N289" i="10"/>
  <c r="L290" i="10"/>
  <c r="M290" i="10"/>
  <c r="N290" i="10"/>
  <c r="L291" i="10"/>
  <c r="M291" i="10"/>
  <c r="N291" i="10"/>
  <c r="L292" i="10"/>
  <c r="M292" i="10"/>
  <c r="N292" i="10"/>
  <c r="L293" i="10"/>
  <c r="M293" i="10"/>
  <c r="N293" i="10"/>
  <c r="L294" i="10"/>
  <c r="M294" i="10"/>
  <c r="N294" i="10"/>
  <c r="L295" i="10"/>
  <c r="M295" i="10"/>
  <c r="N295" i="10"/>
  <c r="L296" i="10"/>
  <c r="M296" i="10"/>
  <c r="N296" i="10"/>
  <c r="L297" i="10"/>
  <c r="M297" i="10"/>
  <c r="N297" i="10"/>
  <c r="L298" i="10"/>
  <c r="M298" i="10"/>
  <c r="N298" i="10"/>
  <c r="L299" i="10"/>
  <c r="M299" i="10"/>
  <c r="N299" i="10"/>
  <c r="L300" i="10"/>
  <c r="M300" i="10"/>
  <c r="N300" i="10"/>
  <c r="L301" i="10"/>
  <c r="M301" i="10"/>
  <c r="N301" i="10"/>
  <c r="L302" i="10"/>
  <c r="M302" i="10"/>
  <c r="N302" i="10"/>
  <c r="L303" i="10"/>
  <c r="M303" i="10"/>
  <c r="N303" i="10"/>
  <c r="L304" i="10"/>
  <c r="M304" i="10"/>
  <c r="N304" i="10"/>
  <c r="L305" i="10"/>
  <c r="M305" i="10"/>
  <c r="N305" i="10"/>
  <c r="L306" i="10"/>
  <c r="M306" i="10"/>
  <c r="N306" i="10"/>
  <c r="L307" i="10"/>
  <c r="M307" i="10"/>
  <c r="N307" i="10"/>
  <c r="L308" i="10"/>
  <c r="M308" i="10"/>
  <c r="N308" i="10"/>
  <c r="L309" i="10"/>
  <c r="M309" i="10"/>
  <c r="N309" i="10"/>
  <c r="L310" i="10"/>
  <c r="M310" i="10"/>
  <c r="N310" i="10"/>
  <c r="L311" i="10"/>
  <c r="M311" i="10"/>
  <c r="N311" i="10"/>
  <c r="L312" i="10"/>
  <c r="M312" i="10"/>
  <c r="N312" i="10"/>
  <c r="L313" i="10"/>
  <c r="M313" i="10"/>
  <c r="N313" i="10"/>
  <c r="L314" i="10"/>
  <c r="M314" i="10"/>
  <c r="N314" i="10"/>
  <c r="L315" i="10"/>
  <c r="M315" i="10"/>
  <c r="N315" i="10"/>
  <c r="L316" i="10"/>
  <c r="M316" i="10"/>
  <c r="N316" i="10"/>
  <c r="L317" i="10"/>
  <c r="M317" i="10"/>
  <c r="N317" i="10"/>
  <c r="L318" i="10"/>
  <c r="M318" i="10"/>
  <c r="N318" i="10"/>
  <c r="L319" i="10"/>
  <c r="M319" i="10"/>
  <c r="N319" i="10"/>
  <c r="L320" i="10"/>
  <c r="M320" i="10"/>
  <c r="N320" i="10"/>
  <c r="L321" i="10"/>
  <c r="M321" i="10"/>
  <c r="N321" i="10"/>
  <c r="L322" i="10"/>
  <c r="M322" i="10"/>
  <c r="N322" i="10"/>
  <c r="L323" i="10"/>
  <c r="M323" i="10"/>
  <c r="N323" i="10"/>
  <c r="L324" i="10"/>
  <c r="M324" i="10"/>
  <c r="N324" i="10"/>
  <c r="L325" i="10"/>
  <c r="M325" i="10"/>
  <c r="N325" i="10"/>
  <c r="L326" i="10"/>
  <c r="M326" i="10"/>
  <c r="N326" i="10"/>
  <c r="L327" i="10"/>
  <c r="M327" i="10"/>
  <c r="N327" i="10"/>
  <c r="L328" i="10"/>
  <c r="M328" i="10"/>
  <c r="N328" i="10"/>
  <c r="L329" i="10"/>
  <c r="M329" i="10"/>
  <c r="N329" i="10"/>
  <c r="L330" i="10"/>
  <c r="M330" i="10"/>
  <c r="N330" i="10"/>
  <c r="L331" i="10"/>
  <c r="M331" i="10"/>
  <c r="N331" i="10"/>
  <c r="L332" i="10"/>
  <c r="M332" i="10"/>
  <c r="N332" i="10"/>
  <c r="L333" i="10"/>
  <c r="M333" i="10"/>
  <c r="N333" i="10"/>
  <c r="L334" i="10"/>
  <c r="M334" i="10"/>
  <c r="N334" i="10"/>
  <c r="L335" i="10"/>
  <c r="M335" i="10"/>
  <c r="N335" i="10"/>
  <c r="L336" i="10"/>
  <c r="M336" i="10"/>
  <c r="N336" i="10"/>
  <c r="L337" i="10"/>
  <c r="M337" i="10"/>
  <c r="N337" i="10"/>
  <c r="L338" i="10"/>
  <c r="M338" i="10"/>
  <c r="N338" i="10"/>
  <c r="L339" i="10"/>
  <c r="M339" i="10"/>
  <c r="N339" i="10"/>
  <c r="L340" i="10"/>
  <c r="M340" i="10"/>
  <c r="N340" i="10"/>
  <c r="L341" i="10"/>
  <c r="M341" i="10"/>
  <c r="N341" i="10"/>
  <c r="L342" i="10"/>
  <c r="M342" i="10"/>
  <c r="N342" i="10"/>
  <c r="L343" i="10"/>
  <c r="M343" i="10"/>
  <c r="N343" i="10"/>
  <c r="L344" i="10"/>
  <c r="M344" i="10"/>
  <c r="N344" i="10"/>
  <c r="L345" i="10"/>
  <c r="M345" i="10"/>
  <c r="N345" i="10"/>
  <c r="L346" i="10"/>
  <c r="M346" i="10"/>
  <c r="N346" i="10"/>
  <c r="L347" i="10"/>
  <c r="M347" i="10"/>
  <c r="N347" i="10"/>
  <c r="L348" i="10"/>
  <c r="M348" i="10"/>
  <c r="N348" i="10"/>
  <c r="L349" i="10"/>
  <c r="M349" i="10"/>
  <c r="N349" i="10"/>
  <c r="L350" i="10"/>
  <c r="M350" i="10"/>
  <c r="N350" i="10"/>
  <c r="L351" i="10"/>
  <c r="M351" i="10"/>
  <c r="N351" i="10"/>
  <c r="L352" i="10"/>
  <c r="M352" i="10"/>
  <c r="N352" i="10"/>
  <c r="L353" i="10"/>
  <c r="M353" i="10"/>
  <c r="N353" i="10"/>
  <c r="L354" i="10"/>
  <c r="M354" i="10"/>
  <c r="N354" i="10"/>
  <c r="L355" i="10"/>
  <c r="M355" i="10"/>
  <c r="N355" i="10"/>
  <c r="L356" i="10"/>
  <c r="M356" i="10"/>
  <c r="N356" i="10"/>
  <c r="L357" i="10"/>
  <c r="M357" i="10"/>
  <c r="N357" i="10"/>
  <c r="L358" i="10"/>
  <c r="M358" i="10"/>
  <c r="N358" i="10"/>
  <c r="L359" i="10"/>
  <c r="M359" i="10"/>
  <c r="N359" i="10"/>
  <c r="L360" i="10"/>
  <c r="M360" i="10"/>
  <c r="N360" i="10"/>
  <c r="L361" i="10"/>
  <c r="M361" i="10"/>
  <c r="N361" i="10"/>
  <c r="L362" i="10"/>
  <c r="M362" i="10"/>
  <c r="N362" i="10"/>
  <c r="L363" i="10"/>
  <c r="M363" i="10"/>
  <c r="N363" i="10"/>
  <c r="L364" i="10"/>
  <c r="M364" i="10"/>
  <c r="N364" i="10"/>
  <c r="L365" i="10"/>
  <c r="M365" i="10"/>
  <c r="N365" i="10"/>
  <c r="L366" i="10"/>
  <c r="M366" i="10"/>
  <c r="N366" i="10"/>
  <c r="L367" i="10"/>
  <c r="M367" i="10"/>
  <c r="N367" i="10"/>
  <c r="L368" i="10"/>
  <c r="M368" i="10"/>
  <c r="N368" i="10"/>
  <c r="L369" i="10"/>
  <c r="M369" i="10"/>
  <c r="N369" i="10"/>
  <c r="L370" i="10"/>
  <c r="M370" i="10"/>
  <c r="N370" i="10"/>
  <c r="L371" i="10"/>
  <c r="M371" i="10"/>
  <c r="N371" i="10"/>
  <c r="L372" i="10"/>
  <c r="M372" i="10"/>
  <c r="N372" i="10"/>
  <c r="L373" i="10"/>
  <c r="M373" i="10"/>
  <c r="N373" i="10"/>
  <c r="L374" i="10"/>
  <c r="M374" i="10"/>
  <c r="N374" i="10"/>
  <c r="L375" i="10"/>
  <c r="M375" i="10"/>
  <c r="N375" i="10"/>
  <c r="L376" i="10"/>
  <c r="M376" i="10"/>
  <c r="N376" i="10"/>
  <c r="L377" i="10"/>
  <c r="M377" i="10"/>
  <c r="N377" i="10"/>
  <c r="L378" i="10"/>
  <c r="M378" i="10"/>
  <c r="N378" i="10"/>
  <c r="L379" i="10"/>
  <c r="M379" i="10"/>
  <c r="N379" i="10"/>
  <c r="L380" i="10"/>
  <c r="M380" i="10"/>
  <c r="N380" i="10"/>
  <c r="L381" i="10"/>
  <c r="M381" i="10"/>
  <c r="N381" i="10"/>
  <c r="L382" i="10"/>
  <c r="M382" i="10"/>
  <c r="N382" i="10"/>
  <c r="L383" i="10"/>
  <c r="M383" i="10"/>
  <c r="N383" i="10"/>
  <c r="L384" i="10"/>
  <c r="M384" i="10"/>
  <c r="N384" i="10"/>
  <c r="L385" i="10"/>
  <c r="M385" i="10"/>
  <c r="N385" i="10"/>
  <c r="L386" i="10"/>
  <c r="M386" i="10"/>
  <c r="N386" i="10"/>
  <c r="L387" i="10"/>
  <c r="M387" i="10"/>
  <c r="N387" i="10"/>
  <c r="L388" i="10"/>
  <c r="M388" i="10"/>
  <c r="N388" i="10"/>
  <c r="L389" i="10"/>
  <c r="M389" i="10"/>
  <c r="N389" i="10"/>
  <c r="L390" i="10"/>
  <c r="M390" i="10"/>
  <c r="N390" i="10"/>
  <c r="L391" i="10"/>
  <c r="M391" i="10"/>
  <c r="N391" i="10"/>
  <c r="L392" i="10"/>
  <c r="M392" i="10"/>
  <c r="N392" i="10"/>
  <c r="L393" i="10"/>
  <c r="M393" i="10"/>
  <c r="N393" i="10"/>
  <c r="L394" i="10"/>
  <c r="M394" i="10"/>
  <c r="N394" i="10"/>
  <c r="L395" i="10"/>
  <c r="M395" i="10"/>
  <c r="N395" i="10"/>
  <c r="L396" i="10"/>
  <c r="M396" i="10"/>
  <c r="N396" i="10"/>
  <c r="L397" i="10"/>
  <c r="M397" i="10"/>
  <c r="N397" i="10"/>
  <c r="L398" i="10"/>
  <c r="M398" i="10"/>
  <c r="N398" i="10"/>
  <c r="L399" i="10"/>
  <c r="M399" i="10"/>
  <c r="N399" i="10"/>
  <c r="L400" i="10"/>
  <c r="M400" i="10"/>
  <c r="N400" i="10"/>
  <c r="L401" i="10"/>
  <c r="M401" i="10"/>
  <c r="N401" i="10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102" i="8"/>
  <c r="M102" i="8" s="1" a="1"/>
  <c r="L103" i="8"/>
  <c r="M103" i="8" s="1" a="1"/>
  <c r="L104" i="8"/>
  <c r="M104" i="8" a="1"/>
  <c r="L105" i="8"/>
  <c r="M105" i="8" a="1"/>
  <c r="L106" i="8"/>
  <c r="M106" i="8" s="1" a="1"/>
  <c r="L107" i="8"/>
  <c r="M107" i="8" s="1" a="1"/>
  <c r="L108" i="8"/>
  <c r="M108" i="8" a="1"/>
  <c r="L109" i="8"/>
  <c r="M109" i="8" a="1"/>
  <c r="L110" i="8"/>
  <c r="M110" i="8" s="1" a="1"/>
  <c r="L111" i="8"/>
  <c r="M111" i="8" a="1"/>
  <c r="L112" i="8"/>
  <c r="M112" i="8" s="1" a="1"/>
  <c r="L113" i="8"/>
  <c r="M113" i="8" s="1" a="1"/>
  <c r="L114" i="8"/>
  <c r="M114" i="8" s="1" a="1"/>
  <c r="L115" i="8"/>
  <c r="M115" i="8" s="1" a="1"/>
  <c r="L116" i="8"/>
  <c r="M116" i="8" s="1" a="1"/>
  <c r="L117" i="8"/>
  <c r="M117" i="8" a="1"/>
  <c r="L118" i="8"/>
  <c r="M118" i="8" s="1" a="1"/>
  <c r="L119" i="8"/>
  <c r="M119" i="8" a="1"/>
  <c r="L120" i="8"/>
  <c r="M120" i="8" s="1" a="1"/>
  <c r="L121" i="8"/>
  <c r="M121" i="8" a="1"/>
  <c r="L122" i="8"/>
  <c r="M122" i="8" s="1" a="1"/>
  <c r="L123" i="8"/>
  <c r="M123" i="8" s="1" a="1"/>
  <c r="L124" i="8"/>
  <c r="M124" i="8" s="1" a="1"/>
  <c r="L125" i="8"/>
  <c r="M125" i="8" s="1" a="1"/>
  <c r="L126" i="8"/>
  <c r="M126" i="8" s="1" a="1"/>
  <c r="L127" i="8"/>
  <c r="M127" i="8" s="1" a="1"/>
  <c r="L128" i="8"/>
  <c r="M128" i="8" s="1" a="1"/>
  <c r="L129" i="8"/>
  <c r="M129" i="8" s="1" a="1"/>
  <c r="L130" i="8"/>
  <c r="M130" i="8" s="1" a="1"/>
  <c r="L131" i="8"/>
  <c r="M131" i="8" s="1" a="1"/>
  <c r="L132" i="8"/>
  <c r="M132" i="8" s="1" a="1"/>
  <c r="L133" i="8"/>
  <c r="M133" i="8" a="1"/>
  <c r="L134" i="8"/>
  <c r="M134" i="8" s="1" a="1"/>
  <c r="L135" i="8"/>
  <c r="M135" i="8" s="1" a="1"/>
  <c r="L136" i="8"/>
  <c r="M136" i="8" s="1" a="1"/>
  <c r="L137" i="8"/>
  <c r="M137" i="8" a="1"/>
  <c r="L138" i="8"/>
  <c r="M138" i="8" s="1" a="1"/>
  <c r="L139" i="8"/>
  <c r="M139" i="8" a="1"/>
  <c r="L140" i="8"/>
  <c r="M140" i="8" s="1" a="1"/>
  <c r="L141" i="8"/>
  <c r="M141" i="8" s="1" a="1"/>
  <c r="L142" i="8"/>
  <c r="M142" i="8" s="1" a="1"/>
  <c r="L143" i="8"/>
  <c r="M143" i="8" s="1" a="1"/>
  <c r="L144" i="8"/>
  <c r="M144" i="8" s="1" a="1"/>
  <c r="L145" i="8"/>
  <c r="M145" i="8" s="1" a="1"/>
  <c r="L146" i="8"/>
  <c r="M146" i="8" s="1" a="1"/>
  <c r="L147" i="8"/>
  <c r="M147" i="8" s="1" a="1"/>
  <c r="L148" i="8"/>
  <c r="M148" i="8" s="1" a="1"/>
  <c r="L149" i="8"/>
  <c r="M149" i="8" s="1" a="1"/>
  <c r="L150" i="8"/>
  <c r="M150" i="8" s="1" a="1"/>
  <c r="L151" i="8"/>
  <c r="M151" i="8" a="1"/>
  <c r="L152" i="8"/>
  <c r="M152" i="8" a="1"/>
  <c r="L153" i="8"/>
  <c r="M153" i="8" s="1" a="1"/>
  <c r="L154" i="8"/>
  <c r="M154" i="8" s="1" a="1"/>
  <c r="L155" i="8"/>
  <c r="M155" i="8" s="1" a="1"/>
  <c r="L156" i="8"/>
  <c r="M156" i="8" s="1" a="1"/>
  <c r="L157" i="8"/>
  <c r="M157" i="8" s="1" a="1"/>
  <c r="L158" i="8"/>
  <c r="M158" i="8" s="1" a="1"/>
  <c r="L159" i="8"/>
  <c r="M159" i="8" s="1" a="1"/>
  <c r="L160" i="8"/>
  <c r="M160" i="8" s="1" a="1"/>
  <c r="L161" i="8"/>
  <c r="M161" i="8" s="1" a="1"/>
  <c r="L162" i="8"/>
  <c r="M162" i="8" s="1" a="1"/>
  <c r="L163" i="8"/>
  <c r="M163" i="8" s="1" a="1"/>
  <c r="L164" i="8"/>
  <c r="M164" i="8" s="1" a="1"/>
  <c r="L165" i="8"/>
  <c r="M165" i="8" s="1" a="1"/>
  <c r="L166" i="8"/>
  <c r="M166" i="8" s="1" a="1"/>
  <c r="L167" i="8"/>
  <c r="M167" i="8" s="1" a="1"/>
  <c r="L168" i="8"/>
  <c r="M168" i="8" s="1" a="1"/>
  <c r="L169" i="8"/>
  <c r="M169" i="8" s="1" a="1"/>
  <c r="L170" i="8"/>
  <c r="M170" i="8" s="1" a="1"/>
  <c r="L171" i="8"/>
  <c r="M171" i="8" s="1" a="1"/>
  <c r="L172" i="8"/>
  <c r="M172" i="8" s="1" a="1"/>
  <c r="L173" i="8"/>
  <c r="M173" i="8" s="1" a="1"/>
  <c r="L174" i="8"/>
  <c r="M174" i="8" s="1" a="1"/>
  <c r="L175" i="8"/>
  <c r="M175" i="8" s="1" a="1"/>
  <c r="L176" i="8"/>
  <c r="M176" i="8" s="1" a="1"/>
  <c r="L177" i="8"/>
  <c r="M177" i="8" s="1" a="1"/>
  <c r="L178" i="8"/>
  <c r="M178" i="8" s="1" a="1"/>
  <c r="L179" i="8"/>
  <c r="M179" i="8" s="1" a="1"/>
  <c r="L180" i="8"/>
  <c r="M180" i="8" s="1" a="1"/>
  <c r="L181" i="8"/>
  <c r="M181" i="8" s="1" a="1"/>
  <c r="L182" i="8"/>
  <c r="M182" i="8" s="1" a="1"/>
  <c r="L183" i="8"/>
  <c r="M183" i="8" s="1" a="1"/>
  <c r="L184" i="8"/>
  <c r="M184" i="8" s="1" a="1"/>
  <c r="L185" i="8"/>
  <c r="M185" i="8" s="1" a="1"/>
  <c r="L186" i="8"/>
  <c r="M186" i="8" s="1" a="1"/>
  <c r="L187" i="8"/>
  <c r="M187" i="8" s="1" a="1"/>
  <c r="L188" i="8"/>
  <c r="M188" i="8" s="1" a="1"/>
  <c r="L189" i="8"/>
  <c r="M189" i="8" s="1" a="1"/>
  <c r="L190" i="8"/>
  <c r="M190" i="8" s="1" a="1"/>
  <c r="L191" i="8"/>
  <c r="M191" i="8" s="1" a="1"/>
  <c r="L192" i="8"/>
  <c r="M192" i="8" s="1" a="1"/>
  <c r="L193" i="8"/>
  <c r="M193" i="8" s="1" a="1"/>
  <c r="L194" i="8"/>
  <c r="M194" i="8" a="1"/>
  <c r="L195" i="8"/>
  <c r="M195" i="8" s="1" a="1"/>
  <c r="L196" i="8"/>
  <c r="M196" i="8" a="1"/>
  <c r="L197" i="8"/>
  <c r="M197" i="8" a="1"/>
  <c r="L198" i="8"/>
  <c r="M198" i="8" s="1" a="1"/>
  <c r="L199" i="8"/>
  <c r="M199" i="8" s="1" a="1"/>
  <c r="L200" i="8"/>
  <c r="M200" i="8" s="1" a="1"/>
  <c r="L201" i="8"/>
  <c r="M201" i="8" s="1" a="1"/>
  <c r="L202" i="8"/>
  <c r="M202" i="8" s="1" a="1"/>
  <c r="L203" i="8"/>
  <c r="M203" i="8" s="1" a="1"/>
  <c r="L204" i="8"/>
  <c r="M204" i="8" s="1" a="1"/>
  <c r="L205" i="8"/>
  <c r="M205" i="8" a="1"/>
  <c r="L206" i="8"/>
  <c r="M206" i="8" s="1" a="1"/>
  <c r="L207" i="8"/>
  <c r="M207" i="8" s="1" a="1"/>
  <c r="L208" i="8"/>
  <c r="M208" i="8" s="1" a="1"/>
  <c r="L209" i="8"/>
  <c r="M209" i="8" s="1" a="1"/>
  <c r="L210" i="8"/>
  <c r="M210" i="8" a="1"/>
  <c r="L211" i="8"/>
  <c r="M211" i="8" a="1"/>
  <c r="L212" i="8"/>
  <c r="M212" i="8" s="1" a="1"/>
  <c r="L213" i="8"/>
  <c r="M213" i="8" a="1"/>
  <c r="L214" i="8"/>
  <c r="M214" i="8" a="1"/>
  <c r="L215" i="8"/>
  <c r="M215" i="8" s="1" a="1"/>
  <c r="L216" i="8"/>
  <c r="M216" i="8" s="1" a="1"/>
  <c r="L217" i="8"/>
  <c r="M217" i="8" s="1" a="1"/>
  <c r="L218" i="8"/>
  <c r="M218" i="8" s="1" a="1"/>
  <c r="L219" i="8"/>
  <c r="M219" i="8" s="1" a="1"/>
  <c r="L220" i="8"/>
  <c r="M220" i="8" s="1" a="1"/>
  <c r="L221" i="8"/>
  <c r="M221" i="8" s="1" a="1"/>
  <c r="L222" i="8"/>
  <c r="M222" i="8" s="1" a="1"/>
  <c r="L223" i="8"/>
  <c r="M223" i="8" s="1" a="1"/>
  <c r="L224" i="8"/>
  <c r="M224" i="8" s="1" a="1"/>
  <c r="L225" i="8"/>
  <c r="M225" i="8" s="1" a="1"/>
  <c r="L226" i="8"/>
  <c r="M226" i="8" s="1" a="1"/>
  <c r="L227" i="8"/>
  <c r="M227" i="8" s="1" a="1"/>
  <c r="L228" i="8"/>
  <c r="M228" i="8" a="1"/>
  <c r="L229" i="8"/>
  <c r="M229" i="8" s="1" a="1"/>
  <c r="L230" i="8"/>
  <c r="M230" i="8" s="1" a="1"/>
  <c r="L231" i="8"/>
  <c r="M231" i="8" s="1" a="1"/>
  <c r="L232" i="8"/>
  <c r="M232" i="8" a="1"/>
  <c r="L233" i="8"/>
  <c r="M233" i="8" s="1" a="1"/>
  <c r="L234" i="8"/>
  <c r="M234" i="8" s="1" a="1"/>
  <c r="L235" i="8"/>
  <c r="M235" i="8" a="1"/>
  <c r="L236" i="8"/>
  <c r="M236" i="8" s="1" a="1"/>
  <c r="L237" i="8"/>
  <c r="M237" i="8" a="1"/>
  <c r="L238" i="8"/>
  <c r="M238" i="8" a="1"/>
  <c r="L239" i="8"/>
  <c r="M239" i="8" a="1"/>
  <c r="L240" i="8"/>
  <c r="M240" i="8" a="1"/>
  <c r="L241" i="8"/>
  <c r="M241" i="8" s="1" a="1"/>
  <c r="L242" i="8"/>
  <c r="M242" i="8" a="1"/>
  <c r="L243" i="8"/>
  <c r="M243" i="8" s="1" a="1"/>
  <c r="L244" i="8"/>
  <c r="M244" i="8" s="1" a="1"/>
  <c r="L245" i="8"/>
  <c r="M245" i="8" a="1"/>
  <c r="L246" i="8"/>
  <c r="M246" i="8" a="1"/>
  <c r="L247" i="8"/>
  <c r="M247" i="8" a="1"/>
  <c r="L248" i="8"/>
  <c r="M248" i="8" s="1" a="1"/>
  <c r="L249" i="8"/>
  <c r="M249" i="8" a="1"/>
  <c r="L250" i="8"/>
  <c r="M250" i="8" a="1"/>
  <c r="L251" i="8"/>
  <c r="M251" i="8" a="1"/>
  <c r="L252" i="8"/>
  <c r="M252" i="8" a="1"/>
  <c r="L253" i="8"/>
  <c r="M253" i="8" a="1"/>
  <c r="L254" i="8"/>
  <c r="M254" i="8" a="1"/>
  <c r="L255" i="8"/>
  <c r="M255" i="8" a="1"/>
  <c r="L256" i="8"/>
  <c r="M256" i="8" a="1"/>
  <c r="L257" i="8"/>
  <c r="M257" i="8" s="1" a="1"/>
  <c r="L258" i="8"/>
  <c r="M258" i="8" a="1"/>
  <c r="L259" i="8"/>
  <c r="M259" i="8" a="1"/>
  <c r="L260" i="8"/>
  <c r="M260" i="8" a="1"/>
  <c r="L261" i="8"/>
  <c r="M261" i="8" s="1" a="1"/>
  <c r="L262" i="8"/>
  <c r="M262" i="8" s="1" a="1"/>
  <c r="L263" i="8"/>
  <c r="M263" i="8" a="1"/>
  <c r="L264" i="8"/>
  <c r="M264" i="8" a="1"/>
  <c r="L265" i="8"/>
  <c r="M265" i="8" s="1" a="1"/>
  <c r="L266" i="8"/>
  <c r="M266" i="8" a="1"/>
  <c r="L267" i="8"/>
  <c r="M267" i="8" a="1"/>
  <c r="L268" i="8"/>
  <c r="M268" i="8" s="1" a="1"/>
  <c r="L269" i="8"/>
  <c r="M269" i="8" a="1"/>
  <c r="L270" i="8"/>
  <c r="M270" i="8" a="1"/>
  <c r="L271" i="8"/>
  <c r="M271" i="8" a="1"/>
  <c r="L272" i="8"/>
  <c r="M272" i="8" s="1" a="1"/>
  <c r="L273" i="8"/>
  <c r="M273" i="8" s="1" a="1"/>
  <c r="L274" i="8"/>
  <c r="M274" i="8" s="1" a="1"/>
  <c r="L275" i="8"/>
  <c r="M275" i="8" a="1"/>
  <c r="L276" i="8"/>
  <c r="M276" i="8" s="1" a="1"/>
  <c r="L277" i="8"/>
  <c r="M277" i="8" a="1"/>
  <c r="L278" i="8"/>
  <c r="M278" i="8" s="1" a="1"/>
  <c r="L279" i="8"/>
  <c r="M279" i="8" s="1" a="1"/>
  <c r="L280" i="8"/>
  <c r="M280" i="8" s="1" a="1"/>
  <c r="L281" i="8"/>
  <c r="M281" i="8" a="1"/>
  <c r="L282" i="8"/>
  <c r="M282" i="8" s="1" a="1"/>
  <c r="L283" i="8"/>
  <c r="M283" i="8" a="1"/>
  <c r="L284" i="8"/>
  <c r="M284" i="8" a="1"/>
  <c r="L285" i="8"/>
  <c r="M285" i="8" a="1"/>
  <c r="L286" i="8"/>
  <c r="M286" i="8" a="1"/>
  <c r="L287" i="8"/>
  <c r="M287" i="8" s="1" a="1"/>
  <c r="L288" i="8"/>
  <c r="M288" i="8" s="1" a="1"/>
  <c r="L289" i="8"/>
  <c r="M289" i="8" s="1" a="1"/>
  <c r="L290" i="8"/>
  <c r="M290" i="8" s="1" a="1"/>
  <c r="L291" i="8"/>
  <c r="M291" i="8" s="1" a="1"/>
  <c r="L292" i="8"/>
  <c r="M292" i="8" s="1" a="1"/>
  <c r="L293" i="8"/>
  <c r="M293" i="8" s="1" a="1"/>
  <c r="L294" i="8"/>
  <c r="M294" i="8" s="1" a="1"/>
  <c r="L295" i="8"/>
  <c r="M295" i="8" s="1" a="1"/>
  <c r="L296" i="8"/>
  <c r="M296" i="8" s="1" a="1"/>
  <c r="L297" i="8"/>
  <c r="M297" i="8" s="1" a="1"/>
  <c r="L298" i="8"/>
  <c r="M298" i="8" s="1" a="1"/>
  <c r="L299" i="8"/>
  <c r="M299" i="8" s="1" a="1"/>
  <c r="L300" i="8"/>
  <c r="M300" i="8" a="1"/>
  <c r="L301" i="8"/>
  <c r="M301" i="8" s="1" a="1"/>
  <c r="L302" i="8"/>
  <c r="M302" i="8" a="1"/>
  <c r="L303" i="8"/>
  <c r="M303" i="8" s="1" a="1"/>
  <c r="L304" i="8"/>
  <c r="M304" i="8" s="1" a="1"/>
  <c r="L305" i="8"/>
  <c r="M305" i="8" s="1" a="1"/>
  <c r="L306" i="8"/>
  <c r="M306" i="8" s="1" a="1"/>
  <c r="L307" i="8"/>
  <c r="M307" i="8" a="1"/>
  <c r="L308" i="8"/>
  <c r="M308" i="8" s="1" a="1"/>
  <c r="L309" i="8"/>
  <c r="M309" i="8" s="1" a="1"/>
  <c r="L310" i="8"/>
  <c r="M310" i="8" a="1"/>
  <c r="L311" i="8"/>
  <c r="M311" i="8" s="1" a="1"/>
  <c r="L312" i="8"/>
  <c r="M312" i="8" s="1" a="1"/>
  <c r="L313" i="8"/>
  <c r="M313" i="8" s="1" a="1"/>
  <c r="L314" i="8"/>
  <c r="M314" i="8" s="1" a="1"/>
  <c r="L315" i="8"/>
  <c r="M315" i="8" s="1" a="1"/>
  <c r="L316" i="8"/>
  <c r="M316" i="8" s="1" a="1"/>
  <c r="L317" i="8"/>
  <c r="M317" i="8" s="1" a="1"/>
  <c r="L318" i="8"/>
  <c r="M318" i="8" s="1" a="1"/>
  <c r="L319" i="8"/>
  <c r="M319" i="8" s="1" a="1"/>
  <c r="L320" i="8"/>
  <c r="M320" i="8" s="1" a="1"/>
  <c r="L321" i="8"/>
  <c r="M321" i="8" s="1" a="1"/>
  <c r="L322" i="8"/>
  <c r="M322" i="8" s="1" a="1"/>
  <c r="L323" i="8"/>
  <c r="M323" i="8" s="1" a="1"/>
  <c r="L324" i="8"/>
  <c r="M324" i="8" s="1" a="1"/>
  <c r="L325" i="8"/>
  <c r="M325" i="8" s="1" a="1"/>
  <c r="L326" i="8"/>
  <c r="M326" i="8" s="1" a="1"/>
  <c r="L327" i="8"/>
  <c r="M327" i="8" s="1" a="1"/>
  <c r="L328" i="8"/>
  <c r="M328" i="8" a="1"/>
  <c r="L329" i="8"/>
  <c r="M329" i="8" s="1" a="1"/>
  <c r="L330" i="8"/>
  <c r="M330" i="8" s="1" a="1"/>
  <c r="L331" i="8"/>
  <c r="M331" i="8" s="1" a="1"/>
  <c r="L332" i="8"/>
  <c r="M332" i="8" s="1" a="1"/>
  <c r="L333" i="8"/>
  <c r="M333" i="8" s="1" a="1"/>
  <c r="L334" i="8"/>
  <c r="M334" i="8" s="1" a="1"/>
  <c r="L335" i="8"/>
  <c r="M335" i="8" s="1" a="1"/>
  <c r="L336" i="8"/>
  <c r="M336" i="8" s="1" a="1"/>
  <c r="L337" i="8"/>
  <c r="M337" i="8" s="1" a="1"/>
  <c r="L338" i="8"/>
  <c r="M338" i="8" s="1" a="1"/>
  <c r="L339" i="8"/>
  <c r="M339" i="8" s="1" a="1"/>
  <c r="L340" i="8"/>
  <c r="M340" i="8" s="1" a="1"/>
  <c r="L341" i="8"/>
  <c r="M341" i="8" s="1" a="1"/>
  <c r="L342" i="8"/>
  <c r="M342" i="8" s="1" a="1"/>
  <c r="L343" i="8"/>
  <c r="M343" i="8" s="1" a="1"/>
  <c r="L344" i="8"/>
  <c r="M344" i="8" a="1"/>
  <c r="L345" i="8"/>
  <c r="M345" i="8" s="1" a="1"/>
  <c r="L346" i="8"/>
  <c r="M346" i="8" s="1" a="1"/>
  <c r="L347" i="8"/>
  <c r="M347" i="8" s="1" a="1"/>
  <c r="L348" i="8"/>
  <c r="M348" i="8" s="1" a="1"/>
  <c r="L349" i="8"/>
  <c r="M349" i="8" s="1" a="1"/>
  <c r="L350" i="8"/>
  <c r="M350" i="8" a="1"/>
  <c r="L351" i="8"/>
  <c r="M351" i="8" s="1" a="1"/>
  <c r="L352" i="8"/>
  <c r="M352" i="8" s="1" a="1"/>
  <c r="L353" i="8"/>
  <c r="M353" i="8" s="1" a="1"/>
  <c r="L354" i="8"/>
  <c r="M354" i="8" s="1" a="1"/>
  <c r="L355" i="8"/>
  <c r="M355" i="8" s="1" a="1"/>
  <c r="L356" i="8"/>
  <c r="M356" i="8" s="1" a="1"/>
  <c r="L357" i="8"/>
  <c r="M357" i="8" s="1" a="1"/>
  <c r="L358" i="8"/>
  <c r="M358" i="8" s="1" a="1"/>
  <c r="L359" i="8"/>
  <c r="M359" i="8" s="1" a="1"/>
  <c r="L360" i="8"/>
  <c r="M360" i="8" s="1" a="1"/>
  <c r="L361" i="8"/>
  <c r="M361" i="8" s="1" a="1"/>
  <c r="L362" i="8"/>
  <c r="M362" i="8" s="1" a="1"/>
  <c r="L363" i="8"/>
  <c r="M363" i="8" s="1" a="1"/>
  <c r="L364" i="8"/>
  <c r="M364" i="8" s="1" a="1"/>
  <c r="L365" i="8"/>
  <c r="M365" i="8" s="1" a="1"/>
  <c r="L366" i="8"/>
  <c r="M366" i="8" a="1"/>
  <c r="L367" i="8"/>
  <c r="M367" i="8" s="1" a="1"/>
  <c r="L368" i="8"/>
  <c r="M368" i="8" s="1" a="1"/>
  <c r="L369" i="8"/>
  <c r="M369" i="8" s="1" a="1"/>
  <c r="L370" i="8"/>
  <c r="M370" i="8" s="1" a="1"/>
  <c r="L371" i="8"/>
  <c r="M371" i="8" s="1" a="1"/>
  <c r="L372" i="8"/>
  <c r="M372" i="8" s="1" a="1"/>
  <c r="L373" i="8"/>
  <c r="M373" i="8" a="1"/>
  <c r="L374" i="8"/>
  <c r="M374" i="8" s="1" a="1"/>
  <c r="L375" i="8"/>
  <c r="M375" i="8" a="1"/>
  <c r="L376" i="8"/>
  <c r="M376" i="8" s="1" a="1"/>
  <c r="L377" i="8"/>
  <c r="M377" i="8" s="1" a="1"/>
  <c r="L378" i="8"/>
  <c r="M378" i="8" s="1" a="1"/>
  <c r="L379" i="8"/>
  <c r="M379" i="8" s="1" a="1"/>
  <c r="L380" i="8"/>
  <c r="M380" i="8" s="1" a="1"/>
  <c r="L381" i="8"/>
  <c r="M381" i="8" s="1" a="1"/>
  <c r="L382" i="8"/>
  <c r="M382" i="8" s="1" a="1"/>
  <c r="L383" i="8"/>
  <c r="M383" i="8" s="1" a="1"/>
  <c r="L384" i="8"/>
  <c r="M384" i="8" s="1" a="1"/>
  <c r="L385" i="8"/>
  <c r="M385" i="8" s="1" a="1"/>
  <c r="L386" i="8"/>
  <c r="M386" i="8" s="1" a="1"/>
  <c r="L387" i="8"/>
  <c r="M387" i="8" s="1" a="1"/>
  <c r="L388" i="8"/>
  <c r="M388" i="8" s="1" a="1"/>
  <c r="L389" i="8"/>
  <c r="M389" i="8" s="1" a="1"/>
  <c r="L390" i="8"/>
  <c r="M390" i="8" s="1" a="1"/>
  <c r="L391" i="8"/>
  <c r="M391" i="8" s="1" a="1"/>
  <c r="L392" i="8"/>
  <c r="M392" i="8" s="1" a="1"/>
  <c r="L393" i="8"/>
  <c r="M393" i="8" s="1" a="1"/>
  <c r="L394" i="8"/>
  <c r="M394" i="8" s="1" a="1"/>
  <c r="L395" i="8"/>
  <c r="M395" i="8" s="1" a="1"/>
  <c r="L396" i="8"/>
  <c r="M396" i="8" s="1" a="1"/>
  <c r="L397" i="8"/>
  <c r="M397" i="8" s="1" a="1"/>
  <c r="L398" i="8"/>
  <c r="M398" i="8" s="1" a="1"/>
  <c r="L399" i="8"/>
  <c r="M399" i="8" s="1" a="1"/>
  <c r="L400" i="8"/>
  <c r="M400" i="8" s="1" a="1"/>
  <c r="L401" i="8"/>
  <c r="M401" i="8" s="1" a="1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2" i="7"/>
  <c r="M102" i="5" a="1"/>
  <c r="M103" i="5" a="1"/>
  <c r="M104" i="5" a="1"/>
  <c r="M105" i="5" a="1"/>
  <c r="M106" i="5" a="1"/>
  <c r="M107" i="5" a="1"/>
  <c r="M108" i="5" a="1"/>
  <c r="M109" i="5" a="1"/>
  <c r="M110" i="5" a="1"/>
  <c r="M111" i="5" a="1"/>
  <c r="M112" i="5" a="1"/>
  <c r="M113" i="5" a="1"/>
  <c r="M114" i="5" a="1"/>
  <c r="M115" i="5" a="1"/>
  <c r="M116" i="5" a="1"/>
  <c r="M117" i="5" a="1"/>
  <c r="M118" i="5" a="1"/>
  <c r="M119" i="5" a="1"/>
  <c r="M120" i="5" a="1"/>
  <c r="M121" i="5" a="1"/>
  <c r="M122" i="5" a="1"/>
  <c r="M123" i="5" a="1"/>
  <c r="M124" i="5" a="1"/>
  <c r="M125" i="5" a="1"/>
  <c r="M126" i="5" a="1"/>
  <c r="M127" i="5" a="1"/>
  <c r="M128" i="5" a="1"/>
  <c r="M129" i="5" a="1"/>
  <c r="M130" i="5" a="1"/>
  <c r="M131" i="5" a="1"/>
  <c r="M132" i="5" a="1"/>
  <c r="M133" i="5" a="1"/>
  <c r="M134" i="5" a="1"/>
  <c r="M135" i="5" a="1"/>
  <c r="M136" i="5" a="1"/>
  <c r="M137" i="5" a="1"/>
  <c r="M138" i="5" a="1"/>
  <c r="M139" i="5" a="1"/>
  <c r="M140" i="5" a="1"/>
  <c r="M141" i="5" a="1"/>
  <c r="M142" i="5" a="1"/>
  <c r="M143" i="5" a="1"/>
  <c r="M144" i="5" a="1"/>
  <c r="M145" i="5" a="1"/>
  <c r="M146" i="5" a="1"/>
  <c r="M147" i="5" a="1"/>
  <c r="M148" i="5" a="1"/>
  <c r="M149" i="5" a="1"/>
  <c r="M150" i="5" a="1"/>
  <c r="M151" i="5" a="1"/>
  <c r="M152" i="5" a="1"/>
  <c r="M153" i="5" a="1"/>
  <c r="M154" i="5" a="1"/>
  <c r="M155" i="5" a="1"/>
  <c r="M156" i="5" a="1"/>
  <c r="M157" i="5" a="1"/>
  <c r="M158" i="5" a="1"/>
  <c r="M159" i="5" a="1"/>
  <c r="M160" i="5" a="1"/>
  <c r="M161" i="5" a="1"/>
  <c r="M162" i="5" a="1"/>
  <c r="M163" i="5" a="1"/>
  <c r="M164" i="5" a="1"/>
  <c r="M165" i="5" a="1"/>
  <c r="M166" i="5" a="1"/>
  <c r="M167" i="5" a="1"/>
  <c r="M168" i="5" a="1"/>
  <c r="M169" i="5" a="1"/>
  <c r="M170" i="5" a="1"/>
  <c r="M171" i="5" a="1"/>
  <c r="M172" i="5" a="1"/>
  <c r="M173" i="5" a="1"/>
  <c r="M174" i="5" a="1"/>
  <c r="M175" i="5" a="1"/>
  <c r="M176" i="5" a="1"/>
  <c r="M177" i="5" a="1"/>
  <c r="M178" i="5" a="1"/>
  <c r="M179" i="5" a="1"/>
  <c r="M180" i="5" a="1"/>
  <c r="M181" i="5" a="1"/>
  <c r="M182" i="5" a="1"/>
  <c r="M183" i="5" a="1"/>
  <c r="M184" i="5" a="1"/>
  <c r="M185" i="5" a="1"/>
  <c r="M186" i="5" a="1"/>
  <c r="M187" i="5" a="1"/>
  <c r="M188" i="5" a="1"/>
  <c r="M189" i="5" a="1"/>
  <c r="M190" i="5" a="1"/>
  <c r="M191" i="5" a="1"/>
  <c r="M192" i="5" a="1"/>
  <c r="M193" i="5" a="1"/>
  <c r="M194" i="5" a="1"/>
  <c r="M195" i="5" a="1"/>
  <c r="M196" i="5" a="1"/>
  <c r="M197" i="5" a="1"/>
  <c r="M198" i="5" a="1"/>
  <c r="M199" i="5" a="1"/>
  <c r="M200" i="5" a="1"/>
  <c r="M201" i="5" a="1"/>
  <c r="M202" i="5" a="1"/>
  <c r="M203" i="5" a="1"/>
  <c r="M204" i="5" a="1"/>
  <c r="M205" i="5" a="1"/>
  <c r="M206" i="5" a="1"/>
  <c r="M207" i="5" a="1"/>
  <c r="M208" i="5" a="1"/>
  <c r="M209" i="5" a="1"/>
  <c r="M210" i="5" a="1"/>
  <c r="M211" i="5" a="1"/>
  <c r="M212" i="5" a="1"/>
  <c r="M213" i="5" a="1"/>
  <c r="M214" i="5" a="1"/>
  <c r="M215" i="5" a="1"/>
  <c r="M216" i="5" a="1"/>
  <c r="M217" i="5" a="1"/>
  <c r="M218" i="5" a="1"/>
  <c r="M219" i="5" a="1"/>
  <c r="M220" i="5" a="1"/>
  <c r="M221" i="5" a="1"/>
  <c r="M222" i="5" a="1"/>
  <c r="M223" i="5" a="1"/>
  <c r="M224" i="5" a="1"/>
  <c r="M225" i="5" a="1"/>
  <c r="M226" i="5" a="1"/>
  <c r="M227" i="5" a="1"/>
  <c r="M228" i="5" a="1"/>
  <c r="M229" i="5" a="1"/>
  <c r="M230" i="5" a="1"/>
  <c r="M231" i="5" a="1"/>
  <c r="M232" i="5" a="1"/>
  <c r="M233" i="5" a="1"/>
  <c r="M234" i="5" a="1"/>
  <c r="M235" i="5" a="1"/>
  <c r="M236" i="5" a="1"/>
  <c r="M237" i="5" a="1"/>
  <c r="M238" i="5" a="1"/>
  <c r="M239" i="5" a="1"/>
  <c r="M240" i="5" a="1"/>
  <c r="M241" i="5" a="1"/>
  <c r="M242" i="5" a="1"/>
  <c r="M243" i="5" a="1"/>
  <c r="M244" i="5" a="1"/>
  <c r="M245" i="5" a="1"/>
  <c r="M246" i="5" a="1"/>
  <c r="M247" i="5" a="1"/>
  <c r="M248" i="5" a="1"/>
  <c r="M249" i="5" a="1"/>
  <c r="M250" i="5" a="1"/>
  <c r="M251" i="5" a="1"/>
  <c r="M252" i="5" a="1"/>
  <c r="M253" i="5" a="1"/>
  <c r="M254" i="5" a="1"/>
  <c r="M255" i="5" a="1"/>
  <c r="M256" i="5" a="1"/>
  <c r="M257" i="5" a="1"/>
  <c r="M258" i="5" a="1"/>
  <c r="M259" i="5" a="1"/>
  <c r="M260" i="5" a="1"/>
  <c r="M261" i="5" a="1"/>
  <c r="M262" i="5" a="1"/>
  <c r="M263" i="5" a="1"/>
  <c r="M264" i="5" a="1"/>
  <c r="M265" i="5" a="1"/>
  <c r="M266" i="5" a="1"/>
  <c r="M267" i="5" a="1"/>
  <c r="M268" i="5" a="1"/>
  <c r="M269" i="5" a="1"/>
  <c r="M270" i="5" a="1"/>
  <c r="M271" i="5" a="1"/>
  <c r="M272" i="5" a="1"/>
  <c r="M273" i="5" a="1"/>
  <c r="M274" i="5" a="1"/>
  <c r="M275" i="5" a="1"/>
  <c r="M276" i="5" a="1"/>
  <c r="M277" i="5" a="1"/>
  <c r="M278" i="5" a="1"/>
  <c r="M279" i="5" a="1"/>
  <c r="M280" i="5" a="1"/>
  <c r="M281" i="5" a="1"/>
  <c r="M282" i="5" a="1"/>
  <c r="M283" i="5" a="1"/>
  <c r="M284" i="5" a="1"/>
  <c r="M285" i="5" a="1"/>
  <c r="M286" i="5" a="1"/>
  <c r="M287" i="5" a="1"/>
  <c r="M288" i="5" a="1"/>
  <c r="M289" i="5" a="1"/>
  <c r="M290" i="5" a="1"/>
  <c r="M291" i="5" a="1"/>
  <c r="M292" i="5" a="1"/>
  <c r="M293" i="5" a="1"/>
  <c r="M294" i="5" a="1"/>
  <c r="M295" i="5" a="1"/>
  <c r="M296" i="5" a="1"/>
  <c r="M297" i="5" a="1"/>
  <c r="M298" i="5" a="1"/>
  <c r="M299" i="5" a="1"/>
  <c r="M300" i="5" a="1"/>
  <c r="M301" i="5" a="1"/>
  <c r="M302" i="5" a="1"/>
  <c r="M303" i="5" a="1"/>
  <c r="M304" i="5" a="1"/>
  <c r="M305" i="5" a="1"/>
  <c r="M306" i="5" a="1"/>
  <c r="M307" i="5" a="1"/>
  <c r="M308" i="5" a="1"/>
  <c r="M309" i="5" a="1"/>
  <c r="M310" i="5" a="1"/>
  <c r="M311" i="5" a="1"/>
  <c r="M312" i="5" a="1"/>
  <c r="M313" i="5" a="1"/>
  <c r="M314" i="5" a="1"/>
  <c r="M315" i="5" a="1"/>
  <c r="M316" i="5" a="1"/>
  <c r="M317" i="5" a="1"/>
  <c r="M318" i="5" a="1"/>
  <c r="M319" i="5" a="1"/>
  <c r="M320" i="5" a="1"/>
  <c r="M321" i="5" a="1"/>
  <c r="M322" i="5" a="1"/>
  <c r="M323" i="5" a="1"/>
  <c r="M324" i="5" a="1"/>
  <c r="M325" i="5" a="1"/>
  <c r="M326" i="5" a="1"/>
  <c r="M327" i="5" a="1"/>
  <c r="M328" i="5" a="1"/>
  <c r="M329" i="5" a="1"/>
  <c r="M330" i="5" a="1"/>
  <c r="M331" i="5" a="1"/>
  <c r="M332" i="5" a="1"/>
  <c r="M333" i="5" a="1"/>
  <c r="M334" i="5" a="1"/>
  <c r="M335" i="5" a="1"/>
  <c r="M336" i="5" a="1"/>
  <c r="M337" i="5" a="1"/>
  <c r="M338" i="5" a="1"/>
  <c r="M339" i="5" a="1"/>
  <c r="M340" i="5" a="1"/>
  <c r="M341" i="5" a="1"/>
  <c r="M342" i="5" a="1"/>
  <c r="M343" i="5" a="1"/>
  <c r="M344" i="5" a="1"/>
  <c r="M345" i="5" a="1"/>
  <c r="M346" i="5" a="1"/>
  <c r="M347" i="5" a="1"/>
  <c r="M348" i="5" a="1"/>
  <c r="M349" i="5" a="1"/>
  <c r="M350" i="5" a="1"/>
  <c r="M351" i="5" a="1"/>
  <c r="M352" i="5" a="1"/>
  <c r="M353" i="5" a="1"/>
  <c r="M354" i="5" a="1"/>
  <c r="M355" i="5" a="1"/>
  <c r="M356" i="5" a="1"/>
  <c r="M357" i="5" a="1"/>
  <c r="M358" i="5" a="1"/>
  <c r="M359" i="5" a="1"/>
  <c r="M360" i="5" a="1"/>
  <c r="M361" i="5" a="1"/>
  <c r="M362" i="5" a="1"/>
  <c r="M363" i="5" a="1"/>
  <c r="M364" i="5" a="1"/>
  <c r="M365" i="5" a="1"/>
  <c r="M366" i="5" a="1"/>
  <c r="M367" i="5" a="1"/>
  <c r="M368" i="5" a="1"/>
  <c r="M369" i="5" a="1"/>
  <c r="M370" i="5" a="1"/>
  <c r="M371" i="5" a="1"/>
  <c r="M372" i="5" a="1"/>
  <c r="M373" i="5" a="1"/>
  <c r="M374" i="5" a="1"/>
  <c r="M375" i="5" a="1"/>
  <c r="M376" i="5" a="1"/>
  <c r="M377" i="5" a="1"/>
  <c r="M378" i="5" a="1"/>
  <c r="M379" i="5" a="1"/>
  <c r="M380" i="5" a="1"/>
  <c r="M381" i="5" a="1"/>
  <c r="M382" i="5" a="1"/>
  <c r="M383" i="5" a="1"/>
  <c r="M384" i="5" a="1"/>
  <c r="M385" i="5" a="1"/>
  <c r="M386" i="5" a="1"/>
  <c r="M387" i="5" a="1"/>
  <c r="M388" i="5" a="1"/>
  <c r="M389" i="5" a="1"/>
  <c r="M390" i="5" a="1"/>
  <c r="M391" i="5" a="1"/>
  <c r="M392" i="5" a="1"/>
  <c r="M393" i="5" a="1"/>
  <c r="M394" i="5" a="1"/>
  <c r="M395" i="5" a="1"/>
  <c r="M396" i="5" a="1"/>
  <c r="M397" i="5" a="1"/>
  <c r="M398" i="5" a="1"/>
  <c r="M399" i="5" a="1"/>
  <c r="M400" i="5" a="1"/>
  <c r="M401" i="5" a="1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2" i="6"/>
  <c r="M3" i="5" a="1"/>
  <c r="M4" i="5" a="1"/>
  <c r="M5" i="5" a="1"/>
  <c r="M6" i="5" a="1"/>
  <c r="M7" i="5" a="1"/>
  <c r="M8" i="5" a="1"/>
  <c r="M9" i="5" a="1"/>
  <c r="M10" i="5" a="1"/>
  <c r="M11" i="5" a="1"/>
  <c r="M12" i="5" a="1"/>
  <c r="M13" i="5" a="1"/>
  <c r="M14" i="5" a="1"/>
  <c r="M15" i="5" a="1"/>
  <c r="M16" i="5" a="1"/>
  <c r="M17" i="5" a="1"/>
  <c r="M18" i="5" a="1"/>
  <c r="M19" i="5" a="1"/>
  <c r="M20" i="5" a="1"/>
  <c r="M21" i="5" a="1"/>
  <c r="M22" i="5" a="1"/>
  <c r="M23" i="5" a="1"/>
  <c r="M24" i="5" a="1"/>
  <c r="M25" i="5" a="1"/>
  <c r="M26" i="5" a="1"/>
  <c r="M27" i="5" a="1"/>
  <c r="M28" i="5" a="1"/>
  <c r="M29" i="5" a="1"/>
  <c r="M30" i="5" a="1"/>
  <c r="M31" i="5" a="1"/>
  <c r="M32" i="5" a="1"/>
  <c r="M33" i="5" a="1"/>
  <c r="M34" i="5" a="1"/>
  <c r="M35" i="5" a="1"/>
  <c r="M36" i="5" a="1"/>
  <c r="M37" i="5" a="1"/>
  <c r="M38" i="5" a="1"/>
  <c r="M39" i="5" a="1"/>
  <c r="M40" i="5" a="1"/>
  <c r="M41" i="5" a="1"/>
  <c r="M42" i="5" a="1"/>
  <c r="M43" i="5" a="1"/>
  <c r="M44" i="5" a="1"/>
  <c r="M45" i="5" a="1"/>
  <c r="M46" i="5" a="1"/>
  <c r="M47" i="5" a="1"/>
  <c r="M48" i="5" a="1"/>
  <c r="M49" i="5" a="1"/>
  <c r="M50" i="5" a="1"/>
  <c r="M51" i="5" a="1"/>
  <c r="M52" i="5" a="1"/>
  <c r="M53" i="5" a="1"/>
  <c r="M54" i="5" a="1"/>
  <c r="M55" i="5" a="1"/>
  <c r="M56" i="5" a="1"/>
  <c r="M57" i="5" a="1"/>
  <c r="M58" i="5" a="1"/>
  <c r="M59" i="5" a="1"/>
  <c r="M60" i="5" a="1"/>
  <c r="M61" i="5" a="1"/>
  <c r="M62" i="5" a="1"/>
  <c r="M63" i="5" a="1"/>
  <c r="M64" i="5" a="1"/>
  <c r="M65" i="5" a="1"/>
  <c r="M66" i="5" a="1"/>
  <c r="M67" i="5" a="1"/>
  <c r="M68" i="5" a="1"/>
  <c r="M69" i="5" a="1"/>
  <c r="M70" i="5" a="1"/>
  <c r="M71" i="5" a="1"/>
  <c r="M72" i="5" a="1"/>
  <c r="M73" i="5" a="1"/>
  <c r="M74" i="5" a="1"/>
  <c r="M75" i="5" a="1"/>
  <c r="M76" i="5" a="1"/>
  <c r="M77" i="5" a="1"/>
  <c r="M78" i="5" a="1"/>
  <c r="M79" i="5" a="1"/>
  <c r="M80" i="5" a="1"/>
  <c r="M81" i="5" a="1"/>
  <c r="M82" i="5" a="1"/>
  <c r="M83" i="5" a="1"/>
  <c r="M84" i="5" a="1"/>
  <c r="M85" i="5" a="1"/>
  <c r="M86" i="5" a="1"/>
  <c r="M87" i="5" a="1"/>
  <c r="M88" i="5" a="1"/>
  <c r="M89" i="5" a="1"/>
  <c r="M90" i="5" a="1"/>
  <c r="M91" i="5" a="1"/>
  <c r="M92" i="5" a="1"/>
  <c r="M93" i="5" a="1"/>
  <c r="M94" i="5" a="1"/>
  <c r="M95" i="5" a="1"/>
  <c r="M96" i="5" a="1"/>
  <c r="M97" i="5" a="1"/>
  <c r="M98" i="5" a="1"/>
  <c r="M99" i="5" a="1"/>
  <c r="M100" i="5" a="1"/>
  <c r="M101" i="5" a="1"/>
  <c r="M2" i="5" a="1"/>
  <c r="P2" i="3"/>
  <c r="O2" i="3"/>
  <c r="N2" i="3"/>
  <c r="M2" i="3"/>
  <c r="L2" i="3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2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2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2" i="11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2" i="10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2" i="9"/>
  <c r="L3" i="8"/>
  <c r="M3" i="8" s="1" a="1"/>
  <c r="L4" i="8"/>
  <c r="M4" i="8" s="1" a="1"/>
  <c r="L5" i="8"/>
  <c r="M5" i="8" s="1" a="1"/>
  <c r="L6" i="8"/>
  <c r="M6" i="8" s="1" a="1"/>
  <c r="L7" i="8"/>
  <c r="M7" i="8" s="1" a="1"/>
  <c r="L8" i="8"/>
  <c r="M8" i="8" s="1" a="1"/>
  <c r="L9" i="8"/>
  <c r="M9" i="8" s="1" a="1"/>
  <c r="L10" i="8"/>
  <c r="M10" i="8" s="1" a="1"/>
  <c r="L11" i="8"/>
  <c r="M11" i="8" s="1" a="1"/>
  <c r="L12" i="8"/>
  <c r="M12" i="8" s="1" a="1"/>
  <c r="L13" i="8"/>
  <c r="M13" i="8" s="1" a="1"/>
  <c r="L14" i="8"/>
  <c r="M14" i="8" s="1" a="1"/>
  <c r="L15" i="8"/>
  <c r="M15" i="8" s="1" a="1"/>
  <c r="L16" i="8"/>
  <c r="M16" i="8" s="1" a="1"/>
  <c r="L17" i="8"/>
  <c r="M17" i="8" s="1" a="1"/>
  <c r="L18" i="8"/>
  <c r="M18" i="8" s="1" a="1"/>
  <c r="L19" i="8"/>
  <c r="M19" i="8" s="1" a="1"/>
  <c r="L20" i="8"/>
  <c r="M20" i="8" s="1" a="1"/>
  <c r="L21" i="8"/>
  <c r="M21" i="8" s="1" a="1"/>
  <c r="L22" i="8"/>
  <c r="M22" i="8" s="1" a="1"/>
  <c r="L23" i="8"/>
  <c r="M23" i="8" s="1" a="1"/>
  <c r="L24" i="8"/>
  <c r="M24" i="8" s="1" a="1"/>
  <c r="L25" i="8"/>
  <c r="M25" i="8" s="1" a="1"/>
  <c r="L26" i="8"/>
  <c r="M26" i="8" s="1" a="1"/>
  <c r="L27" i="8"/>
  <c r="M27" i="8" s="1" a="1"/>
  <c r="L28" i="8"/>
  <c r="M28" i="8" s="1" a="1"/>
  <c r="L29" i="8"/>
  <c r="M29" i="8" s="1" a="1"/>
  <c r="L30" i="8"/>
  <c r="M30" i="8" s="1" a="1"/>
  <c r="L31" i="8"/>
  <c r="M31" i="8" s="1" a="1"/>
  <c r="L32" i="8"/>
  <c r="M32" i="8" s="1" a="1"/>
  <c r="L33" i="8"/>
  <c r="M33" i="8" s="1" a="1"/>
  <c r="L34" i="8"/>
  <c r="M34" i="8" s="1" a="1"/>
  <c r="L35" i="8"/>
  <c r="M35" i="8" s="1" a="1"/>
  <c r="L36" i="8"/>
  <c r="M36" i="8" s="1" a="1"/>
  <c r="L37" i="8"/>
  <c r="M37" i="8" s="1" a="1"/>
  <c r="L38" i="8"/>
  <c r="M38" i="8" s="1" a="1"/>
  <c r="L39" i="8"/>
  <c r="M39" i="8" s="1" a="1"/>
  <c r="L40" i="8"/>
  <c r="M40" i="8" s="1" a="1"/>
  <c r="L41" i="8"/>
  <c r="M41" i="8" s="1" a="1"/>
  <c r="L42" i="8"/>
  <c r="M42" i="8" s="1" a="1"/>
  <c r="L43" i="8"/>
  <c r="M43" i="8" s="1" a="1"/>
  <c r="L44" i="8"/>
  <c r="M44" i="8" s="1" a="1"/>
  <c r="L45" i="8"/>
  <c r="M45" i="8" s="1" a="1"/>
  <c r="L46" i="8"/>
  <c r="M46" i="8" s="1" a="1"/>
  <c r="L47" i="8"/>
  <c r="M47" i="8" s="1" a="1"/>
  <c r="L48" i="8"/>
  <c r="M48" i="8" s="1" a="1"/>
  <c r="L49" i="8"/>
  <c r="M49" i="8" s="1" a="1"/>
  <c r="L50" i="8"/>
  <c r="M50" i="8" s="1" a="1"/>
  <c r="L51" i="8"/>
  <c r="M51" i="8" s="1" a="1"/>
  <c r="L52" i="8"/>
  <c r="M52" i="8" s="1" a="1"/>
  <c r="L53" i="8"/>
  <c r="M53" i="8" s="1" a="1"/>
  <c r="L54" i="8"/>
  <c r="M54" i="8" s="1" a="1"/>
  <c r="L55" i="8"/>
  <c r="M55" i="8" s="1" a="1"/>
  <c r="L56" i="8"/>
  <c r="M56" i="8" s="1" a="1"/>
  <c r="L57" i="8"/>
  <c r="M57" i="8" s="1" a="1"/>
  <c r="L58" i="8"/>
  <c r="M58" i="8" s="1" a="1"/>
  <c r="L59" i="8"/>
  <c r="M59" i="8" s="1" a="1"/>
  <c r="L60" i="8"/>
  <c r="M60" i="8" s="1" a="1"/>
  <c r="L61" i="8"/>
  <c r="M61" i="8" s="1" a="1"/>
  <c r="L62" i="8"/>
  <c r="M62" i="8" s="1" a="1"/>
  <c r="L63" i="8"/>
  <c r="M63" i="8" s="1" a="1"/>
  <c r="L64" i="8"/>
  <c r="M64" i="8" s="1" a="1"/>
  <c r="L65" i="8"/>
  <c r="M65" i="8" s="1" a="1"/>
  <c r="L66" i="8"/>
  <c r="M66" i="8" s="1" a="1"/>
  <c r="L67" i="8"/>
  <c r="M67" i="8" s="1" a="1"/>
  <c r="L68" i="8"/>
  <c r="M68" i="8" s="1" a="1"/>
  <c r="L69" i="8"/>
  <c r="M69" i="8" s="1" a="1"/>
  <c r="L70" i="8"/>
  <c r="M70" i="8" s="1" a="1"/>
  <c r="L71" i="8"/>
  <c r="M71" i="8" s="1" a="1"/>
  <c r="L72" i="8"/>
  <c r="M72" i="8" s="1" a="1"/>
  <c r="L73" i="8"/>
  <c r="M73" i="8" s="1" a="1"/>
  <c r="L74" i="8"/>
  <c r="M74" i="8" s="1" a="1"/>
  <c r="L75" i="8"/>
  <c r="M75" i="8" s="1" a="1"/>
  <c r="L76" i="8"/>
  <c r="M76" i="8" s="1" a="1"/>
  <c r="L77" i="8"/>
  <c r="M77" i="8" s="1" a="1"/>
  <c r="L78" i="8"/>
  <c r="M78" i="8" s="1" a="1"/>
  <c r="L79" i="8"/>
  <c r="M79" i="8" s="1" a="1"/>
  <c r="L80" i="8"/>
  <c r="M80" i="8" s="1" a="1"/>
  <c r="L81" i="8"/>
  <c r="M81" i="8" s="1" a="1"/>
  <c r="L82" i="8"/>
  <c r="M82" i="8" s="1" a="1"/>
  <c r="L83" i="8"/>
  <c r="M83" i="8" s="1" a="1"/>
  <c r="L84" i="8"/>
  <c r="M84" i="8" s="1" a="1"/>
  <c r="L85" i="8"/>
  <c r="M85" i="8" s="1" a="1"/>
  <c r="L86" i="8"/>
  <c r="M86" i="8" s="1" a="1"/>
  <c r="L87" i="8"/>
  <c r="M87" i="8" s="1" a="1"/>
  <c r="L88" i="8"/>
  <c r="M88" i="8" s="1" a="1"/>
  <c r="L89" i="8"/>
  <c r="M89" i="8" s="1" a="1"/>
  <c r="L90" i="8"/>
  <c r="M90" i="8" s="1" a="1"/>
  <c r="L91" i="8"/>
  <c r="M91" i="8" s="1" a="1"/>
  <c r="L92" i="8"/>
  <c r="M92" i="8" s="1" a="1"/>
  <c r="L93" i="8"/>
  <c r="M93" i="8" s="1" a="1"/>
  <c r="L94" i="8"/>
  <c r="M94" i="8" s="1" a="1"/>
  <c r="L95" i="8"/>
  <c r="M95" i="8" s="1" a="1"/>
  <c r="L96" i="8"/>
  <c r="M96" i="8" s="1" a="1"/>
  <c r="L97" i="8"/>
  <c r="M97" i="8" s="1" a="1"/>
  <c r="L98" i="8"/>
  <c r="M98" i="8" s="1" a="1"/>
  <c r="L99" i="8"/>
  <c r="M99" i="8" s="1" a="1"/>
  <c r="L100" i="8"/>
  <c r="M100" i="8" s="1" a="1"/>
  <c r="L101" i="8"/>
  <c r="M101" i="8" s="1" a="1"/>
  <c r="L2" i="8"/>
  <c r="M2" i="8" s="1" a="1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<sst xmlns="http://schemas.openxmlformats.org/spreadsheetml/2006/main" count="24274" uniqueCount="90">
  <si>
    <t>Order_ID</t>
  </si>
  <si>
    <t>Product</t>
  </si>
  <si>
    <t>Order_Date</t>
  </si>
  <si>
    <t>Delivery_Date</t>
  </si>
  <si>
    <t>Quantity</t>
  </si>
  <si>
    <t>Keyboard</t>
  </si>
  <si>
    <t>Monitor</t>
  </si>
  <si>
    <t>Desk</t>
  </si>
  <si>
    <t>Chair</t>
  </si>
  <si>
    <t>Laptop</t>
  </si>
  <si>
    <t>Table</t>
  </si>
  <si>
    <t>Cabinet</t>
  </si>
  <si>
    <t>Mouse</t>
  </si>
  <si>
    <t>Customer</t>
  </si>
  <si>
    <t>City</t>
  </si>
  <si>
    <t>Category</t>
  </si>
  <si>
    <t>Unit_Price</t>
  </si>
  <si>
    <t>Discount_%</t>
  </si>
  <si>
    <t>Ritesh</t>
  </si>
  <si>
    <t>Nashik</t>
  </si>
  <si>
    <t>Stationery</t>
  </si>
  <si>
    <t>Notebook</t>
  </si>
  <si>
    <t>Pooja</t>
  </si>
  <si>
    <t>Solapur</t>
  </si>
  <si>
    <t>Furniture</t>
  </si>
  <si>
    <t>Meera</t>
  </si>
  <si>
    <t>Satara</t>
  </si>
  <si>
    <t>Aurangabad</t>
  </si>
  <si>
    <t>Vikram</t>
  </si>
  <si>
    <t>Arjun</t>
  </si>
  <si>
    <t>Neha</t>
  </si>
  <si>
    <t>Kolhapur</t>
  </si>
  <si>
    <t>Asha</t>
  </si>
  <si>
    <t>Nagpur</t>
  </si>
  <si>
    <t>Electronics</t>
  </si>
  <si>
    <t>Printer</t>
  </si>
  <si>
    <t>Stapler</t>
  </si>
  <si>
    <t>Pen Pack</t>
  </si>
  <si>
    <t>Mumbai</t>
  </si>
  <si>
    <t>Deepak</t>
  </si>
  <si>
    <t>Headset</t>
  </si>
  <si>
    <t>Nisha</t>
  </si>
  <si>
    <t>Pune</t>
  </si>
  <si>
    <t>Bookshelf</t>
  </si>
  <si>
    <t>Kiran</t>
  </si>
  <si>
    <t>Yash</t>
  </si>
  <si>
    <t>Nitin</t>
  </si>
  <si>
    <t>Ajay</t>
  </si>
  <si>
    <t>Marker</t>
  </si>
  <si>
    <t>Priya</t>
  </si>
  <si>
    <t>Komal</t>
  </si>
  <si>
    <t>Diary</t>
  </si>
  <si>
    <t>Manoj</t>
  </si>
  <si>
    <t>Sneha</t>
  </si>
  <si>
    <t>Sara</t>
  </si>
  <si>
    <t>Rohan</t>
  </si>
  <si>
    <t>Anita</t>
  </si>
  <si>
    <t>Total Quantity sold</t>
  </si>
  <si>
    <t>Average Unit Price</t>
  </si>
  <si>
    <t xml:space="preserve">Minimum Unit Price </t>
  </si>
  <si>
    <t>Maximum Unit Price</t>
  </si>
  <si>
    <t>Total orders</t>
  </si>
  <si>
    <t>Order Type</t>
  </si>
  <si>
    <t>Discount Eligibility</t>
  </si>
  <si>
    <t>Priority Order</t>
  </si>
  <si>
    <t>Final Amount</t>
  </si>
  <si>
    <t>Sales Grade</t>
  </si>
  <si>
    <t>Customer_Products</t>
  </si>
  <si>
    <t>Customer Code</t>
  </si>
  <si>
    <t>Product_code</t>
  </si>
  <si>
    <t>Short Product Name</t>
  </si>
  <si>
    <t>Customer_Upper</t>
  </si>
  <si>
    <t>Product_Lower</t>
  </si>
  <si>
    <t>Product_length</t>
  </si>
  <si>
    <t>Current Date</t>
  </si>
  <si>
    <t>Current_Date_Time</t>
  </si>
  <si>
    <t>Delivery_days</t>
  </si>
  <si>
    <t>Salesperson</t>
  </si>
  <si>
    <t>Kavya</t>
  </si>
  <si>
    <t>Amit</t>
  </si>
  <si>
    <t>Rahul</t>
  </si>
  <si>
    <t>Suresh</t>
  </si>
  <si>
    <t>Total sales</t>
  </si>
  <si>
    <t>Highest Final Amount</t>
  </si>
  <si>
    <t>Customer Name</t>
  </si>
  <si>
    <t>City with Maximum Orders</t>
  </si>
  <si>
    <t>Total Orders</t>
  </si>
  <si>
    <t>Row Labels</t>
  </si>
  <si>
    <t>Grand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</si>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</sst>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3" borderId="1" xfId="0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 vertical="top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NSHU BISHT" refreshedDate="46297.118325578704" createdVersion="8" refreshedVersion="8" minRefreshableVersion="3" recordCount="400" xr:uid="{FC0BAFFE-A440-4ABB-B10D-C248186DA234}">
  <cacheSource type="worksheet">
    <worksheetSource ref="A1:M401" sheet="Q8"/>
  </cacheSource>
  <cacheFields count="13">
    <cacheField name="Order_ID" numFmtId="0">
      <sharedItems containsSemiMixedTypes="0" containsString="0" containsNumber="1" containsInteger="1" minValue="1001" maxValue="1400"/>
    </cacheField>
    <cacheField name="Customer" numFmtId="0">
      <sharedItems/>
    </cacheField>
    <cacheField name="City" numFmtId="0">
      <sharedItems count="8">
        <s v="Satara"/>
        <s v="Aurangabad"/>
        <s v="Pune"/>
        <s v="Mumbai"/>
        <s v="Solapur"/>
        <s v="Nagpur"/>
        <s v="Kolhapur"/>
        <s v="Nashik"/>
      </sharedItems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20"/>
    </cacheField>
    <cacheField name="Unit_Price" numFmtId="0">
      <sharedItems containsSemiMixedTypes="0" containsString="0" containsNumber="1" containsInteger="1" minValue="30" maxValue="69793"/>
    </cacheField>
    <cacheField name="Discount_%" numFmtId="0">
      <sharedItems containsSemiMixedTypes="0" containsString="0" containsNumber="1" containsInteger="1" minValue="0" maxValue="15"/>
    </cacheField>
    <cacheField name="Order_Date" numFmtId="14">
      <sharedItems containsSemiMixedTypes="0" containsNonDate="0" containsDate="1" containsString="0" minDate="2026-01-01T00:00:00" maxDate="2026-06-30T00:00:00"/>
    </cacheField>
    <cacheField name="Delivery_Date" numFmtId="14">
      <sharedItems containsSemiMixedTypes="0" containsNonDate="0" containsDate="1" containsString="0" minDate="2026-01-07T00:00:00" maxDate="2026-07-07T00:00:00"/>
    </cacheField>
    <cacheField name="Salesperson" numFmtId="0">
      <sharedItems/>
    </cacheField>
    <cacheField name="Final Amount" numFmtId="1">
      <sharedItems containsSemiMixedTypes="0" containsString="0" containsNumber="1" minValue="50" maxValue="1219742.43"/>
    </cacheField>
    <cacheField name="Sales Gra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1003"/>
    <s v="Meera"/>
    <x v="0"/>
    <s v="Furniture"/>
    <s v="Table"/>
    <n v="20"/>
    <n v="2123"/>
    <n v="15"/>
    <d v="2026-06-10T00:00:00"/>
    <d v="2026-06-19T00:00:00"/>
    <s v="Rahul"/>
    <n v="36091"/>
    <s v="Good"/>
  </r>
  <r>
    <n v="1018"/>
    <s v="Yash"/>
    <x v="1"/>
    <s v="Stationery"/>
    <s v="Notebook"/>
    <n v="20"/>
    <n v="301"/>
    <n v="0"/>
    <d v="2026-03-08T00:00:00"/>
    <d v="2026-03-13T00:00:00"/>
    <s v="Priya"/>
    <n v="6020"/>
    <s v="Average"/>
  </r>
  <r>
    <n v="1032"/>
    <s v="Manoj"/>
    <x v="2"/>
    <s v="Electronics"/>
    <s v="Keyboard"/>
    <n v="20"/>
    <n v="11305"/>
    <n v="2"/>
    <d v="2026-05-21T00:00:00"/>
    <d v="2026-05-23T00:00:00"/>
    <s v="Priya"/>
    <n v="221578"/>
    <s v="Excellent"/>
  </r>
  <r>
    <n v="1036"/>
    <s v="Ritesh"/>
    <x v="1"/>
    <s v="Stationery"/>
    <s v="Stapler"/>
    <n v="20"/>
    <n v="161"/>
    <n v="7"/>
    <d v="2026-02-18T00:00:00"/>
    <d v="2026-02-24T00:00:00"/>
    <s v="Rahul"/>
    <n v="2994.6"/>
    <s v="Average"/>
  </r>
  <r>
    <n v="1043"/>
    <s v="Ajay"/>
    <x v="3"/>
    <s v="Electronics"/>
    <s v="Printer"/>
    <n v="20"/>
    <n v="46093"/>
    <n v="5"/>
    <d v="2026-03-10T00:00:00"/>
    <d v="2026-03-17T00:00:00"/>
    <s v="Priya"/>
    <n v="875767"/>
    <s v="Excellent"/>
  </r>
  <r>
    <n v="1059"/>
    <s v="Manoj"/>
    <x v="1"/>
    <s v="Stationery"/>
    <s v="Marker"/>
    <n v="20"/>
    <n v="112"/>
    <n v="10"/>
    <d v="2026-04-01T00:00:00"/>
    <d v="2026-04-10T00:00:00"/>
    <s v="Suresh"/>
    <n v="2016"/>
    <s v="Average"/>
  </r>
  <r>
    <n v="1064"/>
    <s v="Vikram"/>
    <x v="4"/>
    <s v="Stationery"/>
    <s v="Marker"/>
    <n v="20"/>
    <n v="191"/>
    <n v="7"/>
    <d v="2026-06-12T00:00:00"/>
    <d v="2026-06-22T00:00:00"/>
    <s v="Priya"/>
    <n v="3552.6"/>
    <s v="Average"/>
  </r>
  <r>
    <n v="1072"/>
    <s v="Pooja"/>
    <x v="1"/>
    <s v="Electronics"/>
    <s v="Mouse"/>
    <n v="20"/>
    <n v="58779"/>
    <n v="0"/>
    <d v="2026-01-13T00:00:00"/>
    <d v="2026-01-14T00:00:00"/>
    <s v="Rahul"/>
    <n v="1175580"/>
    <s v="Excellent"/>
  </r>
  <r>
    <n v="1088"/>
    <s v="Deepak"/>
    <x v="5"/>
    <s v="Electronics"/>
    <s v="Headset"/>
    <n v="20"/>
    <n v="41165"/>
    <n v="0"/>
    <d v="2026-02-15T00:00:00"/>
    <d v="2026-02-16T00:00:00"/>
    <s v="Amit"/>
    <n v="823300"/>
    <s v="Excellent"/>
  </r>
  <r>
    <n v="1106"/>
    <s v="Arjun"/>
    <x v="2"/>
    <s v="Furniture"/>
    <s v="Table"/>
    <n v="20"/>
    <n v="2141"/>
    <n v="2"/>
    <d v="2026-03-10T00:00:00"/>
    <d v="2026-03-16T00:00:00"/>
    <s v="Priya"/>
    <n v="41963.6"/>
    <s v="Good"/>
  </r>
  <r>
    <n v="1141"/>
    <s v="Ritesh"/>
    <x v="4"/>
    <s v="Furniture"/>
    <s v="Bookshelf"/>
    <n v="20"/>
    <n v="6835"/>
    <n v="2"/>
    <d v="2026-01-21T00:00:00"/>
    <d v="2026-01-31T00:00:00"/>
    <s v="Kavya"/>
    <n v="133966"/>
    <s v="Excellent"/>
  </r>
  <r>
    <n v="1151"/>
    <s v="Kiran"/>
    <x v="2"/>
    <s v="Stationery"/>
    <s v="Marker"/>
    <n v="20"/>
    <n v="272"/>
    <n v="15"/>
    <d v="2026-01-02T00:00:00"/>
    <d v="2026-01-07T00:00:00"/>
    <s v="Suresh"/>
    <n v="4624"/>
    <s v="Average"/>
  </r>
  <r>
    <n v="1159"/>
    <s v="Asha"/>
    <x v="2"/>
    <s v="Furniture"/>
    <s v="Chair"/>
    <n v="20"/>
    <n v="14000"/>
    <n v="15"/>
    <d v="2026-06-11T00:00:00"/>
    <d v="2026-06-14T00:00:00"/>
    <s v="Kavya"/>
    <n v="238000"/>
    <s v="Excellent"/>
  </r>
  <r>
    <n v="1167"/>
    <s v="Nitin"/>
    <x v="4"/>
    <s v="Stationery"/>
    <s v="Pen Pack"/>
    <n v="20"/>
    <n v="251"/>
    <n v="5"/>
    <d v="2026-05-18T00:00:00"/>
    <d v="2026-05-28T00:00:00"/>
    <s v="Priya"/>
    <n v="4769"/>
    <s v="Average"/>
  </r>
  <r>
    <n v="1196"/>
    <s v="Nitin"/>
    <x v="0"/>
    <s v="Electronics"/>
    <s v="Printer"/>
    <n v="20"/>
    <n v="3172"/>
    <n v="5"/>
    <d v="2026-05-13T00:00:00"/>
    <d v="2026-05-17T00:00:00"/>
    <s v="Amit"/>
    <n v="60268"/>
    <s v="Very Good"/>
  </r>
  <r>
    <n v="1233"/>
    <s v="Rohan"/>
    <x v="0"/>
    <s v="Furniture"/>
    <s v="Desk"/>
    <n v="20"/>
    <n v="13941"/>
    <n v="15"/>
    <d v="2026-06-25T00:00:00"/>
    <d v="2026-06-29T00:00:00"/>
    <s v="Rahul"/>
    <n v="236997"/>
    <s v="Excellent"/>
  </r>
  <r>
    <n v="1253"/>
    <s v="Meera"/>
    <x v="6"/>
    <s v="Electronics"/>
    <s v="Monitor"/>
    <n v="20"/>
    <n v="47880"/>
    <n v="7"/>
    <d v="2026-02-21T00:00:00"/>
    <d v="2026-02-22T00:00:00"/>
    <s v="Priya"/>
    <n v="890567.99999999988"/>
    <s v="Excellent"/>
  </r>
  <r>
    <n v="1261"/>
    <s v="Deepak"/>
    <x v="4"/>
    <s v="Stationery"/>
    <s v="Marker"/>
    <n v="20"/>
    <n v="162"/>
    <n v="7"/>
    <d v="2026-04-07T00:00:00"/>
    <d v="2026-04-08T00:00:00"/>
    <s v="Suresh"/>
    <n v="3013.2"/>
    <s v="Average"/>
  </r>
  <r>
    <n v="1271"/>
    <s v="Deepak"/>
    <x v="5"/>
    <s v="Electronics"/>
    <s v="Laptop"/>
    <n v="20"/>
    <n v="36941"/>
    <n v="15"/>
    <d v="2026-03-02T00:00:00"/>
    <d v="2026-03-04T00:00:00"/>
    <s v="Priya"/>
    <n v="627997"/>
    <s v="Excellent"/>
  </r>
  <r>
    <n v="1275"/>
    <s v="Pooja"/>
    <x v="6"/>
    <s v="Stationery"/>
    <s v="Marker"/>
    <n v="20"/>
    <n v="451"/>
    <n v="15"/>
    <d v="2026-03-11T00:00:00"/>
    <d v="2026-03-13T00:00:00"/>
    <s v="Amit"/>
    <n v="7667"/>
    <s v="Average"/>
  </r>
  <r>
    <n v="1279"/>
    <s v="Sneha"/>
    <x v="5"/>
    <s v="Electronics"/>
    <s v="Monitor"/>
    <n v="20"/>
    <n v="49042"/>
    <n v="2"/>
    <d v="2026-04-12T00:00:00"/>
    <d v="2026-04-14T00:00:00"/>
    <s v="Kavya"/>
    <n v="961223.2"/>
    <s v="Excellent"/>
  </r>
  <r>
    <n v="1300"/>
    <s v="Yash"/>
    <x v="5"/>
    <s v="Electronics"/>
    <s v="Monitor"/>
    <n v="20"/>
    <n v="1392"/>
    <n v="2"/>
    <d v="2026-03-29T00:00:00"/>
    <d v="2026-04-05T00:00:00"/>
    <s v="Rahul"/>
    <n v="27283.200000000001"/>
    <s v="Good"/>
  </r>
  <r>
    <n v="1304"/>
    <s v="Anita"/>
    <x v="1"/>
    <s v="Stationery"/>
    <s v="Stapler"/>
    <n v="20"/>
    <n v="368"/>
    <n v="7"/>
    <d v="2026-01-20T00:00:00"/>
    <d v="2026-01-29T00:00:00"/>
    <s v="Suresh"/>
    <n v="6844.7999999999993"/>
    <s v="Average"/>
  </r>
  <r>
    <n v="1305"/>
    <s v="Rohan"/>
    <x v="6"/>
    <s v="Electronics"/>
    <s v="Laptop"/>
    <n v="20"/>
    <n v="31406"/>
    <n v="15"/>
    <d v="2026-05-04T00:00:00"/>
    <d v="2026-05-12T00:00:00"/>
    <s v="Suresh"/>
    <n v="533902"/>
    <s v="Excellent"/>
  </r>
  <r>
    <n v="1312"/>
    <s v="Sara"/>
    <x v="0"/>
    <s v="Furniture"/>
    <s v="Cabinet"/>
    <n v="20"/>
    <n v="3274"/>
    <n v="2"/>
    <d v="2026-05-06T00:00:00"/>
    <d v="2026-05-14T00:00:00"/>
    <s v="Rahul"/>
    <n v="64170.400000000001"/>
    <s v="Very Good"/>
  </r>
  <r>
    <n v="1320"/>
    <s v="Yash"/>
    <x v="3"/>
    <s v="Stationery"/>
    <s v="Stapler"/>
    <n v="20"/>
    <n v="55"/>
    <n v="7"/>
    <d v="2026-06-10T00:00:00"/>
    <d v="2026-06-13T00:00:00"/>
    <s v="Amit"/>
    <n v="1022.9999999999999"/>
    <s v="Average"/>
  </r>
  <r>
    <n v="1333"/>
    <s v="Priya"/>
    <x v="3"/>
    <s v="Stationery"/>
    <s v="Diary"/>
    <n v="20"/>
    <n v="416"/>
    <n v="12"/>
    <d v="2026-05-03T00:00:00"/>
    <d v="2026-05-04T00:00:00"/>
    <s v="Suresh"/>
    <n v="7321.6"/>
    <s v="Average"/>
  </r>
  <r>
    <n v="1349"/>
    <s v="Deepak"/>
    <x v="5"/>
    <s v="Electronics"/>
    <s v="Printer"/>
    <n v="20"/>
    <n v="62721"/>
    <n v="7"/>
    <d v="2026-02-26T00:00:00"/>
    <d v="2026-03-02T00:00:00"/>
    <s v="Amit"/>
    <n v="1166610.5999999999"/>
    <s v="Excellent"/>
  </r>
  <r>
    <n v="1366"/>
    <s v="Vikram"/>
    <x v="4"/>
    <s v="Electronics"/>
    <s v="Mouse"/>
    <n v="20"/>
    <n v="44312"/>
    <n v="10"/>
    <d v="2026-01-25T00:00:00"/>
    <d v="2026-02-01T00:00:00"/>
    <s v="Priya"/>
    <n v="797616"/>
    <s v="Excellent"/>
  </r>
  <r>
    <n v="1375"/>
    <s v="Kiran"/>
    <x v="2"/>
    <s v="Electronics"/>
    <s v="Monitor"/>
    <n v="20"/>
    <n v="56766"/>
    <n v="0"/>
    <d v="2026-01-30T00:00:00"/>
    <d v="2026-02-08T00:00:00"/>
    <s v="Rahul"/>
    <n v="1135320"/>
    <s v="Excellent"/>
  </r>
  <r>
    <n v="1376"/>
    <s v="Komal"/>
    <x v="6"/>
    <s v="Stationery"/>
    <s v="Marker"/>
    <n v="20"/>
    <n v="429"/>
    <n v="5"/>
    <d v="2026-06-05T00:00:00"/>
    <d v="2026-06-11T00:00:00"/>
    <s v="Amit"/>
    <n v="8151"/>
    <s v="Average"/>
  </r>
  <r>
    <n v="1007"/>
    <s v="Meera"/>
    <x v="0"/>
    <s v="Stationery"/>
    <s v="Notebook"/>
    <n v="19"/>
    <n v="149"/>
    <n v="7"/>
    <d v="2026-05-20T00:00:00"/>
    <d v="2026-05-26T00:00:00"/>
    <s v="Rahul"/>
    <n v="2632.83"/>
    <s v="Average"/>
  </r>
  <r>
    <n v="1014"/>
    <s v="Deepak"/>
    <x v="4"/>
    <s v="Electronics"/>
    <s v="Headset"/>
    <n v="19"/>
    <n v="53683"/>
    <n v="12"/>
    <d v="2026-04-17T00:00:00"/>
    <d v="2026-04-22T00:00:00"/>
    <s v="Priya"/>
    <n v="897579.76"/>
    <s v="Excellent"/>
  </r>
  <r>
    <n v="1076"/>
    <s v="Priya"/>
    <x v="4"/>
    <s v="Electronics"/>
    <s v="Printer"/>
    <n v="19"/>
    <n v="26714"/>
    <n v="5"/>
    <d v="2026-01-23T00:00:00"/>
    <d v="2026-02-02T00:00:00"/>
    <s v="Priya"/>
    <n v="482187.69999999995"/>
    <s v="Excellent"/>
  </r>
  <r>
    <n v="1079"/>
    <s v="Vikram"/>
    <x v="3"/>
    <s v="Electronics"/>
    <s v="Headset"/>
    <n v="19"/>
    <n v="48956"/>
    <n v="12"/>
    <d v="2026-05-28T00:00:00"/>
    <d v="2026-06-04T00:00:00"/>
    <s v="Suresh"/>
    <n v="818544.32"/>
    <s v="Excellent"/>
  </r>
  <r>
    <n v="1085"/>
    <s v="Asha"/>
    <x v="3"/>
    <s v="Electronics"/>
    <s v="Laptop"/>
    <n v="19"/>
    <n v="45307"/>
    <n v="12"/>
    <d v="2026-05-04T00:00:00"/>
    <d v="2026-05-08T00:00:00"/>
    <s v="Rahul"/>
    <n v="757533.04"/>
    <s v="Excellent"/>
  </r>
  <r>
    <n v="1090"/>
    <s v="Ajay"/>
    <x v="6"/>
    <s v="Electronics"/>
    <s v="Monitor"/>
    <n v="19"/>
    <n v="66139"/>
    <n v="5"/>
    <d v="2026-03-07T00:00:00"/>
    <d v="2026-03-14T00:00:00"/>
    <s v="Rahul"/>
    <n v="1193808.95"/>
    <s v="Excellent"/>
  </r>
  <r>
    <n v="1109"/>
    <s v="Meera"/>
    <x v="6"/>
    <s v="Furniture"/>
    <s v="Bookshelf"/>
    <n v="19"/>
    <n v="6512"/>
    <n v="10"/>
    <d v="2026-01-11T00:00:00"/>
    <d v="2026-01-15T00:00:00"/>
    <s v="Amit"/>
    <n v="111355.2"/>
    <s v="Excellent"/>
  </r>
  <r>
    <n v="1136"/>
    <s v="Arjun"/>
    <x v="2"/>
    <s v="Furniture"/>
    <s v="Cabinet"/>
    <n v="19"/>
    <n v="14528"/>
    <n v="12"/>
    <d v="2026-02-03T00:00:00"/>
    <d v="2026-02-09T00:00:00"/>
    <s v="Rahul"/>
    <n v="242908.16"/>
    <s v="Excellent"/>
  </r>
  <r>
    <n v="1153"/>
    <s v="Nisha"/>
    <x v="1"/>
    <s v="Furniture"/>
    <s v="Table"/>
    <n v="19"/>
    <n v="10273"/>
    <n v="12"/>
    <d v="2026-02-16T00:00:00"/>
    <d v="2026-02-19T00:00:00"/>
    <s v="Priya"/>
    <n v="171764.56"/>
    <s v="Excellent"/>
  </r>
  <r>
    <n v="1193"/>
    <s v="Sara"/>
    <x v="7"/>
    <s v="Furniture"/>
    <s v="Table"/>
    <n v="19"/>
    <n v="2699"/>
    <n v="7"/>
    <d v="2026-03-29T00:00:00"/>
    <d v="2026-03-31T00:00:00"/>
    <s v="Priya"/>
    <n v="47691.329999999994"/>
    <s v="Good"/>
  </r>
  <r>
    <n v="1195"/>
    <s v="Anita"/>
    <x v="4"/>
    <s v="Stationery"/>
    <s v="Marker"/>
    <n v="19"/>
    <n v="313"/>
    <n v="2"/>
    <d v="2026-06-25T00:00:00"/>
    <d v="2026-07-03T00:00:00"/>
    <s v="Suresh"/>
    <n v="5828.0599999999995"/>
    <s v="Average"/>
  </r>
  <r>
    <n v="1209"/>
    <s v="Nitin"/>
    <x v="3"/>
    <s v="Electronics"/>
    <s v="Printer"/>
    <n v="19"/>
    <n v="20284"/>
    <n v="10"/>
    <d v="2026-03-22T00:00:00"/>
    <d v="2026-03-29T00:00:00"/>
    <s v="Amit"/>
    <n v="346856.4"/>
    <s v="Excellent"/>
  </r>
  <r>
    <n v="1214"/>
    <s v="Nisha"/>
    <x v="1"/>
    <s v="Furniture"/>
    <s v="Chair"/>
    <n v="19"/>
    <n v="13832"/>
    <n v="0"/>
    <d v="2026-04-28T00:00:00"/>
    <d v="2026-05-03T00:00:00"/>
    <s v="Suresh"/>
    <n v="262808"/>
    <s v="Excellent"/>
  </r>
  <r>
    <n v="1245"/>
    <s v="Sneha"/>
    <x v="2"/>
    <s v="Electronics"/>
    <s v="Headset"/>
    <n v="19"/>
    <n v="69029"/>
    <n v="7"/>
    <d v="2026-06-03T00:00:00"/>
    <d v="2026-06-06T00:00:00"/>
    <s v="Priya"/>
    <n v="1219742.43"/>
    <s v="Excellent"/>
  </r>
  <r>
    <n v="1251"/>
    <s v="Sneha"/>
    <x v="3"/>
    <s v="Electronics"/>
    <s v="Mouse"/>
    <n v="19"/>
    <n v="48548"/>
    <n v="0"/>
    <d v="2026-03-31T00:00:00"/>
    <d v="2026-04-09T00:00:00"/>
    <s v="Suresh"/>
    <n v="922412"/>
    <s v="Excellent"/>
  </r>
  <r>
    <n v="1256"/>
    <s v="Nitin"/>
    <x v="6"/>
    <s v="Stationery"/>
    <s v="Marker"/>
    <n v="19"/>
    <n v="406"/>
    <n v="7"/>
    <d v="2026-02-04T00:00:00"/>
    <d v="2026-02-08T00:00:00"/>
    <s v="Kavya"/>
    <n v="7174.0199999999995"/>
    <s v="Average"/>
  </r>
  <r>
    <n v="1260"/>
    <s v="Manoj"/>
    <x v="3"/>
    <s v="Electronics"/>
    <s v="Headset"/>
    <n v="19"/>
    <n v="54981"/>
    <n v="10"/>
    <d v="2026-01-18T00:00:00"/>
    <d v="2026-01-23T00:00:00"/>
    <s v="Priya"/>
    <n v="940175.1"/>
    <s v="Excellent"/>
  </r>
  <r>
    <n v="1289"/>
    <s v="Vikram"/>
    <x v="0"/>
    <s v="Electronics"/>
    <s v="Monitor"/>
    <n v="19"/>
    <n v="25336"/>
    <n v="2"/>
    <d v="2026-04-10T00:00:00"/>
    <d v="2026-04-18T00:00:00"/>
    <s v="Rahul"/>
    <n v="471756.32"/>
    <s v="Excellent"/>
  </r>
  <r>
    <n v="1298"/>
    <s v="Meera"/>
    <x v="7"/>
    <s v="Electronics"/>
    <s v="Mouse"/>
    <n v="19"/>
    <n v="20745"/>
    <n v="2"/>
    <d v="2026-03-02T00:00:00"/>
    <d v="2026-03-12T00:00:00"/>
    <s v="Rahul"/>
    <n v="386271.89999999997"/>
    <s v="Excellent"/>
  </r>
  <r>
    <n v="1310"/>
    <s v="Ajay"/>
    <x v="4"/>
    <s v="Furniture"/>
    <s v="Cabinet"/>
    <n v="19"/>
    <n v="12691"/>
    <n v="0"/>
    <d v="2026-06-08T00:00:00"/>
    <d v="2026-06-16T00:00:00"/>
    <s v="Priya"/>
    <n v="241129"/>
    <s v="Excellent"/>
  </r>
  <r>
    <n v="1341"/>
    <s v="Sara"/>
    <x v="3"/>
    <s v="Furniture"/>
    <s v="Desk"/>
    <n v="19"/>
    <n v="6488"/>
    <n v="15"/>
    <d v="2026-01-04T00:00:00"/>
    <d v="2026-01-08T00:00:00"/>
    <s v="Amit"/>
    <n v="104781.2"/>
    <s v="Excellent"/>
  </r>
  <r>
    <n v="1360"/>
    <s v="Ritesh"/>
    <x v="2"/>
    <s v="Furniture"/>
    <s v="Table"/>
    <n v="19"/>
    <n v="6681"/>
    <n v="2"/>
    <d v="2026-05-04T00:00:00"/>
    <d v="2026-05-08T00:00:00"/>
    <s v="Kavya"/>
    <n v="124400.22"/>
    <s v="Excellent"/>
  </r>
  <r>
    <n v="1369"/>
    <s v="Sara"/>
    <x v="1"/>
    <s v="Furniture"/>
    <s v="Desk"/>
    <n v="19"/>
    <n v="5840"/>
    <n v="5"/>
    <d v="2026-02-09T00:00:00"/>
    <d v="2026-02-14T00:00:00"/>
    <s v="Kavya"/>
    <n v="105412"/>
    <s v="Excellent"/>
  </r>
  <r>
    <n v="1371"/>
    <s v="Nitin"/>
    <x v="3"/>
    <s v="Furniture"/>
    <s v="Desk"/>
    <n v="19"/>
    <n v="1087"/>
    <n v="15"/>
    <d v="2026-02-19T00:00:00"/>
    <d v="2026-03-01T00:00:00"/>
    <s v="Amit"/>
    <n v="17555.05"/>
    <s v="Average"/>
  </r>
  <r>
    <n v="1005"/>
    <s v="Vikram"/>
    <x v="4"/>
    <s v="Stationery"/>
    <s v="Notebook"/>
    <n v="18"/>
    <n v="70"/>
    <n v="0"/>
    <d v="2026-05-29T00:00:00"/>
    <d v="2026-06-06T00:00:00"/>
    <s v="Rahul"/>
    <n v="1260"/>
    <s v="Average"/>
  </r>
  <r>
    <n v="1019"/>
    <s v="Ritesh"/>
    <x v="2"/>
    <s v="Electronics"/>
    <s v="Headset"/>
    <n v="18"/>
    <n v="45652"/>
    <n v="10"/>
    <d v="2026-01-01T00:00:00"/>
    <d v="2026-01-08T00:00:00"/>
    <s v="Amit"/>
    <n v="739562.4"/>
    <s v="Excellent"/>
  </r>
  <r>
    <n v="1025"/>
    <s v="Meera"/>
    <x v="7"/>
    <s v="Furniture"/>
    <s v="Desk"/>
    <n v="18"/>
    <n v="7924"/>
    <n v="0"/>
    <d v="2026-06-02T00:00:00"/>
    <d v="2026-06-08T00:00:00"/>
    <s v="Kavya"/>
    <n v="142632"/>
    <s v="Excellent"/>
  </r>
  <r>
    <n v="1029"/>
    <s v="Neha"/>
    <x v="1"/>
    <s v="Stationery"/>
    <s v="Stapler"/>
    <n v="18"/>
    <n v="443"/>
    <n v="5"/>
    <d v="2026-01-24T00:00:00"/>
    <d v="2026-02-01T00:00:00"/>
    <s v="Rahul"/>
    <n v="7575.2999999999993"/>
    <s v="Average"/>
  </r>
  <r>
    <n v="1055"/>
    <s v="Nitin"/>
    <x v="7"/>
    <s v="Stationery"/>
    <s v="Pen Pack"/>
    <n v="18"/>
    <n v="185"/>
    <n v="15"/>
    <d v="2026-02-24T00:00:00"/>
    <d v="2026-02-25T00:00:00"/>
    <s v="Kavya"/>
    <n v="2830.5"/>
    <s v="Average"/>
  </r>
  <r>
    <n v="1071"/>
    <s v="Anita"/>
    <x v="0"/>
    <s v="Electronics"/>
    <s v="Mouse"/>
    <n v="18"/>
    <n v="32197"/>
    <n v="5"/>
    <d v="2026-04-17T00:00:00"/>
    <d v="2026-04-25T00:00:00"/>
    <s v="Amit"/>
    <n v="550568.69999999995"/>
    <s v="Excellent"/>
  </r>
  <r>
    <n v="1095"/>
    <s v="Yash"/>
    <x v="1"/>
    <s v="Electronics"/>
    <s v="Headset"/>
    <n v="18"/>
    <n v="587"/>
    <n v="2"/>
    <d v="2026-05-25T00:00:00"/>
    <d v="2026-05-29T00:00:00"/>
    <s v="Amit"/>
    <n v="10354.68"/>
    <s v="Average"/>
  </r>
  <r>
    <n v="1118"/>
    <s v="Meera"/>
    <x v="0"/>
    <s v="Furniture"/>
    <s v="Table"/>
    <n v="18"/>
    <n v="9118"/>
    <n v="5"/>
    <d v="2026-06-05T00:00:00"/>
    <d v="2026-06-14T00:00:00"/>
    <s v="Priya"/>
    <n v="155917.79999999999"/>
    <s v="Excellent"/>
  </r>
  <r>
    <n v="1168"/>
    <s v="Manoj"/>
    <x v="7"/>
    <s v="Stationery"/>
    <s v="Pen Pack"/>
    <n v="18"/>
    <n v="335"/>
    <n v="15"/>
    <d v="2026-04-18T00:00:00"/>
    <d v="2026-04-28T00:00:00"/>
    <s v="Priya"/>
    <n v="5125.5"/>
    <s v="Average"/>
  </r>
  <r>
    <n v="1187"/>
    <s v="Manoj"/>
    <x v="0"/>
    <s v="Electronics"/>
    <s v="Monitor"/>
    <n v="18"/>
    <n v="68527"/>
    <n v="12"/>
    <d v="2026-06-05T00:00:00"/>
    <d v="2026-06-11T00:00:00"/>
    <s v="Suresh"/>
    <n v="1085467.68"/>
    <s v="Excellent"/>
  </r>
  <r>
    <n v="1192"/>
    <s v="Meera"/>
    <x v="5"/>
    <s v="Stationery"/>
    <s v="Diary"/>
    <n v="18"/>
    <n v="49"/>
    <n v="12"/>
    <d v="2026-03-08T00:00:00"/>
    <d v="2026-03-14T00:00:00"/>
    <s v="Rahul"/>
    <n v="776.16"/>
    <s v="Average"/>
  </r>
  <r>
    <n v="1201"/>
    <s v="Manoj"/>
    <x v="6"/>
    <s v="Stationery"/>
    <s v="Diary"/>
    <n v="18"/>
    <n v="139"/>
    <n v="12"/>
    <d v="2026-02-22T00:00:00"/>
    <d v="2026-02-23T00:00:00"/>
    <s v="Amit"/>
    <n v="2201.7600000000002"/>
    <s v="Average"/>
  </r>
  <r>
    <n v="1217"/>
    <s v="Neha"/>
    <x v="0"/>
    <s v="Stationery"/>
    <s v="Marker"/>
    <n v="18"/>
    <n v="60"/>
    <n v="0"/>
    <d v="2026-05-29T00:00:00"/>
    <d v="2026-05-30T00:00:00"/>
    <s v="Priya"/>
    <n v="1080"/>
    <s v="Average"/>
  </r>
  <r>
    <n v="1221"/>
    <s v="Ritesh"/>
    <x v="6"/>
    <s v="Furniture"/>
    <s v="Cabinet"/>
    <n v="18"/>
    <n v="2681"/>
    <n v="10"/>
    <d v="2026-04-10T00:00:00"/>
    <d v="2026-04-13T00:00:00"/>
    <s v="Suresh"/>
    <n v="43432.200000000004"/>
    <s v="Good"/>
  </r>
  <r>
    <n v="1249"/>
    <s v="Pooja"/>
    <x v="1"/>
    <s v="Electronics"/>
    <s v="Headset"/>
    <n v="18"/>
    <n v="6360"/>
    <n v="12"/>
    <d v="2026-05-21T00:00:00"/>
    <d v="2026-05-23T00:00:00"/>
    <s v="Amit"/>
    <n v="100742.39999999999"/>
    <s v="Excellent"/>
  </r>
  <r>
    <n v="1254"/>
    <s v="Komal"/>
    <x v="0"/>
    <s v="Stationery"/>
    <s v="Marker"/>
    <n v="18"/>
    <n v="447"/>
    <n v="15"/>
    <d v="2026-04-29T00:00:00"/>
    <d v="2026-05-07T00:00:00"/>
    <s v="Rahul"/>
    <n v="6839.0999999999995"/>
    <s v="Average"/>
  </r>
  <r>
    <n v="1307"/>
    <s v="Sara"/>
    <x v="2"/>
    <s v="Electronics"/>
    <s v="Printer"/>
    <n v="18"/>
    <n v="7541"/>
    <n v="12"/>
    <d v="2026-01-26T00:00:00"/>
    <d v="2026-01-29T00:00:00"/>
    <s v="Suresh"/>
    <n v="119449.44"/>
    <s v="Excellent"/>
  </r>
  <r>
    <n v="1326"/>
    <s v="Vikram"/>
    <x v="4"/>
    <s v="Furniture"/>
    <s v="Bookshelf"/>
    <n v="18"/>
    <n v="1830"/>
    <n v="10"/>
    <d v="2026-05-23T00:00:00"/>
    <d v="2026-05-30T00:00:00"/>
    <s v="Kavya"/>
    <n v="29646"/>
    <s v="Good"/>
  </r>
  <r>
    <n v="1329"/>
    <s v="Neha"/>
    <x v="2"/>
    <s v="Stationery"/>
    <s v="Diary"/>
    <n v="18"/>
    <n v="227"/>
    <n v="5"/>
    <d v="2026-04-14T00:00:00"/>
    <d v="2026-04-24T00:00:00"/>
    <s v="Priya"/>
    <n v="3881.7"/>
    <s v="Average"/>
  </r>
  <r>
    <n v="1344"/>
    <s v="Neha"/>
    <x v="4"/>
    <s v="Stationery"/>
    <s v="Diary"/>
    <n v="18"/>
    <n v="240"/>
    <n v="10"/>
    <d v="2026-05-13T00:00:00"/>
    <d v="2026-05-14T00:00:00"/>
    <s v="Rahul"/>
    <n v="3888"/>
    <s v="Average"/>
  </r>
  <r>
    <n v="1355"/>
    <s v="Arjun"/>
    <x v="7"/>
    <s v="Electronics"/>
    <s v="Laptop"/>
    <n v="18"/>
    <n v="35997"/>
    <n v="2"/>
    <d v="2026-01-02T00:00:00"/>
    <d v="2026-01-09T00:00:00"/>
    <s v="Suresh"/>
    <n v="634987.07999999996"/>
    <s v="Excellent"/>
  </r>
  <r>
    <n v="1395"/>
    <s v="Manoj"/>
    <x v="5"/>
    <s v="Furniture"/>
    <s v="Bookshelf"/>
    <n v="18"/>
    <n v="10402"/>
    <n v="15"/>
    <d v="2026-02-09T00:00:00"/>
    <d v="2026-02-14T00:00:00"/>
    <s v="Priya"/>
    <n v="159150.6"/>
    <s v="Excellent"/>
  </r>
  <r>
    <n v="1013"/>
    <s v="Pooja"/>
    <x v="6"/>
    <s v="Stationery"/>
    <s v="Stapler"/>
    <n v="17"/>
    <n v="459"/>
    <n v="12"/>
    <d v="2026-03-14T00:00:00"/>
    <d v="2026-03-24T00:00:00"/>
    <s v="Priya"/>
    <n v="6866.64"/>
    <s v="Average"/>
  </r>
  <r>
    <n v="1026"/>
    <s v="Ajay"/>
    <x v="6"/>
    <s v="Stationery"/>
    <s v="Marker"/>
    <n v="17"/>
    <n v="323"/>
    <n v="10"/>
    <d v="2026-01-17T00:00:00"/>
    <d v="2026-01-18T00:00:00"/>
    <s v="Priya"/>
    <n v="4941.9000000000005"/>
    <s v="Average"/>
  </r>
  <r>
    <n v="1034"/>
    <s v="Sneha"/>
    <x v="5"/>
    <s v="Furniture"/>
    <s v="Chair"/>
    <n v="17"/>
    <n v="5104"/>
    <n v="12"/>
    <d v="2026-01-30T00:00:00"/>
    <d v="2026-02-08T00:00:00"/>
    <s v="Suresh"/>
    <n v="76355.839999999997"/>
    <s v="Very Good"/>
  </r>
  <r>
    <n v="1038"/>
    <s v="Sneha"/>
    <x v="4"/>
    <s v="Stationery"/>
    <s v="Stapler"/>
    <n v="17"/>
    <n v="223"/>
    <n v="7"/>
    <d v="2026-01-08T00:00:00"/>
    <d v="2026-01-09T00:00:00"/>
    <s v="Suresh"/>
    <n v="3525.6299999999997"/>
    <s v="Average"/>
  </r>
  <r>
    <n v="1052"/>
    <s v="Sneha"/>
    <x v="7"/>
    <s v="Stationery"/>
    <s v="Notebook"/>
    <n v="17"/>
    <n v="172"/>
    <n v="10"/>
    <d v="2026-05-17T00:00:00"/>
    <d v="2026-05-23T00:00:00"/>
    <s v="Amit"/>
    <n v="2631.6"/>
    <s v="Average"/>
  </r>
  <r>
    <n v="1098"/>
    <s v="Vikram"/>
    <x v="1"/>
    <s v="Stationery"/>
    <s v="Diary"/>
    <n v="17"/>
    <n v="345"/>
    <n v="2"/>
    <d v="2026-04-14T00:00:00"/>
    <d v="2026-04-15T00:00:00"/>
    <s v="Suresh"/>
    <n v="5747.7"/>
    <s v="Average"/>
  </r>
  <r>
    <n v="1126"/>
    <s v="Kiran"/>
    <x v="0"/>
    <s v="Electronics"/>
    <s v="Keyboard"/>
    <n v="17"/>
    <n v="19390"/>
    <n v="12"/>
    <d v="2026-06-28T00:00:00"/>
    <d v="2026-07-03T00:00:00"/>
    <s v="Priya"/>
    <n v="290074.40000000002"/>
    <s v="Excellent"/>
  </r>
  <r>
    <n v="1139"/>
    <s v="Sneha"/>
    <x v="5"/>
    <s v="Electronics"/>
    <s v="Mouse"/>
    <n v="17"/>
    <n v="28839"/>
    <n v="10"/>
    <d v="2026-03-12T00:00:00"/>
    <d v="2026-03-18T00:00:00"/>
    <s v="Kavya"/>
    <n v="441236.7"/>
    <s v="Excellent"/>
  </r>
  <r>
    <n v="1171"/>
    <s v="Sara"/>
    <x v="1"/>
    <s v="Stationery"/>
    <s v="Marker"/>
    <n v="17"/>
    <n v="147"/>
    <n v="12"/>
    <d v="2026-05-13T00:00:00"/>
    <d v="2026-05-18T00:00:00"/>
    <s v="Amit"/>
    <n v="2199.12"/>
    <s v="Average"/>
  </r>
  <r>
    <n v="1176"/>
    <s v="Rohan"/>
    <x v="3"/>
    <s v="Electronics"/>
    <s v="Headset"/>
    <n v="17"/>
    <n v="46937"/>
    <n v="12"/>
    <d v="2026-01-26T00:00:00"/>
    <d v="2026-02-03T00:00:00"/>
    <s v="Priya"/>
    <n v="702177.52"/>
    <s v="Excellent"/>
  </r>
  <r>
    <n v="1203"/>
    <s v="Deepak"/>
    <x v="0"/>
    <s v="Furniture"/>
    <s v="Table"/>
    <n v="17"/>
    <n v="6695"/>
    <n v="2"/>
    <d v="2026-04-07T00:00:00"/>
    <d v="2026-04-10T00:00:00"/>
    <s v="Suresh"/>
    <n v="111538.7"/>
    <s v="Excellent"/>
  </r>
  <r>
    <n v="1266"/>
    <s v="Priya"/>
    <x v="5"/>
    <s v="Stationery"/>
    <s v="Notebook"/>
    <n v="17"/>
    <n v="365"/>
    <n v="2"/>
    <d v="2026-03-15T00:00:00"/>
    <d v="2026-03-23T00:00:00"/>
    <s v="Suresh"/>
    <n v="6080.9"/>
    <s v="Average"/>
  </r>
  <r>
    <n v="1291"/>
    <s v="Meera"/>
    <x v="4"/>
    <s v="Stationery"/>
    <s v="Stapler"/>
    <n v="17"/>
    <n v="415"/>
    <n v="5"/>
    <d v="2026-04-25T00:00:00"/>
    <d v="2026-04-29T00:00:00"/>
    <s v="Amit"/>
    <n v="6702.25"/>
    <s v="Average"/>
  </r>
  <r>
    <n v="1319"/>
    <s v="Meera"/>
    <x v="4"/>
    <s v="Electronics"/>
    <s v="Mouse"/>
    <n v="17"/>
    <n v="58407"/>
    <n v="7"/>
    <d v="2026-03-13T00:00:00"/>
    <d v="2026-03-21T00:00:00"/>
    <s v="Kavya"/>
    <n v="923414.66999999993"/>
    <s v="Excellent"/>
  </r>
  <r>
    <n v="1365"/>
    <s v="Kiran"/>
    <x v="5"/>
    <s v="Stationery"/>
    <s v="Marker"/>
    <n v="17"/>
    <n v="119"/>
    <n v="7"/>
    <d v="2026-02-17T00:00:00"/>
    <d v="2026-02-19T00:00:00"/>
    <s v="Amit"/>
    <n v="1881.3899999999999"/>
    <s v="Average"/>
  </r>
  <r>
    <n v="1393"/>
    <s v="Neha"/>
    <x v="1"/>
    <s v="Electronics"/>
    <s v="Monitor"/>
    <n v="17"/>
    <n v="30351"/>
    <n v="15"/>
    <d v="2026-01-25T00:00:00"/>
    <d v="2026-01-29T00:00:00"/>
    <s v="Suresh"/>
    <n v="438571.95"/>
    <s v="Excellent"/>
  </r>
  <r>
    <n v="1004"/>
    <s v="Pooja"/>
    <x v="1"/>
    <s v="Furniture"/>
    <s v="Table"/>
    <n v="16"/>
    <n v="11739"/>
    <n v="12"/>
    <d v="2026-01-12T00:00:00"/>
    <d v="2026-01-18T00:00:00"/>
    <s v="Amit"/>
    <n v="165285.12"/>
    <s v="Excellent"/>
  </r>
  <r>
    <n v="1016"/>
    <s v="Asha"/>
    <x v="5"/>
    <s v="Electronics"/>
    <s v="Monitor"/>
    <n v="16"/>
    <n v="30234"/>
    <n v="15"/>
    <d v="2026-04-25T00:00:00"/>
    <d v="2026-04-28T00:00:00"/>
    <s v="Rahul"/>
    <n v="411182.39999999997"/>
    <s v="Excellent"/>
  </r>
  <r>
    <n v="1042"/>
    <s v="Kiran"/>
    <x v="5"/>
    <s v="Stationery"/>
    <s v="Diary"/>
    <n v="16"/>
    <n v="232"/>
    <n v="0"/>
    <d v="2026-02-28T00:00:00"/>
    <d v="2026-03-07T00:00:00"/>
    <s v="Priya"/>
    <n v="3712"/>
    <s v="Average"/>
  </r>
  <r>
    <n v="1061"/>
    <s v="Sara"/>
    <x v="7"/>
    <s v="Electronics"/>
    <s v="Headset"/>
    <n v="16"/>
    <n v="59084"/>
    <n v="0"/>
    <d v="2026-02-07T00:00:00"/>
    <d v="2026-02-16T00:00:00"/>
    <s v="Amit"/>
    <n v="945344"/>
    <s v="Excellent"/>
  </r>
  <r>
    <n v="1117"/>
    <s v="Sneha"/>
    <x v="2"/>
    <s v="Electronics"/>
    <s v="Keyboard"/>
    <n v="16"/>
    <n v="33162"/>
    <n v="7"/>
    <d v="2026-05-05T00:00:00"/>
    <d v="2026-05-13T00:00:00"/>
    <s v="Priya"/>
    <n v="493450.55999999994"/>
    <s v="Excellent"/>
  </r>
  <r>
    <n v="1123"/>
    <s v="Asha"/>
    <x v="6"/>
    <s v="Electronics"/>
    <s v="Monitor"/>
    <n v="16"/>
    <n v="1332"/>
    <n v="7"/>
    <d v="2026-03-26T00:00:00"/>
    <d v="2026-03-28T00:00:00"/>
    <s v="Priya"/>
    <n v="19820.16"/>
    <s v="Average"/>
  </r>
  <r>
    <n v="1137"/>
    <s v="Komal"/>
    <x v="7"/>
    <s v="Stationery"/>
    <s v="Pen Pack"/>
    <n v="16"/>
    <n v="270"/>
    <n v="10"/>
    <d v="2026-06-11T00:00:00"/>
    <d v="2026-06-17T00:00:00"/>
    <s v="Priya"/>
    <n v="3888"/>
    <s v="Average"/>
  </r>
  <r>
    <n v="1144"/>
    <s v="Nisha"/>
    <x v="1"/>
    <s v="Stationery"/>
    <s v="Notebook"/>
    <n v="16"/>
    <n v="219"/>
    <n v="7"/>
    <d v="2026-04-26T00:00:00"/>
    <d v="2026-04-28T00:00:00"/>
    <s v="Amit"/>
    <n v="3258.72"/>
    <s v="Average"/>
  </r>
  <r>
    <n v="1185"/>
    <s v="Rohan"/>
    <x v="0"/>
    <s v="Electronics"/>
    <s v="Laptop"/>
    <n v="16"/>
    <n v="15536"/>
    <n v="2"/>
    <d v="2026-05-11T00:00:00"/>
    <d v="2026-05-14T00:00:00"/>
    <s v="Kavya"/>
    <n v="243604.47999999998"/>
    <s v="Excellent"/>
  </r>
  <r>
    <n v="1213"/>
    <s v="Asha"/>
    <x v="3"/>
    <s v="Electronics"/>
    <s v="Monitor"/>
    <n v="16"/>
    <n v="27741"/>
    <n v="12"/>
    <d v="2026-04-04T00:00:00"/>
    <d v="2026-04-07T00:00:00"/>
    <s v="Kavya"/>
    <n v="390593.28000000003"/>
    <s v="Excellent"/>
  </r>
  <r>
    <n v="1224"/>
    <s v="Neha"/>
    <x v="3"/>
    <s v="Electronics"/>
    <s v="Monitor"/>
    <n v="16"/>
    <n v="18378"/>
    <n v="10"/>
    <d v="2026-01-23T00:00:00"/>
    <d v="2026-01-30T00:00:00"/>
    <s v="Rahul"/>
    <n v="264643.20000000001"/>
    <s v="Excellent"/>
  </r>
  <r>
    <n v="1225"/>
    <s v="Nisha"/>
    <x v="6"/>
    <s v="Electronics"/>
    <s v="Printer"/>
    <n v="16"/>
    <n v="32262"/>
    <n v="12"/>
    <d v="2026-04-13T00:00:00"/>
    <d v="2026-04-14T00:00:00"/>
    <s v="Amit"/>
    <n v="454248.96000000002"/>
    <s v="Excellent"/>
  </r>
  <r>
    <n v="1227"/>
    <s v="Rohan"/>
    <x v="0"/>
    <s v="Electronics"/>
    <s v="Monitor"/>
    <n v="16"/>
    <n v="1321"/>
    <n v="12"/>
    <d v="2026-04-01T00:00:00"/>
    <d v="2026-04-04T00:00:00"/>
    <s v="Kavya"/>
    <n v="18599.68"/>
    <s v="Average"/>
  </r>
  <r>
    <n v="1228"/>
    <s v="Priya"/>
    <x v="1"/>
    <s v="Electronics"/>
    <s v="Monitor"/>
    <n v="16"/>
    <n v="17477"/>
    <n v="10"/>
    <d v="2026-01-19T00:00:00"/>
    <d v="2026-01-21T00:00:00"/>
    <s v="Rahul"/>
    <n v="251668.80000000002"/>
    <s v="Excellent"/>
  </r>
  <r>
    <n v="1270"/>
    <s v="Ajay"/>
    <x v="2"/>
    <s v="Electronics"/>
    <s v="Printer"/>
    <n v="16"/>
    <n v="62941"/>
    <n v="7"/>
    <d v="2026-04-23T00:00:00"/>
    <d v="2026-04-29T00:00:00"/>
    <s v="Suresh"/>
    <n v="936562.08"/>
    <s v="Excellent"/>
  </r>
  <r>
    <n v="1284"/>
    <s v="Deepak"/>
    <x v="1"/>
    <s v="Stationery"/>
    <s v="Pen Pack"/>
    <n v="16"/>
    <n v="419"/>
    <n v="2"/>
    <d v="2026-03-01T00:00:00"/>
    <d v="2026-03-09T00:00:00"/>
    <s v="Kavya"/>
    <n v="6569.92"/>
    <s v="Average"/>
  </r>
  <r>
    <n v="1295"/>
    <s v="Komal"/>
    <x v="3"/>
    <s v="Furniture"/>
    <s v="Chair"/>
    <n v="16"/>
    <n v="11935"/>
    <n v="12"/>
    <d v="2026-05-15T00:00:00"/>
    <d v="2026-05-20T00:00:00"/>
    <s v="Kavya"/>
    <n v="168044.79999999999"/>
    <s v="Excellent"/>
  </r>
  <r>
    <n v="1346"/>
    <s v="Asha"/>
    <x v="0"/>
    <s v="Furniture"/>
    <s v="Desk"/>
    <n v="16"/>
    <n v="6910"/>
    <n v="15"/>
    <d v="2026-04-28T00:00:00"/>
    <d v="2026-04-30T00:00:00"/>
    <s v="Priya"/>
    <n v="93976"/>
    <s v="Very Good"/>
  </r>
  <r>
    <n v="1347"/>
    <s v="Priya"/>
    <x v="0"/>
    <s v="Electronics"/>
    <s v="Printer"/>
    <n v="16"/>
    <n v="6034"/>
    <n v="15"/>
    <d v="2026-01-15T00:00:00"/>
    <d v="2026-01-22T00:00:00"/>
    <s v="Rahul"/>
    <n v="82062.399999999994"/>
    <s v="Very Good"/>
  </r>
  <r>
    <n v="1350"/>
    <s v="Vikram"/>
    <x v="2"/>
    <s v="Furniture"/>
    <s v="Chair"/>
    <n v="16"/>
    <n v="11790"/>
    <n v="12"/>
    <d v="2026-06-12T00:00:00"/>
    <d v="2026-06-17T00:00:00"/>
    <s v="Priya"/>
    <n v="166003.20000000001"/>
    <s v="Excellent"/>
  </r>
  <r>
    <n v="1356"/>
    <s v="Vikram"/>
    <x v="3"/>
    <s v="Electronics"/>
    <s v="Laptop"/>
    <n v="16"/>
    <n v="53457"/>
    <n v="10"/>
    <d v="2026-06-28T00:00:00"/>
    <d v="2026-07-01T00:00:00"/>
    <s v="Kavya"/>
    <n v="769780.8"/>
    <s v="Excellent"/>
  </r>
  <r>
    <n v="1364"/>
    <s v="Neha"/>
    <x v="0"/>
    <s v="Furniture"/>
    <s v="Cabinet"/>
    <n v="16"/>
    <n v="1744"/>
    <n v="15"/>
    <d v="2026-01-09T00:00:00"/>
    <d v="2026-01-11T00:00:00"/>
    <s v="Suresh"/>
    <n v="23718.399999999998"/>
    <s v="Good"/>
  </r>
  <r>
    <n v="1022"/>
    <s v="Vikram"/>
    <x v="4"/>
    <s v="Electronics"/>
    <s v="Monitor"/>
    <n v="15"/>
    <n v="11596"/>
    <n v="0"/>
    <d v="2026-04-05T00:00:00"/>
    <d v="2026-04-09T00:00:00"/>
    <s v="Priya"/>
    <n v="173940"/>
    <s v="Excellent"/>
  </r>
  <r>
    <n v="1023"/>
    <s v="Deepak"/>
    <x v="7"/>
    <s v="Furniture"/>
    <s v="Bookshelf"/>
    <n v="15"/>
    <n v="3506"/>
    <n v="2"/>
    <d v="2026-06-20T00:00:00"/>
    <d v="2026-06-21T00:00:00"/>
    <s v="Priya"/>
    <n v="51538.2"/>
    <s v="Very Good"/>
  </r>
  <r>
    <n v="1066"/>
    <s v="Yash"/>
    <x v="1"/>
    <s v="Furniture"/>
    <s v="Bookshelf"/>
    <n v="15"/>
    <n v="11987"/>
    <n v="5"/>
    <d v="2026-03-01T00:00:00"/>
    <d v="2026-03-02T00:00:00"/>
    <s v="Kavya"/>
    <n v="170814.75"/>
    <s v="Excellent"/>
  </r>
  <r>
    <n v="1068"/>
    <s v="Komal"/>
    <x v="2"/>
    <s v="Electronics"/>
    <s v="Laptop"/>
    <n v="15"/>
    <n v="14534"/>
    <n v="5"/>
    <d v="2026-06-23T00:00:00"/>
    <d v="2026-06-26T00:00:00"/>
    <s v="Priya"/>
    <n v="207109.5"/>
    <s v="Excellent"/>
  </r>
  <r>
    <n v="1081"/>
    <s v="Yash"/>
    <x v="7"/>
    <s v="Electronics"/>
    <s v="Printer"/>
    <n v="15"/>
    <n v="59912"/>
    <n v="7"/>
    <d v="2026-02-05T00:00:00"/>
    <d v="2026-02-07T00:00:00"/>
    <s v="Suresh"/>
    <n v="835772.39999999991"/>
    <s v="Excellent"/>
  </r>
  <r>
    <n v="1086"/>
    <s v="Asha"/>
    <x v="7"/>
    <s v="Stationery"/>
    <s v="Diary"/>
    <n v="15"/>
    <n v="40"/>
    <n v="10"/>
    <d v="2026-01-23T00:00:00"/>
    <d v="2026-01-27T00:00:00"/>
    <s v="Rahul"/>
    <n v="540"/>
    <s v="Average"/>
  </r>
  <r>
    <n v="1096"/>
    <s v="Ajay"/>
    <x v="4"/>
    <s v="Furniture"/>
    <s v="Table"/>
    <n v="15"/>
    <n v="14724"/>
    <n v="15"/>
    <d v="2026-02-01T00:00:00"/>
    <d v="2026-02-08T00:00:00"/>
    <s v="Amit"/>
    <n v="187731"/>
    <s v="Excellent"/>
  </r>
  <r>
    <n v="1108"/>
    <s v="Nisha"/>
    <x v="5"/>
    <s v="Furniture"/>
    <s v="Chair"/>
    <n v="15"/>
    <n v="13843"/>
    <n v="7"/>
    <d v="2026-04-07T00:00:00"/>
    <d v="2026-04-15T00:00:00"/>
    <s v="Amit"/>
    <n v="193109.84999999998"/>
    <s v="Excellent"/>
  </r>
  <r>
    <n v="1127"/>
    <s v="Vikram"/>
    <x v="5"/>
    <s v="Furniture"/>
    <s v="Chair"/>
    <n v="15"/>
    <n v="11694"/>
    <n v="12"/>
    <d v="2026-05-28T00:00:00"/>
    <d v="2026-06-06T00:00:00"/>
    <s v="Priya"/>
    <n v="154360.79999999999"/>
    <s v="Excellent"/>
  </r>
  <r>
    <n v="1129"/>
    <s v="Rohan"/>
    <x v="4"/>
    <s v="Stationery"/>
    <s v="Marker"/>
    <n v="15"/>
    <n v="75"/>
    <n v="7"/>
    <d v="2026-05-18T00:00:00"/>
    <d v="2026-05-22T00:00:00"/>
    <s v="Priya"/>
    <n v="1046.25"/>
    <s v="Average"/>
  </r>
  <r>
    <n v="1154"/>
    <s v="Asha"/>
    <x v="4"/>
    <s v="Furniture"/>
    <s v="Cabinet"/>
    <n v="15"/>
    <n v="6101"/>
    <n v="0"/>
    <d v="2026-06-05T00:00:00"/>
    <d v="2026-06-10T00:00:00"/>
    <s v="Suresh"/>
    <n v="91515"/>
    <s v="Very Good"/>
  </r>
  <r>
    <n v="1173"/>
    <s v="Deepak"/>
    <x v="4"/>
    <s v="Stationery"/>
    <s v="Pen Pack"/>
    <n v="15"/>
    <n v="214"/>
    <n v="10"/>
    <d v="2026-01-28T00:00:00"/>
    <d v="2026-02-07T00:00:00"/>
    <s v="Suresh"/>
    <n v="2889"/>
    <s v="Average"/>
  </r>
  <r>
    <n v="1235"/>
    <s v="Sara"/>
    <x v="1"/>
    <s v="Stationery"/>
    <s v="Marker"/>
    <n v="15"/>
    <n v="267"/>
    <n v="15"/>
    <d v="2026-05-30T00:00:00"/>
    <d v="2026-06-04T00:00:00"/>
    <s v="Priya"/>
    <n v="3404.25"/>
    <s v="Average"/>
  </r>
  <r>
    <n v="1252"/>
    <s v="Yash"/>
    <x v="1"/>
    <s v="Stationery"/>
    <s v="Stapler"/>
    <n v="15"/>
    <n v="257"/>
    <n v="5"/>
    <d v="2026-05-24T00:00:00"/>
    <d v="2026-05-31T00:00:00"/>
    <s v="Amit"/>
    <n v="3662.25"/>
    <s v="Average"/>
  </r>
  <r>
    <n v="1264"/>
    <s v="Ritesh"/>
    <x v="0"/>
    <s v="Furniture"/>
    <s v="Chair"/>
    <n v="15"/>
    <n v="6365"/>
    <n v="10"/>
    <d v="2026-06-27T00:00:00"/>
    <d v="2026-07-03T00:00:00"/>
    <s v="Amit"/>
    <n v="85927.5"/>
    <s v="Very Good"/>
  </r>
  <r>
    <n v="1287"/>
    <s v="Anita"/>
    <x v="6"/>
    <s v="Stationery"/>
    <s v="Notebook"/>
    <n v="15"/>
    <n v="251"/>
    <n v="2"/>
    <d v="2026-04-04T00:00:00"/>
    <d v="2026-04-10T00:00:00"/>
    <s v="Suresh"/>
    <n v="3689.7"/>
    <s v="Average"/>
  </r>
  <r>
    <n v="1327"/>
    <s v="Nitin"/>
    <x v="7"/>
    <s v="Stationery"/>
    <s v="Diary"/>
    <n v="15"/>
    <n v="449"/>
    <n v="5"/>
    <d v="2026-05-10T00:00:00"/>
    <d v="2026-05-11T00:00:00"/>
    <s v="Kavya"/>
    <n v="6398.25"/>
    <s v="Average"/>
  </r>
  <r>
    <n v="1334"/>
    <s v="Deepak"/>
    <x v="7"/>
    <s v="Electronics"/>
    <s v="Headset"/>
    <n v="15"/>
    <n v="39853"/>
    <n v="7"/>
    <d v="2026-01-16T00:00:00"/>
    <d v="2026-01-25T00:00:00"/>
    <s v="Suresh"/>
    <n v="555949.35"/>
    <s v="Excellent"/>
  </r>
  <r>
    <n v="1354"/>
    <s v="Yash"/>
    <x v="2"/>
    <s v="Electronics"/>
    <s v="Printer"/>
    <n v="15"/>
    <n v="14927"/>
    <n v="15"/>
    <d v="2026-04-06T00:00:00"/>
    <d v="2026-04-08T00:00:00"/>
    <s v="Suresh"/>
    <n v="190319.25"/>
    <s v="Excellent"/>
  </r>
  <r>
    <n v="1378"/>
    <s v="Sneha"/>
    <x v="0"/>
    <s v="Electronics"/>
    <s v="Monitor"/>
    <n v="15"/>
    <n v="22693"/>
    <n v="12"/>
    <d v="2026-02-21T00:00:00"/>
    <d v="2026-02-27T00:00:00"/>
    <s v="Suresh"/>
    <n v="299547.59999999998"/>
    <s v="Excellent"/>
  </r>
  <r>
    <n v="1384"/>
    <s v="Anita"/>
    <x v="7"/>
    <s v="Electronics"/>
    <s v="Keyboard"/>
    <n v="15"/>
    <n v="38116"/>
    <n v="0"/>
    <d v="2026-02-21T00:00:00"/>
    <d v="2026-02-25T00:00:00"/>
    <s v="Priya"/>
    <n v="571740"/>
    <s v="Excellent"/>
  </r>
  <r>
    <n v="1399"/>
    <s v="Nitin"/>
    <x v="6"/>
    <s v="Stationery"/>
    <s v="Notebook"/>
    <n v="15"/>
    <n v="87"/>
    <n v="15"/>
    <d v="2026-03-08T00:00:00"/>
    <d v="2026-03-12T00:00:00"/>
    <s v="Amit"/>
    <n v="1109.25"/>
    <s v="Average"/>
  </r>
  <r>
    <n v="1010"/>
    <s v="Ritesh"/>
    <x v="4"/>
    <s v="Stationery"/>
    <s v="Stapler"/>
    <n v="14"/>
    <n v="470"/>
    <n v="5"/>
    <d v="2026-02-09T00:00:00"/>
    <d v="2026-02-15T00:00:00"/>
    <s v="Kavya"/>
    <n v="6251"/>
    <s v="Average"/>
  </r>
  <r>
    <n v="1011"/>
    <s v="Ritesh"/>
    <x v="4"/>
    <s v="Stationery"/>
    <s v="Pen Pack"/>
    <n v="14"/>
    <n v="88"/>
    <n v="12"/>
    <d v="2026-05-19T00:00:00"/>
    <d v="2026-05-21T00:00:00"/>
    <s v="Kavya"/>
    <n v="1084.1600000000001"/>
    <s v="Average"/>
  </r>
  <r>
    <n v="1048"/>
    <s v="Anita"/>
    <x v="1"/>
    <s v="Electronics"/>
    <s v="Laptop"/>
    <n v="14"/>
    <n v="11762"/>
    <n v="7"/>
    <d v="2026-06-07T00:00:00"/>
    <d v="2026-06-13T00:00:00"/>
    <s v="Rahul"/>
    <n v="153141.24"/>
    <s v="Excellent"/>
  </r>
  <r>
    <n v="1067"/>
    <s v="Asha"/>
    <x v="2"/>
    <s v="Furniture"/>
    <s v="Cabinet"/>
    <n v="14"/>
    <n v="10869"/>
    <n v="0"/>
    <d v="2026-02-05T00:00:00"/>
    <d v="2026-02-09T00:00:00"/>
    <s v="Priya"/>
    <n v="152166"/>
    <s v="Excellent"/>
  </r>
  <r>
    <n v="1110"/>
    <s v="Ajay"/>
    <x v="3"/>
    <s v="Furniture"/>
    <s v="Table"/>
    <n v="14"/>
    <n v="6793"/>
    <n v="7"/>
    <d v="2026-02-24T00:00:00"/>
    <d v="2026-03-01T00:00:00"/>
    <s v="Priya"/>
    <n v="88444.86"/>
    <s v="Very Good"/>
  </r>
  <r>
    <n v="1122"/>
    <s v="Deepak"/>
    <x v="0"/>
    <s v="Electronics"/>
    <s v="Keyboard"/>
    <n v="14"/>
    <n v="49990"/>
    <n v="10"/>
    <d v="2026-04-20T00:00:00"/>
    <d v="2026-04-23T00:00:00"/>
    <s v="Priya"/>
    <n v="629874"/>
    <s v="Excellent"/>
  </r>
  <r>
    <n v="1135"/>
    <s v="Ajay"/>
    <x v="2"/>
    <s v="Electronics"/>
    <s v="Keyboard"/>
    <n v="14"/>
    <n v="68534"/>
    <n v="0"/>
    <d v="2026-01-19T00:00:00"/>
    <d v="2026-01-20T00:00:00"/>
    <s v="Kavya"/>
    <n v="959476"/>
    <s v="Excellent"/>
  </r>
  <r>
    <n v="1152"/>
    <s v="Arjun"/>
    <x v="6"/>
    <s v="Electronics"/>
    <s v="Mouse"/>
    <n v="14"/>
    <n v="8150"/>
    <n v="10"/>
    <d v="2026-02-09T00:00:00"/>
    <d v="2026-02-17T00:00:00"/>
    <s v="Kavya"/>
    <n v="102690"/>
    <s v="Excellent"/>
  </r>
  <r>
    <n v="1177"/>
    <s v="Priya"/>
    <x v="0"/>
    <s v="Furniture"/>
    <s v="Desk"/>
    <n v="14"/>
    <n v="7501"/>
    <n v="7"/>
    <d v="2026-05-27T00:00:00"/>
    <d v="2026-06-06T00:00:00"/>
    <s v="Amit"/>
    <n v="97663.01999999999"/>
    <s v="Very Good"/>
  </r>
  <r>
    <n v="1229"/>
    <s v="Sara"/>
    <x v="7"/>
    <s v="Furniture"/>
    <s v="Cabinet"/>
    <n v="14"/>
    <n v="5859"/>
    <n v="12"/>
    <d v="2026-01-05T00:00:00"/>
    <d v="2026-01-14T00:00:00"/>
    <s v="Amit"/>
    <n v="72182.880000000005"/>
    <s v="Very Good"/>
  </r>
  <r>
    <n v="1269"/>
    <s v="Komal"/>
    <x v="2"/>
    <s v="Furniture"/>
    <s v="Desk"/>
    <n v="14"/>
    <n v="5704"/>
    <n v="2"/>
    <d v="2026-04-17T00:00:00"/>
    <d v="2026-04-19T00:00:00"/>
    <s v="Kavya"/>
    <n v="78258.880000000005"/>
    <s v="Very Good"/>
  </r>
  <r>
    <n v="1277"/>
    <s v="Anita"/>
    <x v="4"/>
    <s v="Stationery"/>
    <s v="Stapler"/>
    <n v="14"/>
    <n v="276"/>
    <n v="0"/>
    <d v="2026-03-05T00:00:00"/>
    <d v="2026-03-08T00:00:00"/>
    <s v="Kavya"/>
    <n v="3864"/>
    <s v="Average"/>
  </r>
  <r>
    <n v="1288"/>
    <s v="Manoj"/>
    <x v="0"/>
    <s v="Electronics"/>
    <s v="Laptop"/>
    <n v="14"/>
    <n v="35601"/>
    <n v="10"/>
    <d v="2026-06-06T00:00:00"/>
    <d v="2026-06-14T00:00:00"/>
    <s v="Priya"/>
    <n v="448572.60000000003"/>
    <s v="Excellent"/>
  </r>
  <r>
    <n v="1297"/>
    <s v="Manoj"/>
    <x v="1"/>
    <s v="Electronics"/>
    <s v="Printer"/>
    <n v="14"/>
    <n v="24524"/>
    <n v="10"/>
    <d v="2026-06-05T00:00:00"/>
    <d v="2026-06-14T00:00:00"/>
    <s v="Priya"/>
    <n v="309002.40000000002"/>
    <s v="Excellent"/>
  </r>
  <r>
    <n v="1315"/>
    <s v="Ajay"/>
    <x v="6"/>
    <s v="Electronics"/>
    <s v="Headset"/>
    <n v="14"/>
    <n v="57670"/>
    <n v="2"/>
    <d v="2026-06-13T00:00:00"/>
    <d v="2026-06-23T00:00:00"/>
    <s v="Kavya"/>
    <n v="791232.4"/>
    <s v="Excellent"/>
  </r>
  <r>
    <n v="1322"/>
    <s v="Arjun"/>
    <x v="7"/>
    <s v="Furniture"/>
    <s v="Table"/>
    <n v="14"/>
    <n v="9081"/>
    <n v="15"/>
    <d v="2026-04-29T00:00:00"/>
    <d v="2026-05-04T00:00:00"/>
    <s v="Kavya"/>
    <n v="108063.9"/>
    <s v="Excellent"/>
  </r>
  <r>
    <n v="1337"/>
    <s v="Pooja"/>
    <x v="7"/>
    <s v="Stationery"/>
    <s v="Diary"/>
    <n v="14"/>
    <n v="373"/>
    <n v="10"/>
    <d v="2026-02-21T00:00:00"/>
    <d v="2026-02-27T00:00:00"/>
    <s v="Priya"/>
    <n v="4699.8"/>
    <s v="Average"/>
  </r>
  <r>
    <n v="1343"/>
    <s v="Anita"/>
    <x v="6"/>
    <s v="Electronics"/>
    <s v="Keyboard"/>
    <n v="14"/>
    <n v="32719"/>
    <n v="15"/>
    <d v="2026-06-01T00:00:00"/>
    <d v="2026-06-06T00:00:00"/>
    <s v="Kavya"/>
    <n v="389356.1"/>
    <s v="Excellent"/>
  </r>
  <r>
    <n v="1383"/>
    <s v="Asha"/>
    <x v="7"/>
    <s v="Stationery"/>
    <s v="Diary"/>
    <n v="14"/>
    <n v="334"/>
    <n v="10"/>
    <d v="2026-06-23T00:00:00"/>
    <d v="2026-06-30T00:00:00"/>
    <s v="Kavya"/>
    <n v="4208.4000000000005"/>
    <s v="Average"/>
  </r>
  <r>
    <n v="1028"/>
    <s v="Yash"/>
    <x v="0"/>
    <s v="Stationery"/>
    <s v="Stapler"/>
    <n v="13"/>
    <n v="433"/>
    <n v="2"/>
    <d v="2026-04-04T00:00:00"/>
    <d v="2026-04-09T00:00:00"/>
    <s v="Rahul"/>
    <n v="5516.42"/>
    <s v="Average"/>
  </r>
  <r>
    <n v="1030"/>
    <s v="Komal"/>
    <x v="7"/>
    <s v="Stationery"/>
    <s v="Diary"/>
    <n v="13"/>
    <n v="336"/>
    <n v="10"/>
    <d v="2026-03-17T00:00:00"/>
    <d v="2026-03-27T00:00:00"/>
    <s v="Kavya"/>
    <n v="3931.2000000000003"/>
    <s v="Average"/>
  </r>
  <r>
    <n v="1087"/>
    <s v="Ritesh"/>
    <x v="6"/>
    <s v="Stationery"/>
    <s v="Pen Pack"/>
    <n v="13"/>
    <n v="387"/>
    <n v="7"/>
    <d v="2026-05-29T00:00:00"/>
    <d v="2026-06-03T00:00:00"/>
    <s v="Rahul"/>
    <n v="4678.83"/>
    <s v="Average"/>
  </r>
  <r>
    <n v="1113"/>
    <s v="Vikram"/>
    <x v="2"/>
    <s v="Furniture"/>
    <s v="Cabinet"/>
    <n v="13"/>
    <n v="6719"/>
    <n v="15"/>
    <d v="2026-02-23T00:00:00"/>
    <d v="2026-02-28T00:00:00"/>
    <s v="Rahul"/>
    <n v="74244.95"/>
    <s v="Very Good"/>
  </r>
  <r>
    <n v="1114"/>
    <s v="Pooja"/>
    <x v="1"/>
    <s v="Stationery"/>
    <s v="Marker"/>
    <n v="13"/>
    <n v="32"/>
    <n v="15"/>
    <d v="2026-02-13T00:00:00"/>
    <d v="2026-02-16T00:00:00"/>
    <s v="Kavya"/>
    <n v="353.59999999999997"/>
    <s v="Average"/>
  </r>
  <r>
    <n v="1131"/>
    <s v="Meera"/>
    <x v="6"/>
    <s v="Furniture"/>
    <s v="Table"/>
    <n v="13"/>
    <n v="3083"/>
    <n v="7"/>
    <d v="2026-05-26T00:00:00"/>
    <d v="2026-05-31T00:00:00"/>
    <s v="Suresh"/>
    <n v="37273.469999999994"/>
    <s v="Good"/>
  </r>
  <r>
    <n v="1143"/>
    <s v="Priya"/>
    <x v="4"/>
    <s v="Stationery"/>
    <s v="Pen Pack"/>
    <n v="13"/>
    <n v="456"/>
    <n v="2"/>
    <d v="2026-05-18T00:00:00"/>
    <d v="2026-05-25T00:00:00"/>
    <s v="Rahul"/>
    <n v="5809.44"/>
    <s v="Average"/>
  </r>
  <r>
    <n v="1155"/>
    <s v="Ritesh"/>
    <x v="6"/>
    <s v="Furniture"/>
    <s v="Chair"/>
    <n v="13"/>
    <n v="4341"/>
    <n v="15"/>
    <d v="2026-03-12T00:00:00"/>
    <d v="2026-03-15T00:00:00"/>
    <s v="Rahul"/>
    <n v="47968.049999999996"/>
    <s v="Good"/>
  </r>
  <r>
    <n v="1158"/>
    <s v="Vikram"/>
    <x v="3"/>
    <s v="Electronics"/>
    <s v="Headset"/>
    <n v="13"/>
    <n v="12518"/>
    <n v="2"/>
    <d v="2026-02-26T00:00:00"/>
    <d v="2026-03-01T00:00:00"/>
    <s v="Suresh"/>
    <n v="159479.32"/>
    <s v="Excellent"/>
  </r>
  <r>
    <n v="1172"/>
    <s v="Pooja"/>
    <x v="7"/>
    <s v="Electronics"/>
    <s v="Monitor"/>
    <n v="13"/>
    <n v="43163"/>
    <n v="12"/>
    <d v="2026-04-08T00:00:00"/>
    <d v="2026-04-17T00:00:00"/>
    <s v="Rahul"/>
    <n v="493784.72000000003"/>
    <s v="Excellent"/>
  </r>
  <r>
    <n v="1174"/>
    <s v="Rohan"/>
    <x v="3"/>
    <s v="Stationery"/>
    <s v="Notebook"/>
    <n v="13"/>
    <n v="155"/>
    <n v="2"/>
    <d v="2026-02-13T00:00:00"/>
    <d v="2026-02-16T00:00:00"/>
    <s v="Rahul"/>
    <n v="1974.7"/>
    <s v="Average"/>
  </r>
  <r>
    <n v="1194"/>
    <s v="Sara"/>
    <x v="2"/>
    <s v="Furniture"/>
    <s v="Chair"/>
    <n v="13"/>
    <n v="12856"/>
    <n v="15"/>
    <d v="2026-04-17T00:00:00"/>
    <d v="2026-04-21T00:00:00"/>
    <s v="Suresh"/>
    <n v="142058.79999999999"/>
    <s v="Excellent"/>
  </r>
  <r>
    <n v="1200"/>
    <s v="Priya"/>
    <x v="6"/>
    <s v="Electronics"/>
    <s v="Monitor"/>
    <n v="13"/>
    <n v="69422"/>
    <n v="0"/>
    <d v="2026-04-22T00:00:00"/>
    <d v="2026-05-01T00:00:00"/>
    <s v="Priya"/>
    <n v="902486"/>
    <s v="Excellent"/>
  </r>
  <r>
    <n v="1204"/>
    <s v="Pooja"/>
    <x v="6"/>
    <s v="Stationery"/>
    <s v="Pen Pack"/>
    <n v="13"/>
    <n v="416"/>
    <n v="10"/>
    <d v="2026-04-11T00:00:00"/>
    <d v="2026-04-20T00:00:00"/>
    <s v="Amit"/>
    <n v="4867.2"/>
    <s v="Average"/>
  </r>
  <r>
    <n v="1226"/>
    <s v="Priya"/>
    <x v="6"/>
    <s v="Electronics"/>
    <s v="Headset"/>
    <n v="13"/>
    <n v="21332"/>
    <n v="0"/>
    <d v="2026-01-22T00:00:00"/>
    <d v="2026-01-26T00:00:00"/>
    <s v="Priya"/>
    <n v="277316"/>
    <s v="Excellent"/>
  </r>
  <r>
    <n v="1231"/>
    <s v="Nitin"/>
    <x v="3"/>
    <s v="Furniture"/>
    <s v="Desk"/>
    <n v="13"/>
    <n v="10297"/>
    <n v="12"/>
    <d v="2026-06-05T00:00:00"/>
    <d v="2026-06-13T00:00:00"/>
    <s v="Amit"/>
    <n v="117797.68000000001"/>
    <s v="Excellent"/>
  </r>
  <r>
    <n v="1246"/>
    <s v="Sneha"/>
    <x v="0"/>
    <s v="Electronics"/>
    <s v="Printer"/>
    <n v="13"/>
    <n v="1825"/>
    <n v="2"/>
    <d v="2026-01-17T00:00:00"/>
    <d v="2026-01-23T00:00:00"/>
    <s v="Suresh"/>
    <n v="23250.5"/>
    <s v="Good"/>
  </r>
  <r>
    <n v="1272"/>
    <s v="Komal"/>
    <x v="3"/>
    <s v="Electronics"/>
    <s v="Headset"/>
    <n v="13"/>
    <n v="42179"/>
    <n v="0"/>
    <d v="2026-02-25T00:00:00"/>
    <d v="2026-03-03T00:00:00"/>
    <s v="Amit"/>
    <n v="548327"/>
    <s v="Excellent"/>
  </r>
  <r>
    <n v="1274"/>
    <s v="Vikram"/>
    <x v="1"/>
    <s v="Electronics"/>
    <s v="Headset"/>
    <n v="13"/>
    <n v="36652"/>
    <n v="12"/>
    <d v="2026-06-06T00:00:00"/>
    <d v="2026-06-13T00:00:00"/>
    <s v="Amit"/>
    <n v="419298.88"/>
    <s v="Excellent"/>
  </r>
  <r>
    <n v="1303"/>
    <s v="Sara"/>
    <x v="3"/>
    <s v="Electronics"/>
    <s v="Printer"/>
    <n v="13"/>
    <n v="5170"/>
    <n v="2"/>
    <d v="2026-04-12T00:00:00"/>
    <d v="2026-04-15T00:00:00"/>
    <s v="Kavya"/>
    <n v="65865.8"/>
    <s v="Very Good"/>
  </r>
  <r>
    <n v="1330"/>
    <s v="Ajay"/>
    <x v="4"/>
    <s v="Furniture"/>
    <s v="Desk"/>
    <n v="13"/>
    <n v="12071"/>
    <n v="0"/>
    <d v="2026-01-10T00:00:00"/>
    <d v="2026-01-14T00:00:00"/>
    <s v="Suresh"/>
    <n v="156923"/>
    <s v="Excellent"/>
  </r>
  <r>
    <n v="1342"/>
    <s v="Anita"/>
    <x v="6"/>
    <s v="Electronics"/>
    <s v="Printer"/>
    <n v="13"/>
    <n v="47881"/>
    <n v="15"/>
    <d v="2026-04-20T00:00:00"/>
    <d v="2026-04-27T00:00:00"/>
    <s v="Priya"/>
    <n v="529085.04999999993"/>
    <s v="Excellent"/>
  </r>
  <r>
    <n v="1370"/>
    <s v="Anita"/>
    <x v="3"/>
    <s v="Stationery"/>
    <s v="Diary"/>
    <n v="13"/>
    <n v="337"/>
    <n v="7"/>
    <d v="2026-06-11T00:00:00"/>
    <d v="2026-06-15T00:00:00"/>
    <s v="Kavya"/>
    <n v="4074.33"/>
    <s v="Average"/>
  </r>
  <r>
    <n v="1392"/>
    <s v="Priya"/>
    <x v="2"/>
    <s v="Electronics"/>
    <s v="Printer"/>
    <n v="13"/>
    <n v="23903"/>
    <n v="5"/>
    <d v="2026-04-12T00:00:00"/>
    <d v="2026-04-13T00:00:00"/>
    <s v="Priya"/>
    <n v="295202.05"/>
    <s v="Excellent"/>
  </r>
  <r>
    <n v="1400"/>
    <s v="Deepak"/>
    <x v="0"/>
    <s v="Electronics"/>
    <s v="Printer"/>
    <n v="13"/>
    <n v="52411"/>
    <n v="15"/>
    <d v="2026-03-09T00:00:00"/>
    <d v="2026-03-11T00:00:00"/>
    <s v="Amit"/>
    <n v="579141.54999999993"/>
    <s v="Excellent"/>
  </r>
  <r>
    <n v="1024"/>
    <s v="Asha"/>
    <x v="3"/>
    <s v="Electronics"/>
    <s v="Headset"/>
    <n v="12"/>
    <n v="1682"/>
    <n v="5"/>
    <d v="2026-05-19T00:00:00"/>
    <d v="2026-05-23T00:00:00"/>
    <s v="Kavya"/>
    <n v="19174.8"/>
    <s v="Average"/>
  </r>
  <r>
    <n v="1050"/>
    <s v="Asha"/>
    <x v="1"/>
    <s v="Stationery"/>
    <s v="Diary"/>
    <n v="12"/>
    <n v="360"/>
    <n v="5"/>
    <d v="2026-04-15T00:00:00"/>
    <d v="2026-04-25T00:00:00"/>
    <s v="Priya"/>
    <n v="4104"/>
    <s v="Average"/>
  </r>
  <r>
    <n v="1051"/>
    <s v="Rohan"/>
    <x v="4"/>
    <s v="Stationery"/>
    <s v="Stapler"/>
    <n v="12"/>
    <n v="47"/>
    <n v="2"/>
    <d v="2026-01-15T00:00:00"/>
    <d v="2026-01-23T00:00:00"/>
    <s v="Kavya"/>
    <n v="552.72"/>
    <s v="Average"/>
  </r>
  <r>
    <n v="1080"/>
    <s v="Meera"/>
    <x v="0"/>
    <s v="Electronics"/>
    <s v="Headset"/>
    <n v="12"/>
    <n v="54161"/>
    <n v="15"/>
    <d v="2026-04-21T00:00:00"/>
    <d v="2026-05-01T00:00:00"/>
    <s v="Rahul"/>
    <n v="552442.19999999995"/>
    <s v="Excellent"/>
  </r>
  <r>
    <n v="1102"/>
    <s v="Manoj"/>
    <x v="1"/>
    <s v="Electronics"/>
    <s v="Monitor"/>
    <n v="12"/>
    <n v="63402"/>
    <n v="7"/>
    <d v="2026-03-25T00:00:00"/>
    <d v="2026-04-01T00:00:00"/>
    <s v="Suresh"/>
    <n v="707566.32"/>
    <s v="Excellent"/>
  </r>
  <r>
    <n v="1130"/>
    <s v="Nitin"/>
    <x v="5"/>
    <s v="Stationery"/>
    <s v="Notebook"/>
    <n v="12"/>
    <n v="50"/>
    <n v="2"/>
    <d v="2026-04-13T00:00:00"/>
    <d v="2026-04-19T00:00:00"/>
    <s v="Rahul"/>
    <n v="588"/>
    <s v="Average"/>
  </r>
  <r>
    <n v="1169"/>
    <s v="Yash"/>
    <x v="7"/>
    <s v="Furniture"/>
    <s v="Cabinet"/>
    <n v="12"/>
    <n v="12104"/>
    <n v="7"/>
    <d v="2026-04-09T00:00:00"/>
    <d v="2026-04-18T00:00:00"/>
    <s v="Rahul"/>
    <n v="135080.63999999998"/>
    <s v="Excellent"/>
  </r>
  <r>
    <n v="1184"/>
    <s v="Deepak"/>
    <x v="6"/>
    <s v="Electronics"/>
    <s v="Keyboard"/>
    <n v="12"/>
    <n v="50517"/>
    <n v="15"/>
    <d v="2026-05-03T00:00:00"/>
    <d v="2026-05-11T00:00:00"/>
    <s v="Priya"/>
    <n v="515273.39999999997"/>
    <s v="Excellent"/>
  </r>
  <r>
    <n v="1189"/>
    <s v="Ajay"/>
    <x v="6"/>
    <s v="Furniture"/>
    <s v="Cabinet"/>
    <n v="12"/>
    <n v="8327"/>
    <n v="10"/>
    <d v="2026-06-11T00:00:00"/>
    <d v="2026-06-12T00:00:00"/>
    <s v="Priya"/>
    <n v="89931.6"/>
    <s v="Very Good"/>
  </r>
  <r>
    <n v="1198"/>
    <s v="Rohan"/>
    <x v="7"/>
    <s v="Stationery"/>
    <s v="Notebook"/>
    <n v="12"/>
    <n v="491"/>
    <n v="2"/>
    <d v="2026-03-25T00:00:00"/>
    <d v="2026-03-28T00:00:00"/>
    <s v="Suresh"/>
    <n v="5774.16"/>
    <s v="Average"/>
  </r>
  <r>
    <n v="1236"/>
    <s v="Manoj"/>
    <x v="2"/>
    <s v="Stationery"/>
    <s v="Pen Pack"/>
    <n v="12"/>
    <n v="189"/>
    <n v="7"/>
    <d v="2026-05-22T00:00:00"/>
    <d v="2026-05-27T00:00:00"/>
    <s v="Priya"/>
    <n v="2109.2399999999998"/>
    <s v="Average"/>
  </r>
  <r>
    <n v="1273"/>
    <s v="Kiran"/>
    <x v="1"/>
    <s v="Electronics"/>
    <s v="Keyboard"/>
    <n v="12"/>
    <n v="20618"/>
    <n v="12"/>
    <d v="2026-05-30T00:00:00"/>
    <d v="2026-06-01T00:00:00"/>
    <s v="Amit"/>
    <n v="217726.07999999999"/>
    <s v="Excellent"/>
  </r>
  <r>
    <n v="1282"/>
    <s v="Sara"/>
    <x v="2"/>
    <s v="Furniture"/>
    <s v="Bookshelf"/>
    <n v="12"/>
    <n v="3178"/>
    <n v="10"/>
    <d v="2026-06-03T00:00:00"/>
    <d v="2026-06-04T00:00:00"/>
    <s v="Priya"/>
    <n v="34322.400000000001"/>
    <s v="Good"/>
  </r>
  <r>
    <n v="1308"/>
    <s v="Neha"/>
    <x v="0"/>
    <s v="Electronics"/>
    <s v="Headset"/>
    <n v="12"/>
    <n v="66075"/>
    <n v="5"/>
    <d v="2026-04-17T00:00:00"/>
    <d v="2026-04-23T00:00:00"/>
    <s v="Amit"/>
    <n v="753255"/>
    <s v="Excellent"/>
  </r>
  <r>
    <n v="1340"/>
    <s v="Nitin"/>
    <x v="4"/>
    <s v="Furniture"/>
    <s v="Desk"/>
    <n v="12"/>
    <n v="3857"/>
    <n v="12"/>
    <d v="2026-06-23T00:00:00"/>
    <d v="2026-06-25T00:00:00"/>
    <s v="Suresh"/>
    <n v="40729.919999999998"/>
    <s v="Good"/>
  </r>
  <r>
    <n v="1345"/>
    <s v="Asha"/>
    <x v="7"/>
    <s v="Electronics"/>
    <s v="Monitor"/>
    <n v="12"/>
    <n v="50544"/>
    <n v="10"/>
    <d v="2026-03-14T00:00:00"/>
    <d v="2026-03-16T00:00:00"/>
    <s v="Priya"/>
    <n v="545875.20000000007"/>
    <s v="Excellent"/>
  </r>
  <r>
    <n v="1348"/>
    <s v="Ritesh"/>
    <x v="5"/>
    <s v="Stationery"/>
    <s v="Marker"/>
    <n v="12"/>
    <n v="244"/>
    <n v="7"/>
    <d v="2026-01-26T00:00:00"/>
    <d v="2026-01-31T00:00:00"/>
    <s v="Kavya"/>
    <n v="2723.04"/>
    <s v="Average"/>
  </r>
  <r>
    <n v="1351"/>
    <s v="Nisha"/>
    <x v="5"/>
    <s v="Electronics"/>
    <s v="Monitor"/>
    <n v="12"/>
    <n v="1272"/>
    <n v="0"/>
    <d v="2026-01-04T00:00:00"/>
    <d v="2026-01-07T00:00:00"/>
    <s v="Kavya"/>
    <n v="15264"/>
    <s v="Average"/>
  </r>
  <r>
    <n v="1352"/>
    <s v="Manoj"/>
    <x v="0"/>
    <s v="Stationery"/>
    <s v="Notebook"/>
    <n v="12"/>
    <n v="203"/>
    <n v="5"/>
    <d v="2026-01-02T00:00:00"/>
    <d v="2026-01-11T00:00:00"/>
    <s v="Kavya"/>
    <n v="2314.1999999999998"/>
    <s v="Average"/>
  </r>
  <r>
    <n v="1374"/>
    <s v="Sara"/>
    <x v="5"/>
    <s v="Electronics"/>
    <s v="Printer"/>
    <n v="12"/>
    <n v="66052"/>
    <n v="2"/>
    <d v="2026-02-10T00:00:00"/>
    <d v="2026-02-13T00:00:00"/>
    <s v="Suresh"/>
    <n v="776771.52"/>
    <s v="Excellent"/>
  </r>
  <r>
    <n v="1385"/>
    <s v="Vikram"/>
    <x v="5"/>
    <s v="Electronics"/>
    <s v="Keyboard"/>
    <n v="12"/>
    <n v="61360"/>
    <n v="10"/>
    <d v="2026-01-26T00:00:00"/>
    <d v="2026-01-31T00:00:00"/>
    <s v="Suresh"/>
    <n v="662688"/>
    <s v="Excellent"/>
  </r>
  <r>
    <n v="1388"/>
    <s v="Sneha"/>
    <x v="6"/>
    <s v="Furniture"/>
    <s v="Chair"/>
    <n v="12"/>
    <n v="11662"/>
    <n v="12"/>
    <d v="2026-03-13T00:00:00"/>
    <d v="2026-03-15T00:00:00"/>
    <s v="Amit"/>
    <n v="123150.72"/>
    <s v="Excellent"/>
  </r>
  <r>
    <n v="1398"/>
    <s v="Rohan"/>
    <x v="2"/>
    <s v="Electronics"/>
    <s v="Keyboard"/>
    <n v="12"/>
    <n v="10668"/>
    <n v="0"/>
    <d v="2026-05-28T00:00:00"/>
    <d v="2026-06-03T00:00:00"/>
    <s v="Kavya"/>
    <n v="128016"/>
    <s v="Excellent"/>
  </r>
  <r>
    <n v="1015"/>
    <s v="Nisha"/>
    <x v="2"/>
    <s v="Furniture"/>
    <s v="Bookshelf"/>
    <n v="11"/>
    <n v="14511"/>
    <n v="2"/>
    <d v="2026-06-02T00:00:00"/>
    <d v="2026-06-12T00:00:00"/>
    <s v="Amit"/>
    <n v="156428.57999999999"/>
    <s v="Excellent"/>
  </r>
  <r>
    <n v="1047"/>
    <s v="Rohan"/>
    <x v="3"/>
    <s v="Furniture"/>
    <s v="Cabinet"/>
    <n v="11"/>
    <n v="9976"/>
    <n v="12"/>
    <d v="2026-06-27T00:00:00"/>
    <d v="2026-07-06T00:00:00"/>
    <s v="Kavya"/>
    <n v="96567.680000000008"/>
    <s v="Very Good"/>
  </r>
  <r>
    <n v="1074"/>
    <s v="Vikram"/>
    <x v="6"/>
    <s v="Stationery"/>
    <s v="Marker"/>
    <n v="11"/>
    <n v="390"/>
    <n v="15"/>
    <d v="2026-04-02T00:00:00"/>
    <d v="2026-04-11T00:00:00"/>
    <s v="Priya"/>
    <n v="3646.5"/>
    <s v="Average"/>
  </r>
  <r>
    <n v="1078"/>
    <s v="Komal"/>
    <x v="4"/>
    <s v="Electronics"/>
    <s v="Keyboard"/>
    <n v="11"/>
    <n v="24278"/>
    <n v="12"/>
    <d v="2026-03-03T00:00:00"/>
    <d v="2026-03-09T00:00:00"/>
    <s v="Priya"/>
    <n v="235011.04"/>
    <s v="Excellent"/>
  </r>
  <r>
    <n v="1100"/>
    <s v="Ritesh"/>
    <x v="6"/>
    <s v="Stationery"/>
    <s v="Notebook"/>
    <n v="11"/>
    <n v="296"/>
    <n v="10"/>
    <d v="2026-01-05T00:00:00"/>
    <d v="2026-01-09T00:00:00"/>
    <s v="Suresh"/>
    <n v="2930.4"/>
    <s v="Average"/>
  </r>
  <r>
    <n v="1148"/>
    <s v="Anita"/>
    <x v="5"/>
    <s v="Furniture"/>
    <s v="Chair"/>
    <n v="11"/>
    <n v="3023"/>
    <n v="7"/>
    <d v="2026-01-08T00:00:00"/>
    <d v="2026-01-10T00:00:00"/>
    <s v="Rahul"/>
    <n v="30925.289999999997"/>
    <s v="Good"/>
  </r>
  <r>
    <n v="1292"/>
    <s v="Manoj"/>
    <x v="5"/>
    <s v="Electronics"/>
    <s v="Mouse"/>
    <n v="11"/>
    <n v="25158"/>
    <n v="5"/>
    <d v="2026-06-13T00:00:00"/>
    <d v="2026-06-20T00:00:00"/>
    <s v="Amit"/>
    <n v="262901.09999999998"/>
    <s v="Excellent"/>
  </r>
  <r>
    <n v="1373"/>
    <s v="Manoj"/>
    <x v="1"/>
    <s v="Electronics"/>
    <s v="Laptop"/>
    <n v="11"/>
    <n v="47930"/>
    <n v="12"/>
    <d v="2026-06-18T00:00:00"/>
    <d v="2026-06-28T00:00:00"/>
    <s v="Amit"/>
    <n v="463962.4"/>
    <s v="Excellent"/>
  </r>
  <r>
    <n v="1379"/>
    <s v="Yash"/>
    <x v="4"/>
    <s v="Stationery"/>
    <s v="Notebook"/>
    <n v="11"/>
    <n v="136"/>
    <n v="15"/>
    <d v="2026-03-25T00:00:00"/>
    <d v="2026-03-26T00:00:00"/>
    <s v="Amit"/>
    <n v="1271.5999999999999"/>
    <s v="Average"/>
  </r>
  <r>
    <n v="1382"/>
    <s v="Ajay"/>
    <x v="5"/>
    <s v="Electronics"/>
    <s v="Laptop"/>
    <n v="11"/>
    <n v="36198"/>
    <n v="0"/>
    <d v="2026-04-18T00:00:00"/>
    <d v="2026-04-22T00:00:00"/>
    <s v="Kavya"/>
    <n v="398178"/>
    <s v="Excellent"/>
  </r>
  <r>
    <n v="1387"/>
    <s v="Manoj"/>
    <x v="5"/>
    <s v="Electronics"/>
    <s v="Printer"/>
    <n v="11"/>
    <n v="56515"/>
    <n v="5"/>
    <d v="2026-03-21T00:00:00"/>
    <d v="2026-03-31T00:00:00"/>
    <s v="Rahul"/>
    <n v="590581.75"/>
    <s v="Excellent"/>
  </r>
  <r>
    <n v="1009"/>
    <s v="Asha"/>
    <x v="5"/>
    <s v="Electronics"/>
    <s v="Printer"/>
    <n v="10"/>
    <n v="40671"/>
    <n v="12"/>
    <d v="2026-06-10T00:00:00"/>
    <d v="2026-06-20T00:00:00"/>
    <s v="Rahul"/>
    <n v="357904.8"/>
    <s v="Excellent"/>
  </r>
  <r>
    <n v="1040"/>
    <s v="Ajay"/>
    <x v="3"/>
    <s v="Furniture"/>
    <s v="Chair"/>
    <n v="10"/>
    <n v="7531"/>
    <n v="2"/>
    <d v="2026-05-29T00:00:00"/>
    <d v="2026-06-05T00:00:00"/>
    <s v="Rahul"/>
    <n v="73803.8"/>
    <s v="Very Good"/>
  </r>
  <r>
    <n v="1058"/>
    <s v="Komal"/>
    <x v="3"/>
    <s v="Furniture"/>
    <s v="Chair"/>
    <n v="10"/>
    <n v="5532"/>
    <n v="7"/>
    <d v="2026-02-21T00:00:00"/>
    <d v="2026-03-03T00:00:00"/>
    <s v="Rahul"/>
    <n v="51447.6"/>
    <s v="Very Good"/>
  </r>
  <r>
    <n v="1070"/>
    <s v="Komal"/>
    <x v="2"/>
    <s v="Stationery"/>
    <s v="Stapler"/>
    <n v="10"/>
    <n v="233"/>
    <n v="7"/>
    <d v="2026-02-23T00:00:00"/>
    <d v="2026-02-24T00:00:00"/>
    <s v="Priya"/>
    <n v="2166.8999999999996"/>
    <s v="Average"/>
  </r>
  <r>
    <n v="1089"/>
    <s v="Kiran"/>
    <x v="7"/>
    <s v="Electronics"/>
    <s v="Printer"/>
    <n v="10"/>
    <n v="17041"/>
    <n v="2"/>
    <d v="2026-02-13T00:00:00"/>
    <d v="2026-02-18T00:00:00"/>
    <s v="Rahul"/>
    <n v="167001.79999999999"/>
    <s v="Excellent"/>
  </r>
  <r>
    <n v="1097"/>
    <s v="Komal"/>
    <x v="0"/>
    <s v="Electronics"/>
    <s v="Mouse"/>
    <n v="10"/>
    <n v="28980"/>
    <n v="10"/>
    <d v="2026-03-08T00:00:00"/>
    <d v="2026-03-13T00:00:00"/>
    <s v="Rahul"/>
    <n v="260820"/>
    <s v="Excellent"/>
  </r>
  <r>
    <n v="1104"/>
    <s v="Pooja"/>
    <x v="2"/>
    <s v="Furniture"/>
    <s v="Desk"/>
    <n v="10"/>
    <n v="12848"/>
    <n v="15"/>
    <d v="2026-02-07T00:00:00"/>
    <d v="2026-02-11T00:00:00"/>
    <s v="Priya"/>
    <n v="109208"/>
    <s v="Excellent"/>
  </r>
  <r>
    <n v="1120"/>
    <s v="Asha"/>
    <x v="3"/>
    <s v="Stationery"/>
    <s v="Stapler"/>
    <n v="10"/>
    <n v="438"/>
    <n v="10"/>
    <d v="2026-02-08T00:00:00"/>
    <d v="2026-02-12T00:00:00"/>
    <s v="Suresh"/>
    <n v="3942"/>
    <s v="Average"/>
  </r>
  <r>
    <n v="1132"/>
    <s v="Ritesh"/>
    <x v="6"/>
    <s v="Stationery"/>
    <s v="Marker"/>
    <n v="10"/>
    <n v="270"/>
    <n v="7"/>
    <d v="2026-01-02T00:00:00"/>
    <d v="2026-01-12T00:00:00"/>
    <s v="Rahul"/>
    <n v="2511"/>
    <s v="Average"/>
  </r>
  <r>
    <n v="1134"/>
    <s v="Sara"/>
    <x v="6"/>
    <s v="Electronics"/>
    <s v="Mouse"/>
    <n v="10"/>
    <n v="29217"/>
    <n v="15"/>
    <d v="2026-05-06T00:00:00"/>
    <d v="2026-05-08T00:00:00"/>
    <s v="Rahul"/>
    <n v="248344.5"/>
    <s v="Excellent"/>
  </r>
  <r>
    <n v="1149"/>
    <s v="Vikram"/>
    <x v="3"/>
    <s v="Electronics"/>
    <s v="Printer"/>
    <n v="10"/>
    <n v="22853"/>
    <n v="7"/>
    <d v="2026-01-31T00:00:00"/>
    <d v="2026-02-01T00:00:00"/>
    <s v="Priya"/>
    <n v="212532.9"/>
    <s v="Excellent"/>
  </r>
  <r>
    <n v="1150"/>
    <s v="Nisha"/>
    <x v="7"/>
    <s v="Furniture"/>
    <s v="Cabinet"/>
    <n v="10"/>
    <n v="5323"/>
    <n v="7"/>
    <d v="2026-05-01T00:00:00"/>
    <d v="2026-05-11T00:00:00"/>
    <s v="Rahul"/>
    <n v="49503.899999999994"/>
    <s v="Good"/>
  </r>
  <r>
    <n v="1175"/>
    <s v="Vikram"/>
    <x v="4"/>
    <s v="Electronics"/>
    <s v="Headset"/>
    <n v="10"/>
    <n v="20339"/>
    <n v="2"/>
    <d v="2026-03-07T00:00:00"/>
    <d v="2026-03-13T00:00:00"/>
    <s v="Amit"/>
    <n v="199322.19999999998"/>
    <s v="Excellent"/>
  </r>
  <r>
    <n v="1186"/>
    <s v="Pooja"/>
    <x v="1"/>
    <s v="Furniture"/>
    <s v="Bookshelf"/>
    <n v="10"/>
    <n v="14951"/>
    <n v="2"/>
    <d v="2026-06-15T00:00:00"/>
    <d v="2026-06-23T00:00:00"/>
    <s v="Rahul"/>
    <n v="146519.79999999999"/>
    <s v="Excellent"/>
  </r>
  <r>
    <n v="1210"/>
    <s v="Neha"/>
    <x v="6"/>
    <s v="Stationery"/>
    <s v="Diary"/>
    <n v="10"/>
    <n v="349"/>
    <n v="0"/>
    <d v="2026-01-30T00:00:00"/>
    <d v="2026-02-07T00:00:00"/>
    <s v="Priya"/>
    <n v="3490"/>
    <s v="Average"/>
  </r>
  <r>
    <n v="1212"/>
    <s v="Anita"/>
    <x v="1"/>
    <s v="Electronics"/>
    <s v="Laptop"/>
    <n v="10"/>
    <n v="34380"/>
    <n v="7"/>
    <d v="2026-06-21T00:00:00"/>
    <d v="2026-06-22T00:00:00"/>
    <s v="Priya"/>
    <n v="319734"/>
    <s v="Excellent"/>
  </r>
  <r>
    <n v="1216"/>
    <s v="Deepak"/>
    <x v="0"/>
    <s v="Electronics"/>
    <s v="Monitor"/>
    <n v="10"/>
    <n v="56709"/>
    <n v="15"/>
    <d v="2026-04-23T00:00:00"/>
    <d v="2026-04-27T00:00:00"/>
    <s v="Priya"/>
    <n v="482026.5"/>
    <s v="Excellent"/>
  </r>
  <r>
    <n v="1244"/>
    <s v="Sara"/>
    <x v="3"/>
    <s v="Furniture"/>
    <s v="Chair"/>
    <n v="10"/>
    <n v="6339"/>
    <n v="12"/>
    <d v="2026-06-27T00:00:00"/>
    <d v="2026-07-02T00:00:00"/>
    <s v="Kavya"/>
    <n v="55783.199999999997"/>
    <s v="Very Good"/>
  </r>
  <r>
    <n v="1247"/>
    <s v="Vikram"/>
    <x v="7"/>
    <s v="Stationery"/>
    <s v="Marker"/>
    <n v="10"/>
    <n v="336"/>
    <n v="7"/>
    <d v="2026-05-31T00:00:00"/>
    <d v="2026-06-02T00:00:00"/>
    <s v="Amit"/>
    <n v="3124.7999999999997"/>
    <s v="Average"/>
  </r>
  <r>
    <n v="1259"/>
    <s v="Nisha"/>
    <x v="0"/>
    <s v="Electronics"/>
    <s v="Monitor"/>
    <n v="10"/>
    <n v="38771"/>
    <n v="15"/>
    <d v="2026-05-30T00:00:00"/>
    <d v="2026-06-09T00:00:00"/>
    <s v="Kavya"/>
    <n v="329553.5"/>
    <s v="Excellent"/>
  </r>
  <r>
    <n v="1263"/>
    <s v="Priya"/>
    <x v="3"/>
    <s v="Furniture"/>
    <s v="Chair"/>
    <n v="10"/>
    <n v="1505"/>
    <n v="0"/>
    <d v="2026-04-18T00:00:00"/>
    <d v="2026-04-26T00:00:00"/>
    <s v="Suresh"/>
    <n v="15050"/>
    <s v="Average"/>
  </r>
  <r>
    <n v="1268"/>
    <s v="Nisha"/>
    <x v="3"/>
    <s v="Electronics"/>
    <s v="Monitor"/>
    <n v="10"/>
    <n v="46291"/>
    <n v="12"/>
    <d v="2026-06-26T00:00:00"/>
    <d v="2026-06-29T00:00:00"/>
    <s v="Amit"/>
    <n v="407360.8"/>
    <s v="Excellent"/>
  </r>
  <r>
    <n v="1314"/>
    <s v="Komal"/>
    <x v="5"/>
    <s v="Furniture"/>
    <s v="Desk"/>
    <n v="10"/>
    <n v="6328"/>
    <n v="2"/>
    <d v="2026-06-23T00:00:00"/>
    <d v="2026-06-24T00:00:00"/>
    <s v="Priya"/>
    <n v="62014.400000000001"/>
    <s v="Very Good"/>
  </r>
  <r>
    <n v="1336"/>
    <s v="Pooja"/>
    <x v="1"/>
    <s v="Furniture"/>
    <s v="Cabinet"/>
    <n v="10"/>
    <n v="5624"/>
    <n v="0"/>
    <d v="2026-03-05T00:00:00"/>
    <d v="2026-03-11T00:00:00"/>
    <s v="Priya"/>
    <n v="56240"/>
    <s v="Very Good"/>
  </r>
  <r>
    <n v="1338"/>
    <s v="Anita"/>
    <x v="1"/>
    <s v="Electronics"/>
    <s v="Laptop"/>
    <n v="10"/>
    <n v="16719"/>
    <n v="5"/>
    <d v="2026-06-04T00:00:00"/>
    <d v="2026-06-06T00:00:00"/>
    <s v="Kavya"/>
    <n v="158830.5"/>
    <s v="Excellent"/>
  </r>
  <r>
    <n v="1394"/>
    <s v="Manoj"/>
    <x v="7"/>
    <s v="Stationery"/>
    <s v="Notebook"/>
    <n v="10"/>
    <n v="138"/>
    <n v="2"/>
    <d v="2026-02-03T00:00:00"/>
    <d v="2026-02-04T00:00:00"/>
    <s v="Kavya"/>
    <n v="1352.3999999999999"/>
    <s v="Average"/>
  </r>
  <r>
    <n v="1033"/>
    <s v="Ritesh"/>
    <x v="2"/>
    <s v="Furniture"/>
    <s v="Desk"/>
    <n v="9"/>
    <n v="4895"/>
    <n v="2"/>
    <d v="2026-03-01T00:00:00"/>
    <d v="2026-03-03T00:00:00"/>
    <s v="Priya"/>
    <n v="43173.9"/>
    <s v="Good"/>
  </r>
  <r>
    <n v="1041"/>
    <s v="Manoj"/>
    <x v="3"/>
    <s v="Stationery"/>
    <s v="Marker"/>
    <n v="9"/>
    <n v="71"/>
    <n v="7"/>
    <d v="2026-06-12T00:00:00"/>
    <d v="2026-06-15T00:00:00"/>
    <s v="Kavya"/>
    <n v="594.27"/>
    <s v="Average"/>
  </r>
  <r>
    <n v="1060"/>
    <s v="Ajay"/>
    <x v="7"/>
    <s v="Furniture"/>
    <s v="Bookshelf"/>
    <n v="9"/>
    <n v="9727"/>
    <n v="2"/>
    <d v="2026-01-02T00:00:00"/>
    <d v="2026-01-08T00:00:00"/>
    <s v="Amit"/>
    <n v="85792.14"/>
    <s v="Very Good"/>
  </r>
  <r>
    <n v="1069"/>
    <s v="Komal"/>
    <x v="6"/>
    <s v="Furniture"/>
    <s v="Chair"/>
    <n v="9"/>
    <n v="4415"/>
    <n v="5"/>
    <d v="2026-01-17T00:00:00"/>
    <d v="2026-01-24T00:00:00"/>
    <s v="Kavya"/>
    <n v="37748.25"/>
    <s v="Good"/>
  </r>
  <r>
    <n v="1092"/>
    <s v="Meera"/>
    <x v="0"/>
    <s v="Electronics"/>
    <s v="Headset"/>
    <n v="9"/>
    <n v="23438"/>
    <n v="2"/>
    <d v="2026-01-27T00:00:00"/>
    <d v="2026-02-02T00:00:00"/>
    <s v="Priya"/>
    <n v="206723.16"/>
    <s v="Excellent"/>
  </r>
  <r>
    <n v="1101"/>
    <s v="Arjun"/>
    <x v="0"/>
    <s v="Electronics"/>
    <s v="Mouse"/>
    <n v="9"/>
    <n v="37361"/>
    <n v="10"/>
    <d v="2026-04-29T00:00:00"/>
    <d v="2026-04-30T00:00:00"/>
    <s v="Rahul"/>
    <n v="302624.10000000003"/>
    <s v="Excellent"/>
  </r>
  <r>
    <n v="1115"/>
    <s v="Anita"/>
    <x v="2"/>
    <s v="Stationery"/>
    <s v="Marker"/>
    <n v="9"/>
    <n v="303"/>
    <n v="10"/>
    <d v="2026-05-07T00:00:00"/>
    <d v="2026-05-15T00:00:00"/>
    <s v="Priya"/>
    <n v="2454.3000000000002"/>
    <s v="Average"/>
  </r>
  <r>
    <n v="1142"/>
    <s v="Deepak"/>
    <x v="1"/>
    <s v="Electronics"/>
    <s v="Laptop"/>
    <n v="9"/>
    <n v="59788"/>
    <n v="7"/>
    <d v="2026-02-11T00:00:00"/>
    <d v="2026-02-18T00:00:00"/>
    <s v="Priya"/>
    <n v="500425.55999999994"/>
    <s v="Excellent"/>
  </r>
  <r>
    <n v="1163"/>
    <s v="Priya"/>
    <x v="3"/>
    <s v="Electronics"/>
    <s v="Keyboard"/>
    <n v="9"/>
    <n v="62440"/>
    <n v="2"/>
    <d v="2026-02-28T00:00:00"/>
    <d v="2026-03-05T00:00:00"/>
    <s v="Priya"/>
    <n v="550720.80000000005"/>
    <s v="Excellent"/>
  </r>
  <r>
    <n v="1191"/>
    <s v="Komal"/>
    <x v="5"/>
    <s v="Furniture"/>
    <s v="Cabinet"/>
    <n v="9"/>
    <n v="8631"/>
    <n v="10"/>
    <d v="2026-05-07T00:00:00"/>
    <d v="2026-05-14T00:00:00"/>
    <s v="Amit"/>
    <n v="69911.100000000006"/>
    <s v="Very Good"/>
  </r>
  <r>
    <n v="1206"/>
    <s v="Sneha"/>
    <x v="5"/>
    <s v="Stationery"/>
    <s v="Notebook"/>
    <n v="9"/>
    <n v="60"/>
    <n v="0"/>
    <d v="2026-05-24T00:00:00"/>
    <d v="2026-06-01T00:00:00"/>
    <s v="Kavya"/>
    <n v="540"/>
    <s v="Average"/>
  </r>
  <r>
    <n v="1222"/>
    <s v="Neha"/>
    <x v="5"/>
    <s v="Furniture"/>
    <s v="Table"/>
    <n v="9"/>
    <n v="2712"/>
    <n v="12"/>
    <d v="2026-05-12T00:00:00"/>
    <d v="2026-05-21T00:00:00"/>
    <s v="Kavya"/>
    <n v="21479.040000000001"/>
    <s v="Good"/>
  </r>
  <r>
    <n v="1262"/>
    <s v="Pooja"/>
    <x v="0"/>
    <s v="Furniture"/>
    <s v="Chair"/>
    <n v="9"/>
    <n v="2231"/>
    <n v="15"/>
    <d v="2026-06-01T00:00:00"/>
    <d v="2026-06-10T00:00:00"/>
    <s v="Kavya"/>
    <n v="17067.149999999998"/>
    <s v="Average"/>
  </r>
  <r>
    <n v="1280"/>
    <s v="Anita"/>
    <x v="3"/>
    <s v="Stationery"/>
    <s v="Diary"/>
    <n v="9"/>
    <n v="50"/>
    <n v="7"/>
    <d v="2026-03-04T00:00:00"/>
    <d v="2026-03-14T00:00:00"/>
    <s v="Suresh"/>
    <n v="418.5"/>
    <s v="Average"/>
  </r>
  <r>
    <n v="1286"/>
    <s v="Kiran"/>
    <x v="4"/>
    <s v="Furniture"/>
    <s v="Cabinet"/>
    <n v="9"/>
    <n v="1340"/>
    <n v="2"/>
    <d v="2026-05-26T00:00:00"/>
    <d v="2026-05-31T00:00:00"/>
    <s v="Kavya"/>
    <n v="11818.8"/>
    <s v="Average"/>
  </r>
  <r>
    <n v="1302"/>
    <s v="Sara"/>
    <x v="7"/>
    <s v="Electronics"/>
    <s v="Printer"/>
    <n v="9"/>
    <n v="8500"/>
    <n v="15"/>
    <d v="2026-05-21T00:00:00"/>
    <d v="2026-05-30T00:00:00"/>
    <s v="Rahul"/>
    <n v="65025"/>
    <s v="Very Good"/>
  </r>
  <r>
    <n v="1325"/>
    <s v="Nitin"/>
    <x v="2"/>
    <s v="Electronics"/>
    <s v="Keyboard"/>
    <n v="9"/>
    <n v="58442"/>
    <n v="12"/>
    <d v="2026-02-23T00:00:00"/>
    <d v="2026-03-04T00:00:00"/>
    <s v="Amit"/>
    <n v="462860.64"/>
    <s v="Excellent"/>
  </r>
  <r>
    <n v="1335"/>
    <s v="Yash"/>
    <x v="4"/>
    <s v="Furniture"/>
    <s v="Desk"/>
    <n v="9"/>
    <n v="1495"/>
    <n v="12"/>
    <d v="2026-05-26T00:00:00"/>
    <d v="2026-05-31T00:00:00"/>
    <s v="Kavya"/>
    <n v="11840.4"/>
    <s v="Average"/>
  </r>
  <r>
    <n v="1359"/>
    <s v="Manoj"/>
    <x v="7"/>
    <s v="Electronics"/>
    <s v="Mouse"/>
    <n v="9"/>
    <n v="38179"/>
    <n v="0"/>
    <d v="2026-03-15T00:00:00"/>
    <d v="2026-03-18T00:00:00"/>
    <s v="Kavya"/>
    <n v="343611"/>
    <s v="Excellent"/>
  </r>
  <r>
    <n v="1368"/>
    <s v="Sneha"/>
    <x v="3"/>
    <s v="Stationery"/>
    <s v="Stapler"/>
    <n v="9"/>
    <n v="115"/>
    <n v="0"/>
    <d v="2026-01-14T00:00:00"/>
    <d v="2026-01-23T00:00:00"/>
    <s v="Rahul"/>
    <n v="1035"/>
    <s v="Average"/>
  </r>
  <r>
    <n v="1372"/>
    <s v="Nitin"/>
    <x v="4"/>
    <s v="Electronics"/>
    <s v="Keyboard"/>
    <n v="9"/>
    <n v="9551"/>
    <n v="10"/>
    <d v="2026-05-19T00:00:00"/>
    <d v="2026-05-26T00:00:00"/>
    <s v="Kavya"/>
    <n v="77363.100000000006"/>
    <s v="Very Good"/>
  </r>
  <r>
    <n v="1386"/>
    <s v="Arjun"/>
    <x v="6"/>
    <s v="Furniture"/>
    <s v="Chair"/>
    <n v="9"/>
    <n v="7509"/>
    <n v="5"/>
    <d v="2026-05-20T00:00:00"/>
    <d v="2026-05-29T00:00:00"/>
    <s v="Suresh"/>
    <n v="64201.95"/>
    <s v="Very Good"/>
  </r>
  <r>
    <n v="1390"/>
    <s v="Rohan"/>
    <x v="2"/>
    <s v="Furniture"/>
    <s v="Desk"/>
    <n v="9"/>
    <n v="7670"/>
    <n v="0"/>
    <d v="2026-02-23T00:00:00"/>
    <d v="2026-02-28T00:00:00"/>
    <s v="Suresh"/>
    <n v="69030"/>
    <s v="Very Good"/>
  </r>
  <r>
    <n v="1017"/>
    <s v="Kiran"/>
    <x v="3"/>
    <s v="Stationery"/>
    <s v="Stapler"/>
    <n v="8"/>
    <n v="179"/>
    <n v="15"/>
    <d v="2026-03-01T00:00:00"/>
    <d v="2026-03-03T00:00:00"/>
    <s v="Kavya"/>
    <n v="1217.2"/>
    <s v="Average"/>
  </r>
  <r>
    <n v="1054"/>
    <s v="Vikram"/>
    <x v="1"/>
    <s v="Furniture"/>
    <s v="Table"/>
    <n v="8"/>
    <n v="9798"/>
    <n v="12"/>
    <d v="2026-06-27T00:00:00"/>
    <d v="2026-06-28T00:00:00"/>
    <s v="Suresh"/>
    <n v="68977.919999999998"/>
    <s v="Very Good"/>
  </r>
  <r>
    <n v="1062"/>
    <s v="Deepak"/>
    <x v="2"/>
    <s v="Furniture"/>
    <s v="Table"/>
    <n v="8"/>
    <n v="8360"/>
    <n v="2"/>
    <d v="2026-06-17T00:00:00"/>
    <d v="2026-06-27T00:00:00"/>
    <s v="Suresh"/>
    <n v="65542.399999999994"/>
    <s v="Very Good"/>
  </r>
  <r>
    <n v="1182"/>
    <s v="Nisha"/>
    <x v="7"/>
    <s v="Electronics"/>
    <s v="Keyboard"/>
    <n v="8"/>
    <n v="66022"/>
    <n v="12"/>
    <d v="2026-03-27T00:00:00"/>
    <d v="2026-04-02T00:00:00"/>
    <s v="Rahul"/>
    <n v="464794.88"/>
    <s v="Excellent"/>
  </r>
  <r>
    <n v="1237"/>
    <s v="Kiran"/>
    <x v="3"/>
    <s v="Furniture"/>
    <s v="Cabinet"/>
    <n v="8"/>
    <n v="12123"/>
    <n v="2"/>
    <d v="2026-04-25T00:00:00"/>
    <d v="2026-05-03T00:00:00"/>
    <s v="Kavya"/>
    <n v="95044.319999999992"/>
    <s v="Very Good"/>
  </r>
  <r>
    <n v="1294"/>
    <s v="Meera"/>
    <x v="7"/>
    <s v="Furniture"/>
    <s v="Desk"/>
    <n v="8"/>
    <n v="14448"/>
    <n v="10"/>
    <d v="2026-06-08T00:00:00"/>
    <d v="2026-06-16T00:00:00"/>
    <s v="Kavya"/>
    <n v="104025.60000000001"/>
    <s v="Excellent"/>
  </r>
  <r>
    <n v="1299"/>
    <s v="Vikram"/>
    <x v="4"/>
    <s v="Furniture"/>
    <s v="Cabinet"/>
    <n v="8"/>
    <n v="8783"/>
    <n v="2"/>
    <d v="2026-04-11T00:00:00"/>
    <d v="2026-04-20T00:00:00"/>
    <s v="Kavya"/>
    <n v="68858.720000000001"/>
    <s v="Very Good"/>
  </r>
  <r>
    <n v="1321"/>
    <s v="Asha"/>
    <x v="0"/>
    <s v="Furniture"/>
    <s v="Desk"/>
    <n v="8"/>
    <n v="5619"/>
    <n v="7"/>
    <d v="2026-03-26T00:00:00"/>
    <d v="2026-03-28T00:00:00"/>
    <s v="Suresh"/>
    <n v="41805.360000000001"/>
    <s v="Good"/>
  </r>
  <r>
    <n v="1396"/>
    <s v="Meera"/>
    <x v="3"/>
    <s v="Stationery"/>
    <s v="Diary"/>
    <n v="8"/>
    <n v="54"/>
    <n v="15"/>
    <d v="2026-01-09T00:00:00"/>
    <d v="2026-01-13T00:00:00"/>
    <s v="Kavya"/>
    <n v="367.2"/>
    <s v="Average"/>
  </r>
  <r>
    <n v="1002"/>
    <s v="Pooja"/>
    <x v="4"/>
    <s v="Furniture"/>
    <s v="Desk"/>
    <n v="7"/>
    <n v="8448"/>
    <n v="12"/>
    <d v="2026-06-01T00:00:00"/>
    <d v="2026-06-06T00:00:00"/>
    <s v="Amit"/>
    <n v="52039.68"/>
    <s v="Very Good"/>
  </r>
  <r>
    <n v="1063"/>
    <s v="Manoj"/>
    <x v="0"/>
    <s v="Electronics"/>
    <s v="Monitor"/>
    <n v="7"/>
    <n v="66744"/>
    <n v="7"/>
    <d v="2026-05-06T00:00:00"/>
    <d v="2026-05-13T00:00:00"/>
    <s v="Kavya"/>
    <n v="434503.43999999994"/>
    <s v="Excellent"/>
  </r>
  <r>
    <n v="1082"/>
    <s v="Meera"/>
    <x v="7"/>
    <s v="Stationery"/>
    <s v="Notebook"/>
    <n v="7"/>
    <n v="133"/>
    <n v="10"/>
    <d v="2026-02-22T00:00:00"/>
    <d v="2026-03-04T00:00:00"/>
    <s v="Suresh"/>
    <n v="837.9"/>
    <s v="Average"/>
  </r>
  <r>
    <n v="1103"/>
    <s v="Pooja"/>
    <x v="7"/>
    <s v="Furniture"/>
    <s v="Table"/>
    <n v="7"/>
    <n v="11925"/>
    <n v="5"/>
    <d v="2026-01-18T00:00:00"/>
    <d v="2026-01-19T00:00:00"/>
    <s v="Priya"/>
    <n v="79301.25"/>
    <s v="Very Good"/>
  </r>
  <r>
    <n v="1112"/>
    <s v="Meera"/>
    <x v="2"/>
    <s v="Furniture"/>
    <s v="Bookshelf"/>
    <n v="7"/>
    <n v="1959"/>
    <n v="15"/>
    <d v="2026-03-09T00:00:00"/>
    <d v="2026-03-19T00:00:00"/>
    <s v="Kavya"/>
    <n v="11656.05"/>
    <s v="Average"/>
  </r>
  <r>
    <n v="1146"/>
    <s v="Pooja"/>
    <x v="2"/>
    <s v="Electronics"/>
    <s v="Monitor"/>
    <n v="7"/>
    <n v="68217"/>
    <n v="0"/>
    <d v="2026-06-17T00:00:00"/>
    <d v="2026-06-24T00:00:00"/>
    <s v="Priya"/>
    <n v="477519"/>
    <s v="Excellent"/>
  </r>
  <r>
    <n v="1147"/>
    <s v="Ritesh"/>
    <x v="0"/>
    <s v="Furniture"/>
    <s v="Chair"/>
    <n v="7"/>
    <n v="9581"/>
    <n v="5"/>
    <d v="2026-05-12T00:00:00"/>
    <d v="2026-05-13T00:00:00"/>
    <s v="Amit"/>
    <n v="63713.649999999994"/>
    <s v="Very Good"/>
  </r>
  <r>
    <n v="1160"/>
    <s v="Anita"/>
    <x v="0"/>
    <s v="Electronics"/>
    <s v="Keyboard"/>
    <n v="7"/>
    <n v="53986"/>
    <n v="10"/>
    <d v="2026-04-30T00:00:00"/>
    <d v="2026-05-05T00:00:00"/>
    <s v="Suresh"/>
    <n v="340111.8"/>
    <s v="Excellent"/>
  </r>
  <r>
    <n v="1164"/>
    <s v="Deepak"/>
    <x v="2"/>
    <s v="Electronics"/>
    <s v="Mouse"/>
    <n v="7"/>
    <n v="24615"/>
    <n v="12"/>
    <d v="2026-06-23T00:00:00"/>
    <d v="2026-06-30T00:00:00"/>
    <s v="Suresh"/>
    <n v="151628.4"/>
    <s v="Excellent"/>
  </r>
  <r>
    <n v="1207"/>
    <s v="Sneha"/>
    <x v="1"/>
    <s v="Stationery"/>
    <s v="Diary"/>
    <n v="7"/>
    <n v="244"/>
    <n v="2"/>
    <d v="2026-05-22T00:00:00"/>
    <d v="2026-05-31T00:00:00"/>
    <s v="Rahul"/>
    <n v="1673.84"/>
    <s v="Average"/>
  </r>
  <r>
    <n v="1230"/>
    <s v="Anita"/>
    <x v="5"/>
    <s v="Electronics"/>
    <s v="Laptop"/>
    <n v="7"/>
    <n v="2932"/>
    <n v="7"/>
    <d v="2026-01-28T00:00:00"/>
    <d v="2026-02-06T00:00:00"/>
    <s v="Rahul"/>
    <n v="19087.32"/>
    <s v="Average"/>
  </r>
  <r>
    <n v="1242"/>
    <s v="Manoj"/>
    <x v="3"/>
    <s v="Stationery"/>
    <s v="Marker"/>
    <n v="7"/>
    <n v="168"/>
    <n v="10"/>
    <d v="2026-06-18T00:00:00"/>
    <d v="2026-06-23T00:00:00"/>
    <s v="Suresh"/>
    <n v="1058.4000000000001"/>
    <s v="Average"/>
  </r>
  <r>
    <n v="1257"/>
    <s v="Manoj"/>
    <x v="1"/>
    <s v="Electronics"/>
    <s v="Mouse"/>
    <n v="7"/>
    <n v="53243"/>
    <n v="12"/>
    <d v="2026-05-19T00:00:00"/>
    <d v="2026-05-29T00:00:00"/>
    <s v="Kavya"/>
    <n v="327976.88"/>
    <s v="Excellent"/>
  </r>
  <r>
    <n v="1285"/>
    <s v="Asha"/>
    <x v="3"/>
    <s v="Stationery"/>
    <s v="Stapler"/>
    <n v="7"/>
    <n v="439"/>
    <n v="15"/>
    <d v="2026-02-02T00:00:00"/>
    <d v="2026-02-05T00:00:00"/>
    <s v="Amit"/>
    <n v="2612.0499999999997"/>
    <s v="Average"/>
  </r>
  <r>
    <n v="1293"/>
    <s v="Ajay"/>
    <x v="2"/>
    <s v="Furniture"/>
    <s v="Table"/>
    <n v="7"/>
    <n v="11481"/>
    <n v="15"/>
    <d v="2026-01-23T00:00:00"/>
    <d v="2026-01-28T00:00:00"/>
    <s v="Amit"/>
    <n v="68311.95"/>
    <s v="Very Good"/>
  </r>
  <r>
    <n v="1316"/>
    <s v="Kiran"/>
    <x v="7"/>
    <s v="Furniture"/>
    <s v="Chair"/>
    <n v="7"/>
    <n v="9838"/>
    <n v="7"/>
    <d v="2026-02-25T00:00:00"/>
    <d v="2026-03-04T00:00:00"/>
    <s v="Amit"/>
    <n v="64045.38"/>
    <s v="Very Good"/>
  </r>
  <r>
    <n v="1317"/>
    <s v="Anita"/>
    <x v="5"/>
    <s v="Electronics"/>
    <s v="Headset"/>
    <n v="7"/>
    <n v="67339"/>
    <n v="5"/>
    <d v="2026-05-17T00:00:00"/>
    <d v="2026-05-27T00:00:00"/>
    <s v="Suresh"/>
    <n v="447804.35"/>
    <s v="Excellent"/>
  </r>
  <r>
    <n v="1332"/>
    <s v="Priya"/>
    <x v="2"/>
    <s v="Stationery"/>
    <s v="Marker"/>
    <n v="7"/>
    <n v="439"/>
    <n v="2"/>
    <d v="2026-05-12T00:00:00"/>
    <d v="2026-05-15T00:00:00"/>
    <s v="Kavya"/>
    <n v="3011.54"/>
    <s v="Average"/>
  </r>
  <r>
    <n v="1358"/>
    <s v="Deepak"/>
    <x v="3"/>
    <s v="Furniture"/>
    <s v="Desk"/>
    <n v="7"/>
    <n v="6618"/>
    <n v="0"/>
    <d v="2026-04-15T00:00:00"/>
    <d v="2026-04-17T00:00:00"/>
    <s v="Amit"/>
    <n v="46326"/>
    <s v="Good"/>
  </r>
  <r>
    <n v="1363"/>
    <s v="Arjun"/>
    <x v="1"/>
    <s v="Electronics"/>
    <s v="Printer"/>
    <n v="7"/>
    <n v="45381"/>
    <n v="0"/>
    <d v="2026-04-10T00:00:00"/>
    <d v="2026-04-16T00:00:00"/>
    <s v="Kavya"/>
    <n v="317667"/>
    <s v="Excellent"/>
  </r>
  <r>
    <n v="1037"/>
    <s v="Kiran"/>
    <x v="2"/>
    <s v="Furniture"/>
    <s v="Cabinet"/>
    <n v="6"/>
    <n v="14385"/>
    <n v="12"/>
    <d v="2026-01-11T00:00:00"/>
    <d v="2026-01-21T00:00:00"/>
    <s v="Rahul"/>
    <n v="75952.800000000003"/>
    <s v="Very Good"/>
  </r>
  <r>
    <n v="1093"/>
    <s v="Yash"/>
    <x v="1"/>
    <s v="Furniture"/>
    <s v="Table"/>
    <n v="6"/>
    <n v="8224"/>
    <n v="15"/>
    <d v="2026-06-02T00:00:00"/>
    <d v="2026-06-12T00:00:00"/>
    <s v="Suresh"/>
    <n v="41942.400000000001"/>
    <s v="Good"/>
  </r>
  <r>
    <n v="1125"/>
    <s v="Ajay"/>
    <x v="5"/>
    <s v="Stationery"/>
    <s v="Notebook"/>
    <n v="6"/>
    <n v="30"/>
    <n v="2"/>
    <d v="2026-04-21T00:00:00"/>
    <d v="2026-04-26T00:00:00"/>
    <s v="Rahul"/>
    <n v="176.4"/>
    <s v="Average"/>
  </r>
  <r>
    <n v="1128"/>
    <s v="Neha"/>
    <x v="0"/>
    <s v="Electronics"/>
    <s v="Mouse"/>
    <n v="6"/>
    <n v="5001"/>
    <n v="7"/>
    <d v="2026-01-22T00:00:00"/>
    <d v="2026-01-28T00:00:00"/>
    <s v="Priya"/>
    <n v="27905.579999999998"/>
    <s v="Good"/>
  </r>
  <r>
    <n v="1133"/>
    <s v="Ritesh"/>
    <x v="7"/>
    <s v="Furniture"/>
    <s v="Cabinet"/>
    <n v="6"/>
    <n v="9037"/>
    <n v="2"/>
    <d v="2026-03-31T00:00:00"/>
    <d v="2026-04-09T00:00:00"/>
    <s v="Suresh"/>
    <n v="53137.56"/>
    <s v="Very Good"/>
  </r>
  <r>
    <n v="1170"/>
    <s v="Ajay"/>
    <x v="3"/>
    <s v="Stationery"/>
    <s v="Notebook"/>
    <n v="6"/>
    <n v="339"/>
    <n v="12"/>
    <d v="2026-03-24T00:00:00"/>
    <d v="2026-03-25T00:00:00"/>
    <s v="Rahul"/>
    <n v="1789.92"/>
    <s v="Average"/>
  </r>
  <r>
    <n v="1179"/>
    <s v="Yash"/>
    <x v="4"/>
    <s v="Electronics"/>
    <s v="Keyboard"/>
    <n v="6"/>
    <n v="10400"/>
    <n v="2"/>
    <d v="2026-05-13T00:00:00"/>
    <d v="2026-05-16T00:00:00"/>
    <s v="Kavya"/>
    <n v="61152"/>
    <s v="Very Good"/>
  </r>
  <r>
    <n v="1188"/>
    <s v="Priya"/>
    <x v="0"/>
    <s v="Furniture"/>
    <s v="Cabinet"/>
    <n v="6"/>
    <n v="10368"/>
    <n v="7"/>
    <d v="2026-04-25T00:00:00"/>
    <d v="2026-04-30T00:00:00"/>
    <s v="Kavya"/>
    <n v="57853.439999999995"/>
    <s v="Very Good"/>
  </r>
  <r>
    <n v="1208"/>
    <s v="Manoj"/>
    <x v="2"/>
    <s v="Furniture"/>
    <s v="Bookshelf"/>
    <n v="6"/>
    <n v="7627"/>
    <n v="10"/>
    <d v="2026-01-20T00:00:00"/>
    <d v="2026-01-25T00:00:00"/>
    <s v="Amit"/>
    <n v="41185.800000000003"/>
    <s v="Good"/>
  </r>
  <r>
    <n v="1215"/>
    <s v="Arjun"/>
    <x v="7"/>
    <s v="Furniture"/>
    <s v="Chair"/>
    <n v="6"/>
    <n v="1254"/>
    <n v="0"/>
    <d v="2026-04-19T00:00:00"/>
    <d v="2026-04-24T00:00:00"/>
    <s v="Priya"/>
    <n v="7524"/>
    <s v="Average"/>
  </r>
  <r>
    <n v="1238"/>
    <s v="Neha"/>
    <x v="6"/>
    <s v="Stationery"/>
    <s v="Notebook"/>
    <n v="6"/>
    <n v="180"/>
    <n v="12"/>
    <d v="2026-03-15T00:00:00"/>
    <d v="2026-03-16T00:00:00"/>
    <s v="Suresh"/>
    <n v="950.4"/>
    <s v="Average"/>
  </r>
  <r>
    <n v="1281"/>
    <s v="Sneha"/>
    <x v="4"/>
    <s v="Stationery"/>
    <s v="Marker"/>
    <n v="6"/>
    <n v="253"/>
    <n v="0"/>
    <d v="2026-02-02T00:00:00"/>
    <d v="2026-02-10T00:00:00"/>
    <s v="Rahul"/>
    <n v="1518"/>
    <s v="Average"/>
  </r>
  <r>
    <n v="1283"/>
    <s v="Deepak"/>
    <x v="7"/>
    <s v="Furniture"/>
    <s v="Table"/>
    <n v="6"/>
    <n v="1167"/>
    <n v="2"/>
    <d v="2026-03-19T00:00:00"/>
    <d v="2026-03-25T00:00:00"/>
    <s v="Kavya"/>
    <n v="6861.96"/>
    <s v="Average"/>
  </r>
  <r>
    <n v="1296"/>
    <s v="Vikram"/>
    <x v="3"/>
    <s v="Stationery"/>
    <s v="Marker"/>
    <n v="6"/>
    <n v="201"/>
    <n v="0"/>
    <d v="2026-02-10T00:00:00"/>
    <d v="2026-02-19T00:00:00"/>
    <s v="Suresh"/>
    <n v="1206"/>
    <s v="Average"/>
  </r>
  <r>
    <n v="1313"/>
    <s v="Anita"/>
    <x v="0"/>
    <s v="Furniture"/>
    <s v="Cabinet"/>
    <n v="6"/>
    <n v="10864"/>
    <n v="10"/>
    <d v="2026-01-19T00:00:00"/>
    <d v="2026-01-27T00:00:00"/>
    <s v="Kavya"/>
    <n v="58665.599999999999"/>
    <s v="Very Good"/>
  </r>
  <r>
    <n v="1339"/>
    <s v="Asha"/>
    <x v="1"/>
    <s v="Stationery"/>
    <s v="Notebook"/>
    <n v="6"/>
    <n v="302"/>
    <n v="5"/>
    <d v="2026-04-30T00:00:00"/>
    <d v="2026-05-06T00:00:00"/>
    <s v="Amit"/>
    <n v="1721.3999999999999"/>
    <s v="Average"/>
  </r>
  <r>
    <n v="1353"/>
    <s v="Yash"/>
    <x v="2"/>
    <s v="Stationery"/>
    <s v="Notebook"/>
    <n v="6"/>
    <n v="495"/>
    <n v="2"/>
    <d v="2026-06-21T00:00:00"/>
    <d v="2026-06-27T00:00:00"/>
    <s v="Rahul"/>
    <n v="2910.6"/>
    <s v="Average"/>
  </r>
  <r>
    <n v="1357"/>
    <s v="Anita"/>
    <x v="1"/>
    <s v="Stationery"/>
    <s v="Pen Pack"/>
    <n v="6"/>
    <n v="365"/>
    <n v="7"/>
    <d v="2026-04-21T00:00:00"/>
    <d v="2026-04-28T00:00:00"/>
    <s v="Suresh"/>
    <n v="2036.6999999999998"/>
    <s v="Average"/>
  </r>
  <r>
    <n v="1020"/>
    <s v="Kiran"/>
    <x v="7"/>
    <s v="Furniture"/>
    <s v="Desk"/>
    <n v="5"/>
    <n v="4582"/>
    <n v="5"/>
    <d v="2026-02-25T00:00:00"/>
    <d v="2026-03-02T00:00:00"/>
    <s v="Kavya"/>
    <n v="21764.5"/>
    <s v="Good"/>
  </r>
  <r>
    <n v="1039"/>
    <s v="Nitin"/>
    <x v="3"/>
    <s v="Electronics"/>
    <s v="Monitor"/>
    <n v="5"/>
    <n v="60236"/>
    <n v="10"/>
    <d v="2026-03-26T00:00:00"/>
    <d v="2026-03-29T00:00:00"/>
    <s v="Amit"/>
    <n v="271062"/>
    <s v="Excellent"/>
  </r>
  <r>
    <n v="1111"/>
    <s v="Yash"/>
    <x v="4"/>
    <s v="Electronics"/>
    <s v="Printer"/>
    <n v="5"/>
    <n v="49945"/>
    <n v="12"/>
    <d v="2026-04-21T00:00:00"/>
    <d v="2026-04-29T00:00:00"/>
    <s v="Priya"/>
    <n v="219758"/>
    <s v="Excellent"/>
  </r>
  <r>
    <n v="1138"/>
    <s v="Sneha"/>
    <x v="2"/>
    <s v="Furniture"/>
    <s v="Desk"/>
    <n v="5"/>
    <n v="14466"/>
    <n v="2"/>
    <d v="2026-03-03T00:00:00"/>
    <d v="2026-03-11T00:00:00"/>
    <s v="Suresh"/>
    <n v="70883.399999999994"/>
    <s v="Very Good"/>
  </r>
  <r>
    <n v="1140"/>
    <s v="Sara"/>
    <x v="3"/>
    <s v="Electronics"/>
    <s v="Headset"/>
    <n v="5"/>
    <n v="68012"/>
    <n v="5"/>
    <d v="2026-02-08T00:00:00"/>
    <d v="2026-02-12T00:00:00"/>
    <s v="Kavya"/>
    <n v="323057"/>
    <s v="Excellent"/>
  </r>
  <r>
    <n v="1156"/>
    <s v="Manoj"/>
    <x v="3"/>
    <s v="Stationery"/>
    <s v="Stapler"/>
    <n v="5"/>
    <n v="466"/>
    <n v="15"/>
    <d v="2026-01-03T00:00:00"/>
    <d v="2026-01-07T00:00:00"/>
    <s v="Kavya"/>
    <n v="1980.5"/>
    <s v="Average"/>
  </r>
  <r>
    <n v="1178"/>
    <s v="Sara"/>
    <x v="4"/>
    <s v="Stationery"/>
    <s v="Marker"/>
    <n v="5"/>
    <n v="50"/>
    <n v="0"/>
    <d v="2026-03-30T00:00:00"/>
    <d v="2026-04-05T00:00:00"/>
    <s v="Amit"/>
    <n v="250"/>
    <s v="Average"/>
  </r>
  <r>
    <n v="1197"/>
    <s v="Komal"/>
    <x v="6"/>
    <s v="Electronics"/>
    <s v="Printer"/>
    <n v="5"/>
    <n v="45352"/>
    <n v="12"/>
    <d v="2026-01-23T00:00:00"/>
    <d v="2026-01-26T00:00:00"/>
    <s v="Kavya"/>
    <n v="199548.79999999999"/>
    <s v="Excellent"/>
  </r>
  <r>
    <n v="1243"/>
    <s v="Neha"/>
    <x v="6"/>
    <s v="Electronics"/>
    <s v="Headset"/>
    <n v="5"/>
    <n v="11570"/>
    <n v="15"/>
    <d v="2026-02-16T00:00:00"/>
    <d v="2026-02-24T00:00:00"/>
    <s v="Rahul"/>
    <n v="49172.5"/>
    <s v="Good"/>
  </r>
  <r>
    <n v="1248"/>
    <s v="Arjun"/>
    <x v="2"/>
    <s v="Stationery"/>
    <s v="Pen Pack"/>
    <n v="5"/>
    <n v="398"/>
    <n v="7"/>
    <d v="2026-05-19T00:00:00"/>
    <d v="2026-05-29T00:00:00"/>
    <s v="Priya"/>
    <n v="1850.6999999999998"/>
    <s v="Average"/>
  </r>
  <r>
    <n v="1381"/>
    <s v="Sneha"/>
    <x v="5"/>
    <s v="Furniture"/>
    <s v="Chair"/>
    <n v="5"/>
    <n v="7484"/>
    <n v="2"/>
    <d v="2026-03-08T00:00:00"/>
    <d v="2026-03-12T00:00:00"/>
    <s v="Amit"/>
    <n v="36671.599999999999"/>
    <s v="Good"/>
  </r>
  <r>
    <n v="1391"/>
    <s v="Neha"/>
    <x v="6"/>
    <s v="Electronics"/>
    <s v="Printer"/>
    <n v="5"/>
    <n v="65270"/>
    <n v="5"/>
    <d v="2026-03-19T00:00:00"/>
    <d v="2026-03-22T00:00:00"/>
    <s v="Rahul"/>
    <n v="310032.5"/>
    <s v="Excellent"/>
  </r>
  <r>
    <n v="1027"/>
    <s v="Priya"/>
    <x v="2"/>
    <s v="Stationery"/>
    <s v="Marker"/>
    <n v="4"/>
    <n v="264"/>
    <n v="0"/>
    <d v="2026-05-13T00:00:00"/>
    <d v="2026-05-19T00:00:00"/>
    <s v="Suresh"/>
    <n v="1056"/>
    <s v="Average"/>
  </r>
  <r>
    <n v="1044"/>
    <s v="Nitin"/>
    <x v="3"/>
    <s v="Furniture"/>
    <s v="Desk"/>
    <n v="4"/>
    <n v="14731"/>
    <n v="2"/>
    <d v="2026-05-31T00:00:00"/>
    <d v="2026-06-03T00:00:00"/>
    <s v="Amit"/>
    <n v="57745.52"/>
    <s v="Very Good"/>
  </r>
  <r>
    <n v="1073"/>
    <s v="Rohan"/>
    <x v="4"/>
    <s v="Furniture"/>
    <s v="Cabinet"/>
    <n v="4"/>
    <n v="2453"/>
    <n v="7"/>
    <d v="2026-04-14T00:00:00"/>
    <d v="2026-04-17T00:00:00"/>
    <s v="Suresh"/>
    <n v="9125.16"/>
    <s v="Average"/>
  </r>
  <r>
    <n v="1075"/>
    <s v="Nisha"/>
    <x v="2"/>
    <s v="Electronics"/>
    <s v="Mouse"/>
    <n v="4"/>
    <n v="64773"/>
    <n v="10"/>
    <d v="2026-06-12T00:00:00"/>
    <d v="2026-06-13T00:00:00"/>
    <s v="Suresh"/>
    <n v="233182.80000000002"/>
    <s v="Excellent"/>
  </r>
  <r>
    <n v="1083"/>
    <s v="Sneha"/>
    <x v="5"/>
    <s v="Stationery"/>
    <s v="Diary"/>
    <n v="4"/>
    <n v="397"/>
    <n v="7"/>
    <d v="2026-06-12T00:00:00"/>
    <d v="2026-06-20T00:00:00"/>
    <s v="Kavya"/>
    <n v="1476.84"/>
    <s v="Average"/>
  </r>
  <r>
    <n v="1084"/>
    <s v="Ajay"/>
    <x v="6"/>
    <s v="Furniture"/>
    <s v="Chair"/>
    <n v="4"/>
    <n v="6901"/>
    <n v="10"/>
    <d v="2026-01-25T00:00:00"/>
    <d v="2026-02-04T00:00:00"/>
    <s v="Amit"/>
    <n v="24843.600000000002"/>
    <s v="Good"/>
  </r>
  <r>
    <n v="1094"/>
    <s v="Yash"/>
    <x v="2"/>
    <s v="Electronics"/>
    <s v="Mouse"/>
    <n v="4"/>
    <n v="7073"/>
    <n v="0"/>
    <d v="2026-03-20T00:00:00"/>
    <d v="2026-03-24T00:00:00"/>
    <s v="Priya"/>
    <n v="28292"/>
    <s v="Good"/>
  </r>
  <r>
    <n v="1107"/>
    <s v="Komal"/>
    <x v="4"/>
    <s v="Electronics"/>
    <s v="Laptop"/>
    <n v="4"/>
    <n v="14291"/>
    <n v="2"/>
    <d v="2026-02-23T00:00:00"/>
    <d v="2026-02-25T00:00:00"/>
    <s v="Kavya"/>
    <n v="56020.72"/>
    <s v="Very Good"/>
  </r>
  <r>
    <n v="1121"/>
    <s v="Priya"/>
    <x v="7"/>
    <s v="Electronics"/>
    <s v="Keyboard"/>
    <n v="4"/>
    <n v="55809"/>
    <n v="2"/>
    <d v="2026-03-22T00:00:00"/>
    <d v="2026-03-27T00:00:00"/>
    <s v="Priya"/>
    <n v="218771.28"/>
    <s v="Excellent"/>
  </r>
  <r>
    <n v="1124"/>
    <s v="Arjun"/>
    <x v="3"/>
    <s v="Furniture"/>
    <s v="Cabinet"/>
    <n v="4"/>
    <n v="14195"/>
    <n v="15"/>
    <d v="2026-06-09T00:00:00"/>
    <d v="2026-06-16T00:00:00"/>
    <s v="Suresh"/>
    <n v="48263"/>
    <s v="Good"/>
  </r>
  <r>
    <n v="1161"/>
    <s v="Arjun"/>
    <x v="1"/>
    <s v="Electronics"/>
    <s v="Keyboard"/>
    <n v="4"/>
    <n v="54659"/>
    <n v="7"/>
    <d v="2026-03-24T00:00:00"/>
    <d v="2026-03-28T00:00:00"/>
    <s v="Amit"/>
    <n v="203331.47999999998"/>
    <s v="Excellent"/>
  </r>
  <r>
    <n v="1181"/>
    <s v="Rohan"/>
    <x v="5"/>
    <s v="Stationery"/>
    <s v="Stapler"/>
    <n v="4"/>
    <n v="357"/>
    <n v="2"/>
    <d v="2026-01-11T00:00:00"/>
    <d v="2026-01-13T00:00:00"/>
    <s v="Kavya"/>
    <n v="1399.44"/>
    <s v="Average"/>
  </r>
  <r>
    <n v="1190"/>
    <s v="Sara"/>
    <x v="4"/>
    <s v="Furniture"/>
    <s v="Chair"/>
    <n v="4"/>
    <n v="10154"/>
    <n v="7"/>
    <d v="2026-01-30T00:00:00"/>
    <d v="2026-02-09T00:00:00"/>
    <s v="Amit"/>
    <n v="37772.879999999997"/>
    <s v="Good"/>
  </r>
  <r>
    <n v="1219"/>
    <s v="Kiran"/>
    <x v="0"/>
    <s v="Stationery"/>
    <s v="Notebook"/>
    <n v="4"/>
    <n v="117"/>
    <n v="15"/>
    <d v="2026-06-29T00:00:00"/>
    <d v="2026-07-03T00:00:00"/>
    <s v="Priya"/>
    <n v="397.8"/>
    <s v="Average"/>
  </r>
  <r>
    <n v="1223"/>
    <s v="Anita"/>
    <x v="4"/>
    <s v="Furniture"/>
    <s v="Table"/>
    <n v="4"/>
    <n v="2249"/>
    <n v="7"/>
    <d v="2026-02-24T00:00:00"/>
    <d v="2026-03-03T00:00:00"/>
    <s v="Kavya"/>
    <n v="8366.2799999999988"/>
    <s v="Average"/>
  </r>
  <r>
    <n v="1278"/>
    <s v="Yash"/>
    <x v="0"/>
    <s v="Electronics"/>
    <s v="Mouse"/>
    <n v="4"/>
    <n v="20639"/>
    <n v="7"/>
    <d v="2026-06-07T00:00:00"/>
    <d v="2026-06-13T00:00:00"/>
    <s v="Amit"/>
    <n v="76777.08"/>
    <s v="Very Good"/>
  </r>
  <r>
    <n v="1318"/>
    <s v="Ritesh"/>
    <x v="2"/>
    <s v="Stationery"/>
    <s v="Marker"/>
    <n v="4"/>
    <n v="38"/>
    <n v="12"/>
    <d v="2026-05-27T00:00:00"/>
    <d v="2026-06-02T00:00:00"/>
    <s v="Priya"/>
    <n v="133.76"/>
    <s v="Average"/>
  </r>
  <r>
    <n v="1328"/>
    <s v="Pooja"/>
    <x v="3"/>
    <s v="Stationery"/>
    <s v="Stapler"/>
    <n v="4"/>
    <n v="132"/>
    <n v="0"/>
    <d v="2026-03-28T00:00:00"/>
    <d v="2026-04-02T00:00:00"/>
    <s v="Priya"/>
    <n v="528"/>
    <s v="Average"/>
  </r>
  <r>
    <n v="1001"/>
    <s v="Ritesh"/>
    <x v="7"/>
    <s v="Stationery"/>
    <s v="Notebook"/>
    <n v="3"/>
    <n v="222"/>
    <n v="15"/>
    <d v="2026-02-28T00:00:00"/>
    <d v="2026-03-02T00:00:00"/>
    <s v="Kavya"/>
    <n v="566.1"/>
    <s v="Average"/>
  </r>
  <r>
    <n v="1006"/>
    <s v="Arjun"/>
    <x v="1"/>
    <s v="Furniture"/>
    <s v="Chair"/>
    <n v="3"/>
    <n v="2714"/>
    <n v="5"/>
    <d v="2026-02-02T00:00:00"/>
    <d v="2026-02-09T00:00:00"/>
    <s v="Priya"/>
    <n v="7734.9"/>
    <s v="Average"/>
  </r>
  <r>
    <n v="1012"/>
    <s v="Vikram"/>
    <x v="3"/>
    <s v="Electronics"/>
    <s v="Keyboard"/>
    <n v="3"/>
    <n v="64615"/>
    <n v="10"/>
    <d v="2026-03-05T00:00:00"/>
    <d v="2026-03-14T00:00:00"/>
    <s v="Priya"/>
    <n v="174460.5"/>
    <s v="Excellent"/>
  </r>
  <r>
    <n v="1021"/>
    <s v="Nitin"/>
    <x v="2"/>
    <s v="Stationery"/>
    <s v="Notebook"/>
    <n v="3"/>
    <n v="484"/>
    <n v="2"/>
    <d v="2026-05-02T00:00:00"/>
    <d v="2026-05-06T00:00:00"/>
    <s v="Rahul"/>
    <n v="1422.96"/>
    <s v="Average"/>
  </r>
  <r>
    <n v="1035"/>
    <s v="Ajay"/>
    <x v="2"/>
    <s v="Furniture"/>
    <s v="Cabinet"/>
    <n v="3"/>
    <n v="9149"/>
    <n v="0"/>
    <d v="2026-01-09T00:00:00"/>
    <d v="2026-01-12T00:00:00"/>
    <s v="Rahul"/>
    <n v="27447"/>
    <s v="Good"/>
  </r>
  <r>
    <n v="1045"/>
    <s v="Asha"/>
    <x v="3"/>
    <s v="Electronics"/>
    <s v="Printer"/>
    <n v="3"/>
    <n v="62762"/>
    <n v="7"/>
    <d v="2026-01-16T00:00:00"/>
    <d v="2026-01-17T00:00:00"/>
    <s v="Priya"/>
    <n v="175105.97999999998"/>
    <s v="Excellent"/>
  </r>
  <r>
    <n v="1046"/>
    <s v="Sara"/>
    <x v="3"/>
    <s v="Electronics"/>
    <s v="Monitor"/>
    <n v="3"/>
    <n v="19443"/>
    <n v="10"/>
    <d v="2026-05-11T00:00:00"/>
    <d v="2026-05-16T00:00:00"/>
    <s v="Priya"/>
    <n v="52496.1"/>
    <s v="Very Good"/>
  </r>
  <r>
    <n v="1056"/>
    <s v="Ritesh"/>
    <x v="0"/>
    <s v="Furniture"/>
    <s v="Desk"/>
    <n v="3"/>
    <n v="9771"/>
    <n v="5"/>
    <d v="2026-04-21T00:00:00"/>
    <d v="2026-04-27T00:00:00"/>
    <s v="Rahul"/>
    <n v="27847.35"/>
    <s v="Good"/>
  </r>
  <r>
    <n v="1157"/>
    <s v="Komal"/>
    <x v="5"/>
    <s v="Stationery"/>
    <s v="Marker"/>
    <n v="3"/>
    <n v="203"/>
    <n v="15"/>
    <d v="2026-02-23T00:00:00"/>
    <d v="2026-02-27T00:00:00"/>
    <s v="Priya"/>
    <n v="517.65"/>
    <s v="Average"/>
  </r>
  <r>
    <n v="1211"/>
    <s v="Nitin"/>
    <x v="4"/>
    <s v="Electronics"/>
    <s v="Printer"/>
    <n v="3"/>
    <n v="5962"/>
    <n v="7"/>
    <d v="2026-06-02T00:00:00"/>
    <d v="2026-06-10T00:00:00"/>
    <s v="Kavya"/>
    <n v="16633.98"/>
    <s v="Average"/>
  </r>
  <r>
    <n v="1232"/>
    <s v="Meera"/>
    <x v="7"/>
    <s v="Electronics"/>
    <s v="Laptop"/>
    <n v="3"/>
    <n v="13272"/>
    <n v="2"/>
    <d v="2026-02-07T00:00:00"/>
    <d v="2026-02-12T00:00:00"/>
    <s v="Kavya"/>
    <n v="39019.68"/>
    <s v="Good"/>
  </r>
  <r>
    <n v="1290"/>
    <s v="Vikram"/>
    <x v="0"/>
    <s v="Electronics"/>
    <s v="Printer"/>
    <n v="3"/>
    <n v="69793"/>
    <n v="15"/>
    <d v="2026-03-29T00:00:00"/>
    <d v="2026-03-30T00:00:00"/>
    <s v="Priya"/>
    <n v="177972.15"/>
    <s v="Excellent"/>
  </r>
  <r>
    <n v="1301"/>
    <s v="Manoj"/>
    <x v="4"/>
    <s v="Furniture"/>
    <s v="Chair"/>
    <n v="3"/>
    <n v="7020"/>
    <n v="10"/>
    <d v="2026-01-06T00:00:00"/>
    <d v="2026-01-16T00:00:00"/>
    <s v="Rahul"/>
    <n v="18954"/>
    <s v="Average"/>
  </r>
  <r>
    <n v="1377"/>
    <s v="Asha"/>
    <x v="3"/>
    <s v="Furniture"/>
    <s v="Desk"/>
    <n v="3"/>
    <n v="5480"/>
    <n v="12"/>
    <d v="2026-03-24T00:00:00"/>
    <d v="2026-03-30T00:00:00"/>
    <s v="Rahul"/>
    <n v="14467.2"/>
    <s v="Average"/>
  </r>
  <r>
    <n v="1380"/>
    <s v="Komal"/>
    <x v="2"/>
    <s v="Stationery"/>
    <s v="Diary"/>
    <n v="3"/>
    <n v="412"/>
    <n v="7"/>
    <d v="2026-04-16T00:00:00"/>
    <d v="2026-04-26T00:00:00"/>
    <s v="Rahul"/>
    <n v="1149.48"/>
    <s v="Average"/>
  </r>
  <r>
    <n v="1389"/>
    <s v="Asha"/>
    <x v="7"/>
    <s v="Electronics"/>
    <s v="Headset"/>
    <n v="3"/>
    <n v="56380"/>
    <n v="5"/>
    <d v="2026-01-22T00:00:00"/>
    <d v="2026-01-26T00:00:00"/>
    <s v="Suresh"/>
    <n v="160683"/>
    <s v="Excellent"/>
  </r>
  <r>
    <n v="1031"/>
    <s v="Manoj"/>
    <x v="6"/>
    <s v="Stationery"/>
    <s v="Diary"/>
    <n v="2"/>
    <n v="184"/>
    <n v="5"/>
    <d v="2026-03-08T00:00:00"/>
    <d v="2026-03-12T00:00:00"/>
    <s v="Amit"/>
    <n v="349.59999999999997"/>
    <s v="Average"/>
  </r>
  <r>
    <n v="1049"/>
    <s v="Komal"/>
    <x v="1"/>
    <s v="Electronics"/>
    <s v="Monitor"/>
    <n v="2"/>
    <n v="40789"/>
    <n v="0"/>
    <d v="2026-03-21T00:00:00"/>
    <d v="2026-03-27T00:00:00"/>
    <s v="Rahul"/>
    <n v="81578"/>
    <s v="Very Good"/>
  </r>
  <r>
    <n v="1057"/>
    <s v="Anita"/>
    <x v="0"/>
    <s v="Furniture"/>
    <s v="Chair"/>
    <n v="2"/>
    <n v="9531"/>
    <n v="15"/>
    <d v="2026-02-14T00:00:00"/>
    <d v="2026-02-23T00:00:00"/>
    <s v="Suresh"/>
    <n v="16202.699999999999"/>
    <s v="Average"/>
  </r>
  <r>
    <n v="1091"/>
    <s v="Sneha"/>
    <x v="4"/>
    <s v="Stationery"/>
    <s v="Diary"/>
    <n v="2"/>
    <n v="305"/>
    <n v="0"/>
    <d v="2026-04-24T00:00:00"/>
    <d v="2026-05-02T00:00:00"/>
    <s v="Kavya"/>
    <n v="610"/>
    <s v="Average"/>
  </r>
  <r>
    <n v="1105"/>
    <s v="Anita"/>
    <x v="1"/>
    <s v="Stationery"/>
    <s v="Marker"/>
    <n v="2"/>
    <n v="493"/>
    <n v="12"/>
    <d v="2026-02-04T00:00:00"/>
    <d v="2026-02-13T00:00:00"/>
    <s v="Suresh"/>
    <n v="867.68"/>
    <s v="Average"/>
  </r>
  <r>
    <n v="1116"/>
    <s v="Pooja"/>
    <x v="1"/>
    <s v="Furniture"/>
    <s v="Cabinet"/>
    <n v="2"/>
    <n v="12692"/>
    <n v="15"/>
    <d v="2026-01-27T00:00:00"/>
    <d v="2026-01-29T00:00:00"/>
    <s v="Kavya"/>
    <n v="21576.399999999998"/>
    <s v="Good"/>
  </r>
  <r>
    <n v="1119"/>
    <s v="Neha"/>
    <x v="2"/>
    <s v="Furniture"/>
    <s v="Chair"/>
    <n v="2"/>
    <n v="3706"/>
    <n v="5"/>
    <d v="2026-06-11T00:00:00"/>
    <d v="2026-06-19T00:00:00"/>
    <s v="Suresh"/>
    <n v="7041.4"/>
    <s v="Average"/>
  </r>
  <r>
    <n v="1145"/>
    <s v="Nisha"/>
    <x v="5"/>
    <s v="Electronics"/>
    <s v="Keyboard"/>
    <n v="2"/>
    <n v="34429"/>
    <n v="12"/>
    <d v="2026-03-21T00:00:00"/>
    <d v="2026-03-31T00:00:00"/>
    <s v="Rahul"/>
    <n v="60595.040000000001"/>
    <s v="Very Good"/>
  </r>
  <r>
    <n v="1162"/>
    <s v="Sara"/>
    <x v="6"/>
    <s v="Electronics"/>
    <s v="Monitor"/>
    <n v="2"/>
    <n v="28176"/>
    <n v="10"/>
    <d v="2026-03-19T00:00:00"/>
    <d v="2026-03-20T00:00:00"/>
    <s v="Amit"/>
    <n v="50716.800000000003"/>
    <s v="Very Good"/>
  </r>
  <r>
    <n v="1180"/>
    <s v="Deepak"/>
    <x v="6"/>
    <s v="Furniture"/>
    <s v="Chair"/>
    <n v="2"/>
    <n v="2076"/>
    <n v="2"/>
    <d v="2026-03-30T00:00:00"/>
    <d v="2026-04-09T00:00:00"/>
    <s v="Priya"/>
    <n v="4068.96"/>
    <s v="Average"/>
  </r>
  <r>
    <n v="1183"/>
    <s v="Komal"/>
    <x v="2"/>
    <s v="Stationery"/>
    <s v="Notebook"/>
    <n v="2"/>
    <n v="309"/>
    <n v="2"/>
    <d v="2026-03-28T00:00:00"/>
    <d v="2026-03-30T00:00:00"/>
    <s v="Amit"/>
    <n v="605.64"/>
    <s v="Average"/>
  </r>
  <r>
    <n v="1199"/>
    <s v="Ritesh"/>
    <x v="1"/>
    <s v="Electronics"/>
    <s v="Monitor"/>
    <n v="2"/>
    <n v="4375"/>
    <n v="7"/>
    <d v="2026-06-05T00:00:00"/>
    <d v="2026-06-07T00:00:00"/>
    <s v="Rahul"/>
    <n v="8137.4999999999991"/>
    <s v="Average"/>
  </r>
  <r>
    <n v="1202"/>
    <s v="Sara"/>
    <x v="0"/>
    <s v="Electronics"/>
    <s v="Printer"/>
    <n v="2"/>
    <n v="20312"/>
    <n v="12"/>
    <d v="2026-03-01T00:00:00"/>
    <d v="2026-03-10T00:00:00"/>
    <s v="Kavya"/>
    <n v="35749.120000000003"/>
    <s v="Good"/>
  </r>
  <r>
    <n v="1220"/>
    <s v="Ritesh"/>
    <x v="1"/>
    <s v="Furniture"/>
    <s v="Cabinet"/>
    <n v="2"/>
    <n v="8861"/>
    <n v="2"/>
    <d v="2026-05-28T00:00:00"/>
    <d v="2026-06-01T00:00:00"/>
    <s v="Rahul"/>
    <n v="17367.560000000001"/>
    <s v="Average"/>
  </r>
  <r>
    <n v="1239"/>
    <s v="Nitin"/>
    <x v="4"/>
    <s v="Furniture"/>
    <s v="Cabinet"/>
    <n v="2"/>
    <n v="12330"/>
    <n v="12"/>
    <d v="2026-04-10T00:00:00"/>
    <d v="2026-04-13T00:00:00"/>
    <s v="Kavya"/>
    <n v="21700.799999999999"/>
    <s v="Good"/>
  </r>
  <r>
    <n v="1240"/>
    <s v="Sneha"/>
    <x v="5"/>
    <s v="Furniture"/>
    <s v="Table"/>
    <n v="2"/>
    <n v="5475"/>
    <n v="2"/>
    <d v="2026-04-30T00:00:00"/>
    <d v="2026-05-04T00:00:00"/>
    <s v="Priya"/>
    <n v="10731"/>
    <s v="Average"/>
  </r>
  <r>
    <n v="1250"/>
    <s v="Ritesh"/>
    <x v="4"/>
    <s v="Electronics"/>
    <s v="Monitor"/>
    <n v="2"/>
    <n v="65953"/>
    <n v="7"/>
    <d v="2026-01-29T00:00:00"/>
    <d v="2026-01-31T00:00:00"/>
    <s v="Priya"/>
    <n v="122672.57999999999"/>
    <s v="Excellent"/>
  </r>
  <r>
    <n v="1309"/>
    <s v="Priya"/>
    <x v="6"/>
    <s v="Stationery"/>
    <s v="Marker"/>
    <n v="2"/>
    <n v="35"/>
    <n v="5"/>
    <d v="2026-06-24T00:00:00"/>
    <d v="2026-06-25T00:00:00"/>
    <s v="Rahul"/>
    <n v="66.5"/>
    <s v="Average"/>
  </r>
  <r>
    <n v="1311"/>
    <s v="Sneha"/>
    <x v="7"/>
    <s v="Stationery"/>
    <s v="Notebook"/>
    <n v="2"/>
    <n v="209"/>
    <n v="0"/>
    <d v="2026-05-31T00:00:00"/>
    <d v="2026-06-03T00:00:00"/>
    <s v="Amit"/>
    <n v="418"/>
    <s v="Average"/>
  </r>
  <r>
    <n v="1323"/>
    <s v="Sara"/>
    <x v="3"/>
    <s v="Electronics"/>
    <s v="Mouse"/>
    <n v="2"/>
    <n v="32074"/>
    <n v="10"/>
    <d v="2026-02-20T00:00:00"/>
    <d v="2026-02-25T00:00:00"/>
    <s v="Kavya"/>
    <n v="57733.200000000004"/>
    <s v="Very Good"/>
  </r>
  <r>
    <n v="1331"/>
    <s v="Meera"/>
    <x v="1"/>
    <s v="Electronics"/>
    <s v="Mouse"/>
    <n v="2"/>
    <n v="43557"/>
    <n v="2"/>
    <d v="2026-06-17T00:00:00"/>
    <d v="2026-06-27T00:00:00"/>
    <s v="Kavya"/>
    <n v="85371.72"/>
    <s v="Very Good"/>
  </r>
  <r>
    <n v="1361"/>
    <s v="Nisha"/>
    <x v="4"/>
    <s v="Furniture"/>
    <s v="Table"/>
    <n v="2"/>
    <n v="1822"/>
    <n v="5"/>
    <d v="2026-04-29T00:00:00"/>
    <d v="2026-05-03T00:00:00"/>
    <s v="Amit"/>
    <n v="3461.7999999999997"/>
    <s v="Average"/>
  </r>
  <r>
    <n v="1008"/>
    <s v="Neha"/>
    <x v="6"/>
    <s v="Furniture"/>
    <s v="Chair"/>
    <n v="1"/>
    <n v="1134"/>
    <n v="0"/>
    <d v="2026-01-11T00:00:00"/>
    <d v="2026-01-19T00:00:00"/>
    <s v="Rahul"/>
    <n v="1134"/>
    <s v="Average"/>
  </r>
  <r>
    <n v="1053"/>
    <s v="Pooja"/>
    <x v="5"/>
    <s v="Furniture"/>
    <s v="Chair"/>
    <n v="1"/>
    <n v="9749"/>
    <n v="15"/>
    <d v="2026-02-11T00:00:00"/>
    <d v="2026-02-17T00:00:00"/>
    <s v="Rahul"/>
    <n v="8286.65"/>
    <s v="Average"/>
  </r>
  <r>
    <n v="1065"/>
    <s v="Nisha"/>
    <x v="2"/>
    <s v="Furniture"/>
    <s v="Bookshelf"/>
    <n v="1"/>
    <n v="7730"/>
    <n v="5"/>
    <d v="2026-06-19T00:00:00"/>
    <d v="2026-06-22T00:00:00"/>
    <s v="Suresh"/>
    <n v="7343.5"/>
    <s v="Average"/>
  </r>
  <r>
    <n v="1077"/>
    <s v="Sneha"/>
    <x v="1"/>
    <s v="Stationery"/>
    <s v="Notebook"/>
    <n v="1"/>
    <n v="123"/>
    <n v="10"/>
    <d v="2026-04-01T00:00:00"/>
    <d v="2026-04-09T00:00:00"/>
    <s v="Suresh"/>
    <n v="110.7"/>
    <s v="Average"/>
  </r>
  <r>
    <n v="1099"/>
    <s v="Vikram"/>
    <x v="6"/>
    <s v="Furniture"/>
    <s v="Desk"/>
    <n v="1"/>
    <n v="5165"/>
    <n v="2"/>
    <d v="2026-02-05T00:00:00"/>
    <d v="2026-02-07T00:00:00"/>
    <s v="Kavya"/>
    <n v="5061.7"/>
    <s v="Average"/>
  </r>
  <r>
    <n v="1165"/>
    <s v="Nitin"/>
    <x v="1"/>
    <s v="Stationery"/>
    <s v="Pen Pack"/>
    <n v="1"/>
    <n v="427"/>
    <n v="0"/>
    <d v="2026-01-20T00:00:00"/>
    <d v="2026-01-28T00:00:00"/>
    <s v="Suresh"/>
    <n v="427"/>
    <s v="Average"/>
  </r>
  <r>
    <n v="1166"/>
    <s v="Asha"/>
    <x v="6"/>
    <s v="Stationery"/>
    <s v="Pen Pack"/>
    <n v="1"/>
    <n v="396"/>
    <n v="5"/>
    <d v="2026-03-11T00:00:00"/>
    <d v="2026-03-12T00:00:00"/>
    <s v="Amit"/>
    <n v="376.2"/>
    <s v="Average"/>
  </r>
  <r>
    <n v="1205"/>
    <s v="Meera"/>
    <x v="3"/>
    <s v="Stationery"/>
    <s v="Stapler"/>
    <n v="1"/>
    <n v="112"/>
    <n v="7"/>
    <d v="2026-01-11T00:00:00"/>
    <d v="2026-01-18T00:00:00"/>
    <s v="Suresh"/>
    <n v="104.16"/>
    <s v="Average"/>
  </r>
  <r>
    <n v="1218"/>
    <s v="Sneha"/>
    <x v="3"/>
    <s v="Stationery"/>
    <s v="Notebook"/>
    <n v="1"/>
    <n v="134"/>
    <n v="10"/>
    <d v="2026-05-01T00:00:00"/>
    <d v="2026-05-09T00:00:00"/>
    <s v="Suresh"/>
    <n v="120.60000000000001"/>
    <s v="Average"/>
  </r>
  <r>
    <n v="1234"/>
    <s v="Ritesh"/>
    <x v="1"/>
    <s v="Furniture"/>
    <s v="Chair"/>
    <n v="1"/>
    <n v="14320"/>
    <n v="12"/>
    <d v="2026-04-02T00:00:00"/>
    <d v="2026-04-09T00:00:00"/>
    <s v="Suresh"/>
    <n v="12601.6"/>
    <s v="Average"/>
  </r>
  <r>
    <n v="1241"/>
    <s v="Kiran"/>
    <x v="6"/>
    <s v="Furniture"/>
    <s v="Bookshelf"/>
    <n v="1"/>
    <n v="12537"/>
    <n v="0"/>
    <d v="2026-04-07T00:00:00"/>
    <d v="2026-04-10T00:00:00"/>
    <s v="Kavya"/>
    <n v="12537"/>
    <s v="Average"/>
  </r>
  <r>
    <n v="1255"/>
    <s v="Asha"/>
    <x v="4"/>
    <s v="Furniture"/>
    <s v="Desk"/>
    <n v="1"/>
    <n v="2240"/>
    <n v="5"/>
    <d v="2026-03-10T00:00:00"/>
    <d v="2026-03-14T00:00:00"/>
    <s v="Amit"/>
    <n v="2128"/>
    <s v="Average"/>
  </r>
  <r>
    <n v="1258"/>
    <s v="Asha"/>
    <x v="6"/>
    <s v="Electronics"/>
    <s v="Laptop"/>
    <n v="1"/>
    <n v="10600"/>
    <n v="5"/>
    <d v="2026-04-25T00:00:00"/>
    <d v="2026-04-26T00:00:00"/>
    <s v="Priya"/>
    <n v="10070"/>
    <s v="Average"/>
  </r>
  <r>
    <n v="1265"/>
    <s v="Rohan"/>
    <x v="0"/>
    <s v="Furniture"/>
    <s v="Desk"/>
    <n v="1"/>
    <n v="1052"/>
    <n v="7"/>
    <d v="2026-04-05T00:00:00"/>
    <d v="2026-04-15T00:00:00"/>
    <s v="Suresh"/>
    <n v="978.3599999999999"/>
    <s v="Average"/>
  </r>
  <r>
    <n v="1267"/>
    <s v="Arjun"/>
    <x v="3"/>
    <s v="Stationery"/>
    <s v="Marker"/>
    <n v="1"/>
    <n v="50"/>
    <n v="0"/>
    <d v="2026-04-17T00:00:00"/>
    <d v="2026-04-26T00:00:00"/>
    <s v="Amit"/>
    <n v="50"/>
    <s v="Average"/>
  </r>
  <r>
    <n v="1276"/>
    <s v="Deepak"/>
    <x v="7"/>
    <s v="Furniture"/>
    <s v="Desk"/>
    <n v="1"/>
    <n v="13437"/>
    <n v="15"/>
    <d v="2026-03-16T00:00:00"/>
    <d v="2026-03-18T00:00:00"/>
    <s v="Rahul"/>
    <n v="11421.449999999999"/>
    <s v="Average"/>
  </r>
  <r>
    <n v="1306"/>
    <s v="Manoj"/>
    <x v="2"/>
    <s v="Stationery"/>
    <s v="Stapler"/>
    <n v="1"/>
    <n v="332"/>
    <n v="0"/>
    <d v="2026-06-18T00:00:00"/>
    <d v="2026-06-21T00:00:00"/>
    <s v="Amit"/>
    <n v="332"/>
    <s v="Average"/>
  </r>
  <r>
    <n v="1324"/>
    <s v="Asha"/>
    <x v="0"/>
    <s v="Furniture"/>
    <s v="Desk"/>
    <n v="1"/>
    <n v="4286"/>
    <n v="15"/>
    <d v="2026-01-31T00:00:00"/>
    <d v="2026-02-03T00:00:00"/>
    <s v="Amit"/>
    <n v="3643.1"/>
    <s v="Average"/>
  </r>
  <r>
    <n v="1362"/>
    <s v="Pooja"/>
    <x v="7"/>
    <s v="Furniture"/>
    <s v="Chair"/>
    <n v="1"/>
    <n v="10474"/>
    <n v="0"/>
    <d v="2026-03-13T00:00:00"/>
    <d v="2026-03-15T00:00:00"/>
    <s v="Priya"/>
    <n v="10474"/>
    <s v="Average"/>
  </r>
  <r>
    <n v="1367"/>
    <s v="Manoj"/>
    <x v="1"/>
    <s v="Stationery"/>
    <s v="Diary"/>
    <n v="1"/>
    <n v="371"/>
    <n v="5"/>
    <d v="2026-05-16T00:00:00"/>
    <d v="2026-05-26T00:00:00"/>
    <s v="Priya"/>
    <n v="352.45"/>
    <s v="Average"/>
  </r>
  <r>
    <n v="1397"/>
    <s v="Meera"/>
    <x v="5"/>
    <s v="Furniture"/>
    <s v="Table"/>
    <n v="1"/>
    <n v="8948"/>
    <n v="5"/>
    <d v="2026-06-21T00:00:00"/>
    <d v="2026-06-28T00:00:00"/>
    <s v="Suresh"/>
    <n v="8500.6"/>
    <s v="Averag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9414B-9685-46B6-9548-8E90B651E64E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6:P15" firstHeaderRow="1" firstDataRow="1" firstDataCol="1"/>
  <pivotFields count="13">
    <pivotField showAll="0"/>
    <pivotField showAll="0"/>
    <pivotField axis="axisRow" showAll="0">
      <items count="9">
        <item x="1"/>
        <item x="6"/>
        <item x="3"/>
        <item x="5"/>
        <item x="7"/>
        <item x="2"/>
        <item x="0"/>
        <item x="4"/>
        <item t="default"/>
      </items>
    </pivotField>
    <pivotField showAll="0"/>
    <pivotField showAll="0"/>
    <pivotField dataField="1" showAll="0"/>
    <pivotField showAll="0"/>
    <pivotField showAll="0"/>
    <pivotField numFmtId="14" showAll="0"/>
    <pivotField numFmtId="14" showAll="0"/>
    <pivotField showAll="0"/>
    <pivotField numFmtI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  <wetp:taskpane dockstate="right" visibility="0" width="438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8164548-7E3A-416D-87EE-65311D4C113A}">
  <we:reference id="wa200005271" version="2.6.0.0" store="en-US" storeType="OMEX"/>
  <we:alternateReferences>
    <we:reference id="WA200005271" version="2.6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DC81FCAA-F7CA-4EBF-ACE0-B2A44F77C746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cVKwOGnZq3i6CVIjlMEM0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65D7-C2CC-42DA-AEBF-C20F0C6F4556}">
  <dimension ref="A1:K401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8.5546875" style="5" bestFit="1" customWidth="1"/>
    <col min="2" max="2" width="9.109375" style="5" bestFit="1" customWidth="1"/>
    <col min="3" max="3" width="10.6640625" style="5" bestFit="1" customWidth="1"/>
    <col min="4" max="4" width="9.88671875" style="5" bestFit="1" customWidth="1"/>
    <col min="5" max="5" width="9.21875" style="5" bestFit="1" customWidth="1"/>
    <col min="6" max="6" width="8" style="5" bestFit="1" customWidth="1"/>
    <col min="7" max="7" width="9.44140625" style="5" bestFit="1" customWidth="1"/>
    <col min="8" max="9" width="10.5546875" style="5" bestFit="1" customWidth="1"/>
    <col min="10" max="10" width="12.6640625" style="5" bestFit="1" customWidth="1"/>
    <col min="11" max="11" width="11" style="5" bestFit="1" customWidth="1"/>
    <col min="12" max="16384" width="8.88671875" style="5"/>
  </cols>
  <sheetData>
    <row r="1" spans="1:11" x14ac:dyDescent="0.3">
      <c r="A1" s="11" t="s">
        <v>0</v>
      </c>
      <c r="B1" s="11" t="s">
        <v>13</v>
      </c>
      <c r="C1" s="10" t="s">
        <v>14</v>
      </c>
      <c r="D1" s="10" t="s">
        <v>15</v>
      </c>
      <c r="E1" s="10" t="s">
        <v>1</v>
      </c>
      <c r="F1" s="10" t="s">
        <v>4</v>
      </c>
      <c r="G1" s="10" t="s">
        <v>16</v>
      </c>
      <c r="H1" s="10" t="s">
        <v>17</v>
      </c>
      <c r="I1" s="10" t="s">
        <v>2</v>
      </c>
      <c r="J1" s="10" t="s">
        <v>3</v>
      </c>
      <c r="K1" s="13" t="s">
        <v>77</v>
      </c>
    </row>
    <row r="2" spans="1:11" x14ac:dyDescent="0.3">
      <c r="A2" s="9">
        <v>1001</v>
      </c>
      <c r="B2" s="9" t="s">
        <v>18</v>
      </c>
      <c r="C2" s="4" t="s">
        <v>19</v>
      </c>
      <c r="D2" s="4" t="s">
        <v>20</v>
      </c>
      <c r="E2" s="4" t="s">
        <v>21</v>
      </c>
      <c r="F2" s="4">
        <v>3</v>
      </c>
      <c r="G2" s="4">
        <v>222</v>
      </c>
      <c r="H2" s="4">
        <v>15</v>
      </c>
      <c r="I2" s="7">
        <v>46081</v>
      </c>
      <c r="J2" s="7">
        <v>46083</v>
      </c>
      <c r="K2" s="4" t="s">
        <v>78</v>
      </c>
    </row>
    <row r="3" spans="1:11" x14ac:dyDescent="0.3">
      <c r="A3" s="9">
        <v>1002</v>
      </c>
      <c r="B3" s="9" t="s">
        <v>22</v>
      </c>
      <c r="C3" s="4" t="s">
        <v>23</v>
      </c>
      <c r="D3" s="4" t="s">
        <v>24</v>
      </c>
      <c r="E3" s="4" t="s">
        <v>7</v>
      </c>
      <c r="F3" s="4">
        <v>7</v>
      </c>
      <c r="G3" s="4">
        <v>8448</v>
      </c>
      <c r="H3" s="4">
        <v>12</v>
      </c>
      <c r="I3" s="7">
        <v>46174</v>
      </c>
      <c r="J3" s="7">
        <v>46179</v>
      </c>
      <c r="K3" s="4" t="s">
        <v>79</v>
      </c>
    </row>
    <row r="4" spans="1:11" x14ac:dyDescent="0.3">
      <c r="A4" s="9">
        <v>1003</v>
      </c>
      <c r="B4" s="9" t="s">
        <v>25</v>
      </c>
      <c r="C4" s="4" t="s">
        <v>26</v>
      </c>
      <c r="D4" s="4" t="s">
        <v>24</v>
      </c>
      <c r="E4" s="4" t="s">
        <v>10</v>
      </c>
      <c r="F4" s="4">
        <v>20</v>
      </c>
      <c r="G4" s="4">
        <v>2123</v>
      </c>
      <c r="H4" s="4">
        <v>15</v>
      </c>
      <c r="I4" s="7">
        <v>46183</v>
      </c>
      <c r="J4" s="7">
        <v>46192</v>
      </c>
      <c r="K4" s="4" t="s">
        <v>80</v>
      </c>
    </row>
    <row r="5" spans="1:11" x14ac:dyDescent="0.3">
      <c r="A5" s="9">
        <v>1004</v>
      </c>
      <c r="B5" s="9" t="s">
        <v>22</v>
      </c>
      <c r="C5" s="4" t="s">
        <v>27</v>
      </c>
      <c r="D5" s="4" t="s">
        <v>24</v>
      </c>
      <c r="E5" s="4" t="s">
        <v>10</v>
      </c>
      <c r="F5" s="4">
        <v>16</v>
      </c>
      <c r="G5" s="4">
        <v>11739</v>
      </c>
      <c r="H5" s="4">
        <v>12</v>
      </c>
      <c r="I5" s="7">
        <v>46034</v>
      </c>
      <c r="J5" s="7">
        <v>46040</v>
      </c>
      <c r="K5" s="4" t="s">
        <v>79</v>
      </c>
    </row>
    <row r="6" spans="1:11" x14ac:dyDescent="0.3">
      <c r="A6" s="9">
        <v>1005</v>
      </c>
      <c r="B6" s="9" t="s">
        <v>28</v>
      </c>
      <c r="C6" s="4" t="s">
        <v>23</v>
      </c>
      <c r="D6" s="4" t="s">
        <v>20</v>
      </c>
      <c r="E6" s="4" t="s">
        <v>21</v>
      </c>
      <c r="F6" s="4">
        <v>18</v>
      </c>
      <c r="G6" s="4">
        <v>70</v>
      </c>
      <c r="H6" s="4">
        <v>0</v>
      </c>
      <c r="I6" s="7">
        <v>46171</v>
      </c>
      <c r="J6" s="7">
        <v>46179</v>
      </c>
      <c r="K6" s="4" t="s">
        <v>80</v>
      </c>
    </row>
    <row r="7" spans="1:11" x14ac:dyDescent="0.3">
      <c r="A7" s="9">
        <v>1006</v>
      </c>
      <c r="B7" s="9" t="s">
        <v>29</v>
      </c>
      <c r="C7" s="4" t="s">
        <v>27</v>
      </c>
      <c r="D7" s="4" t="s">
        <v>24</v>
      </c>
      <c r="E7" s="4" t="s">
        <v>8</v>
      </c>
      <c r="F7" s="4">
        <v>3</v>
      </c>
      <c r="G7" s="4">
        <v>2714</v>
      </c>
      <c r="H7" s="4">
        <v>5</v>
      </c>
      <c r="I7" s="7">
        <v>46055</v>
      </c>
      <c r="J7" s="7">
        <v>46062</v>
      </c>
      <c r="K7" s="4" t="s">
        <v>49</v>
      </c>
    </row>
    <row r="8" spans="1:11" x14ac:dyDescent="0.3">
      <c r="A8" s="9">
        <v>1007</v>
      </c>
      <c r="B8" s="9" t="s">
        <v>25</v>
      </c>
      <c r="C8" s="4" t="s">
        <v>26</v>
      </c>
      <c r="D8" s="4" t="s">
        <v>20</v>
      </c>
      <c r="E8" s="4" t="s">
        <v>21</v>
      </c>
      <c r="F8" s="4">
        <v>19</v>
      </c>
      <c r="G8" s="4">
        <v>149</v>
      </c>
      <c r="H8" s="4">
        <v>7</v>
      </c>
      <c r="I8" s="7">
        <v>46162</v>
      </c>
      <c r="J8" s="7">
        <v>46168</v>
      </c>
      <c r="K8" s="4" t="s">
        <v>80</v>
      </c>
    </row>
    <row r="9" spans="1:11" x14ac:dyDescent="0.3">
      <c r="A9" s="9">
        <v>1008</v>
      </c>
      <c r="B9" s="9" t="s">
        <v>30</v>
      </c>
      <c r="C9" s="4" t="s">
        <v>31</v>
      </c>
      <c r="D9" s="4" t="s">
        <v>24</v>
      </c>
      <c r="E9" s="4" t="s">
        <v>8</v>
      </c>
      <c r="F9" s="4">
        <v>1</v>
      </c>
      <c r="G9" s="4">
        <v>1134</v>
      </c>
      <c r="H9" s="4">
        <v>0</v>
      </c>
      <c r="I9" s="7">
        <v>46033</v>
      </c>
      <c r="J9" s="7">
        <v>46041</v>
      </c>
      <c r="K9" s="4" t="s">
        <v>80</v>
      </c>
    </row>
    <row r="10" spans="1:11" x14ac:dyDescent="0.3">
      <c r="A10" s="9">
        <v>1009</v>
      </c>
      <c r="B10" s="9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7">
        <v>46183</v>
      </c>
      <c r="J10" s="7">
        <v>46193</v>
      </c>
      <c r="K10" s="4" t="s">
        <v>80</v>
      </c>
    </row>
    <row r="11" spans="1:11" x14ac:dyDescent="0.3">
      <c r="A11" s="9">
        <v>1010</v>
      </c>
      <c r="B11" s="9" t="s">
        <v>18</v>
      </c>
      <c r="C11" s="4" t="s">
        <v>23</v>
      </c>
      <c r="D11" s="4" t="s">
        <v>20</v>
      </c>
      <c r="E11" s="4" t="s">
        <v>36</v>
      </c>
      <c r="F11" s="4">
        <v>14</v>
      </c>
      <c r="G11" s="4">
        <v>470</v>
      </c>
      <c r="H11" s="4">
        <v>5</v>
      </c>
      <c r="I11" s="7">
        <v>46062</v>
      </c>
      <c r="J11" s="7">
        <v>46068</v>
      </c>
      <c r="K11" s="4" t="s">
        <v>78</v>
      </c>
    </row>
    <row r="12" spans="1:11" x14ac:dyDescent="0.3">
      <c r="A12" s="9">
        <v>1011</v>
      </c>
      <c r="B12" s="9" t="s">
        <v>18</v>
      </c>
      <c r="C12" s="4" t="s">
        <v>23</v>
      </c>
      <c r="D12" s="4" t="s">
        <v>20</v>
      </c>
      <c r="E12" s="4" t="s">
        <v>37</v>
      </c>
      <c r="F12" s="4">
        <v>14</v>
      </c>
      <c r="G12" s="4">
        <v>88</v>
      </c>
      <c r="H12" s="4">
        <v>12</v>
      </c>
      <c r="I12" s="7">
        <v>46161</v>
      </c>
      <c r="J12" s="7">
        <v>46163</v>
      </c>
      <c r="K12" s="4" t="s">
        <v>78</v>
      </c>
    </row>
    <row r="13" spans="1:11" x14ac:dyDescent="0.3">
      <c r="A13" s="9">
        <v>1012</v>
      </c>
      <c r="B13" s="9" t="s">
        <v>28</v>
      </c>
      <c r="C13" s="4" t="s">
        <v>38</v>
      </c>
      <c r="D13" s="4" t="s">
        <v>34</v>
      </c>
      <c r="E13" s="4" t="s">
        <v>5</v>
      </c>
      <c r="F13" s="4">
        <v>3</v>
      </c>
      <c r="G13" s="4">
        <v>64615</v>
      </c>
      <c r="H13" s="4">
        <v>10</v>
      </c>
      <c r="I13" s="7">
        <v>46086</v>
      </c>
      <c r="J13" s="7">
        <v>46095</v>
      </c>
      <c r="K13" s="4" t="s">
        <v>49</v>
      </c>
    </row>
    <row r="14" spans="1:11" x14ac:dyDescent="0.3">
      <c r="A14" s="9">
        <v>1013</v>
      </c>
      <c r="B14" s="9" t="s">
        <v>22</v>
      </c>
      <c r="C14" s="4" t="s">
        <v>31</v>
      </c>
      <c r="D14" s="4" t="s">
        <v>20</v>
      </c>
      <c r="E14" s="4" t="s">
        <v>36</v>
      </c>
      <c r="F14" s="4">
        <v>17</v>
      </c>
      <c r="G14" s="4">
        <v>459</v>
      </c>
      <c r="H14" s="4">
        <v>12</v>
      </c>
      <c r="I14" s="7">
        <v>46095</v>
      </c>
      <c r="J14" s="7">
        <v>46105</v>
      </c>
      <c r="K14" s="4" t="s">
        <v>49</v>
      </c>
    </row>
    <row r="15" spans="1:11" x14ac:dyDescent="0.3">
      <c r="A15" s="9">
        <v>1014</v>
      </c>
      <c r="B15" s="9" t="s">
        <v>39</v>
      </c>
      <c r="C15" s="4" t="s">
        <v>23</v>
      </c>
      <c r="D15" s="4" t="s">
        <v>34</v>
      </c>
      <c r="E15" s="4" t="s">
        <v>40</v>
      </c>
      <c r="F15" s="4">
        <v>19</v>
      </c>
      <c r="G15" s="4">
        <v>53683</v>
      </c>
      <c r="H15" s="4">
        <v>12</v>
      </c>
      <c r="I15" s="7">
        <v>46129</v>
      </c>
      <c r="J15" s="7">
        <v>46134</v>
      </c>
      <c r="K15" s="4" t="s">
        <v>49</v>
      </c>
    </row>
    <row r="16" spans="1:11" x14ac:dyDescent="0.3">
      <c r="A16" s="9">
        <v>1015</v>
      </c>
      <c r="B16" s="9" t="s">
        <v>41</v>
      </c>
      <c r="C16" s="4" t="s">
        <v>42</v>
      </c>
      <c r="D16" s="4" t="s">
        <v>24</v>
      </c>
      <c r="E16" s="4" t="s">
        <v>43</v>
      </c>
      <c r="F16" s="4">
        <v>11</v>
      </c>
      <c r="G16" s="4">
        <v>14511</v>
      </c>
      <c r="H16" s="4">
        <v>2</v>
      </c>
      <c r="I16" s="7">
        <v>46175</v>
      </c>
      <c r="J16" s="7">
        <v>46185</v>
      </c>
      <c r="K16" s="4" t="s">
        <v>79</v>
      </c>
    </row>
    <row r="17" spans="1:11" x14ac:dyDescent="0.3">
      <c r="A17" s="9">
        <v>1016</v>
      </c>
      <c r="B17" s="9" t="s">
        <v>32</v>
      </c>
      <c r="C17" s="4" t="s">
        <v>33</v>
      </c>
      <c r="D17" s="4" t="s">
        <v>34</v>
      </c>
      <c r="E17" s="4" t="s">
        <v>6</v>
      </c>
      <c r="F17" s="4">
        <v>16</v>
      </c>
      <c r="G17" s="4">
        <v>30234</v>
      </c>
      <c r="H17" s="4">
        <v>15</v>
      </c>
      <c r="I17" s="7">
        <v>46137</v>
      </c>
      <c r="J17" s="7">
        <v>46140</v>
      </c>
      <c r="K17" s="4" t="s">
        <v>80</v>
      </c>
    </row>
    <row r="18" spans="1:11" x14ac:dyDescent="0.3">
      <c r="A18" s="9">
        <v>1017</v>
      </c>
      <c r="B18" s="9" t="s">
        <v>44</v>
      </c>
      <c r="C18" s="4" t="s">
        <v>38</v>
      </c>
      <c r="D18" s="4" t="s">
        <v>20</v>
      </c>
      <c r="E18" s="4" t="s">
        <v>36</v>
      </c>
      <c r="F18" s="4">
        <v>8</v>
      </c>
      <c r="G18" s="4">
        <v>179</v>
      </c>
      <c r="H18" s="4">
        <v>15</v>
      </c>
      <c r="I18" s="7">
        <v>46082</v>
      </c>
      <c r="J18" s="7">
        <v>46084</v>
      </c>
      <c r="K18" s="4" t="s">
        <v>78</v>
      </c>
    </row>
    <row r="19" spans="1:11" x14ac:dyDescent="0.3">
      <c r="A19" s="9">
        <v>1018</v>
      </c>
      <c r="B19" s="9" t="s">
        <v>45</v>
      </c>
      <c r="C19" s="4" t="s">
        <v>27</v>
      </c>
      <c r="D19" s="4" t="s">
        <v>20</v>
      </c>
      <c r="E19" s="4" t="s">
        <v>21</v>
      </c>
      <c r="F19" s="4">
        <v>20</v>
      </c>
      <c r="G19" s="4">
        <v>301</v>
      </c>
      <c r="H19" s="4">
        <v>0</v>
      </c>
      <c r="I19" s="7">
        <v>46089</v>
      </c>
      <c r="J19" s="7">
        <v>46094</v>
      </c>
      <c r="K19" s="4" t="s">
        <v>49</v>
      </c>
    </row>
    <row r="20" spans="1:11" x14ac:dyDescent="0.3">
      <c r="A20" s="9">
        <v>1019</v>
      </c>
      <c r="B20" s="9" t="s">
        <v>18</v>
      </c>
      <c r="C20" s="4" t="s">
        <v>42</v>
      </c>
      <c r="D20" s="4" t="s">
        <v>34</v>
      </c>
      <c r="E20" s="4" t="s">
        <v>40</v>
      </c>
      <c r="F20" s="4">
        <v>18</v>
      </c>
      <c r="G20" s="4">
        <v>45652</v>
      </c>
      <c r="H20" s="4">
        <v>10</v>
      </c>
      <c r="I20" s="7">
        <v>46023</v>
      </c>
      <c r="J20" s="7">
        <v>46030</v>
      </c>
      <c r="K20" s="4" t="s">
        <v>79</v>
      </c>
    </row>
    <row r="21" spans="1:11" x14ac:dyDescent="0.3">
      <c r="A21" s="9">
        <v>1020</v>
      </c>
      <c r="B21" s="9" t="s">
        <v>44</v>
      </c>
      <c r="C21" s="4" t="s">
        <v>19</v>
      </c>
      <c r="D21" s="4" t="s">
        <v>24</v>
      </c>
      <c r="E21" s="4" t="s">
        <v>7</v>
      </c>
      <c r="F21" s="4">
        <v>5</v>
      </c>
      <c r="G21" s="4">
        <v>4582</v>
      </c>
      <c r="H21" s="4">
        <v>5</v>
      </c>
      <c r="I21" s="7">
        <v>46078</v>
      </c>
      <c r="J21" s="7">
        <v>46083</v>
      </c>
      <c r="K21" s="4" t="s">
        <v>78</v>
      </c>
    </row>
    <row r="22" spans="1:11" x14ac:dyDescent="0.3">
      <c r="A22" s="9">
        <v>1021</v>
      </c>
      <c r="B22" s="9" t="s">
        <v>46</v>
      </c>
      <c r="C22" s="4" t="s">
        <v>42</v>
      </c>
      <c r="D22" s="4" t="s">
        <v>20</v>
      </c>
      <c r="E22" s="4" t="s">
        <v>21</v>
      </c>
      <c r="F22" s="4">
        <v>3</v>
      </c>
      <c r="G22" s="4">
        <v>484</v>
      </c>
      <c r="H22" s="4">
        <v>2</v>
      </c>
      <c r="I22" s="7">
        <v>46144</v>
      </c>
      <c r="J22" s="7">
        <v>46148</v>
      </c>
      <c r="K22" s="4" t="s">
        <v>80</v>
      </c>
    </row>
    <row r="23" spans="1:11" x14ac:dyDescent="0.3">
      <c r="A23" s="9">
        <v>1022</v>
      </c>
      <c r="B23" s="9" t="s">
        <v>28</v>
      </c>
      <c r="C23" s="4" t="s">
        <v>23</v>
      </c>
      <c r="D23" s="4" t="s">
        <v>34</v>
      </c>
      <c r="E23" s="4" t="s">
        <v>6</v>
      </c>
      <c r="F23" s="4">
        <v>15</v>
      </c>
      <c r="G23" s="4">
        <v>11596</v>
      </c>
      <c r="H23" s="4">
        <v>0</v>
      </c>
      <c r="I23" s="7">
        <v>46117</v>
      </c>
      <c r="J23" s="7">
        <v>46121</v>
      </c>
      <c r="K23" s="4" t="s">
        <v>49</v>
      </c>
    </row>
    <row r="24" spans="1:11" x14ac:dyDescent="0.3">
      <c r="A24" s="9">
        <v>1023</v>
      </c>
      <c r="B24" s="9" t="s">
        <v>39</v>
      </c>
      <c r="C24" s="4" t="s">
        <v>19</v>
      </c>
      <c r="D24" s="4" t="s">
        <v>24</v>
      </c>
      <c r="E24" s="4" t="s">
        <v>43</v>
      </c>
      <c r="F24" s="4">
        <v>15</v>
      </c>
      <c r="G24" s="4">
        <v>3506</v>
      </c>
      <c r="H24" s="4">
        <v>2</v>
      </c>
      <c r="I24" s="7">
        <v>46193</v>
      </c>
      <c r="J24" s="7">
        <v>46194</v>
      </c>
      <c r="K24" s="4" t="s">
        <v>49</v>
      </c>
    </row>
    <row r="25" spans="1:11" x14ac:dyDescent="0.3">
      <c r="A25" s="9">
        <v>1024</v>
      </c>
      <c r="B25" s="9" t="s">
        <v>32</v>
      </c>
      <c r="C25" s="4" t="s">
        <v>38</v>
      </c>
      <c r="D25" s="4" t="s">
        <v>34</v>
      </c>
      <c r="E25" s="4" t="s">
        <v>40</v>
      </c>
      <c r="F25" s="4">
        <v>12</v>
      </c>
      <c r="G25" s="4">
        <v>1682</v>
      </c>
      <c r="H25" s="4">
        <v>5</v>
      </c>
      <c r="I25" s="7">
        <v>46161</v>
      </c>
      <c r="J25" s="7">
        <v>46165</v>
      </c>
      <c r="K25" s="4" t="s">
        <v>78</v>
      </c>
    </row>
    <row r="26" spans="1:11" x14ac:dyDescent="0.3">
      <c r="A26" s="9">
        <v>1025</v>
      </c>
      <c r="B26" s="9" t="s">
        <v>25</v>
      </c>
      <c r="C26" s="4" t="s">
        <v>19</v>
      </c>
      <c r="D26" s="4" t="s">
        <v>24</v>
      </c>
      <c r="E26" s="4" t="s">
        <v>7</v>
      </c>
      <c r="F26" s="4">
        <v>18</v>
      </c>
      <c r="G26" s="4">
        <v>7924</v>
      </c>
      <c r="H26" s="4">
        <v>0</v>
      </c>
      <c r="I26" s="7">
        <v>46175</v>
      </c>
      <c r="J26" s="7">
        <v>46181</v>
      </c>
      <c r="K26" s="4" t="s">
        <v>78</v>
      </c>
    </row>
    <row r="27" spans="1:11" x14ac:dyDescent="0.3">
      <c r="A27" s="9">
        <v>1026</v>
      </c>
      <c r="B27" s="9" t="s">
        <v>47</v>
      </c>
      <c r="C27" s="4" t="s">
        <v>31</v>
      </c>
      <c r="D27" s="4" t="s">
        <v>20</v>
      </c>
      <c r="E27" s="4" t="s">
        <v>48</v>
      </c>
      <c r="F27" s="4">
        <v>17</v>
      </c>
      <c r="G27" s="4">
        <v>323</v>
      </c>
      <c r="H27" s="4">
        <v>10</v>
      </c>
      <c r="I27" s="7">
        <v>46039</v>
      </c>
      <c r="J27" s="7">
        <v>46040</v>
      </c>
      <c r="K27" s="4" t="s">
        <v>49</v>
      </c>
    </row>
    <row r="28" spans="1:11" x14ac:dyDescent="0.3">
      <c r="A28" s="9">
        <v>1027</v>
      </c>
      <c r="B28" s="9" t="s">
        <v>49</v>
      </c>
      <c r="C28" s="4" t="s">
        <v>42</v>
      </c>
      <c r="D28" s="4" t="s">
        <v>20</v>
      </c>
      <c r="E28" s="4" t="s">
        <v>48</v>
      </c>
      <c r="F28" s="4">
        <v>4</v>
      </c>
      <c r="G28" s="4">
        <v>264</v>
      </c>
      <c r="H28" s="4">
        <v>0</v>
      </c>
      <c r="I28" s="7">
        <v>46155</v>
      </c>
      <c r="J28" s="7">
        <v>46161</v>
      </c>
      <c r="K28" s="4" t="s">
        <v>81</v>
      </c>
    </row>
    <row r="29" spans="1:11" x14ac:dyDescent="0.3">
      <c r="A29" s="9">
        <v>1028</v>
      </c>
      <c r="B29" s="9" t="s">
        <v>45</v>
      </c>
      <c r="C29" s="4" t="s">
        <v>26</v>
      </c>
      <c r="D29" s="4" t="s">
        <v>20</v>
      </c>
      <c r="E29" s="4" t="s">
        <v>36</v>
      </c>
      <c r="F29" s="4">
        <v>13</v>
      </c>
      <c r="G29" s="4">
        <v>433</v>
      </c>
      <c r="H29" s="4">
        <v>2</v>
      </c>
      <c r="I29" s="7">
        <v>46116</v>
      </c>
      <c r="J29" s="7">
        <v>46121</v>
      </c>
      <c r="K29" s="4" t="s">
        <v>80</v>
      </c>
    </row>
    <row r="30" spans="1:11" x14ac:dyDescent="0.3">
      <c r="A30" s="9">
        <v>1029</v>
      </c>
      <c r="B30" s="9" t="s">
        <v>30</v>
      </c>
      <c r="C30" s="4" t="s">
        <v>27</v>
      </c>
      <c r="D30" s="4" t="s">
        <v>20</v>
      </c>
      <c r="E30" s="4" t="s">
        <v>36</v>
      </c>
      <c r="F30" s="4">
        <v>18</v>
      </c>
      <c r="G30" s="4">
        <v>443</v>
      </c>
      <c r="H30" s="4">
        <v>5</v>
      </c>
      <c r="I30" s="7">
        <v>46046</v>
      </c>
      <c r="J30" s="7">
        <v>46054</v>
      </c>
      <c r="K30" s="4" t="s">
        <v>80</v>
      </c>
    </row>
    <row r="31" spans="1:11" x14ac:dyDescent="0.3">
      <c r="A31" s="9">
        <v>1030</v>
      </c>
      <c r="B31" s="9" t="s">
        <v>50</v>
      </c>
      <c r="C31" s="4" t="s">
        <v>19</v>
      </c>
      <c r="D31" s="4" t="s">
        <v>20</v>
      </c>
      <c r="E31" s="4" t="s">
        <v>51</v>
      </c>
      <c r="F31" s="4">
        <v>13</v>
      </c>
      <c r="G31" s="4">
        <v>336</v>
      </c>
      <c r="H31" s="4">
        <v>10</v>
      </c>
      <c r="I31" s="7">
        <v>46098</v>
      </c>
      <c r="J31" s="7">
        <v>46108</v>
      </c>
      <c r="K31" s="4" t="s">
        <v>78</v>
      </c>
    </row>
    <row r="32" spans="1:11" x14ac:dyDescent="0.3">
      <c r="A32" s="9">
        <v>1031</v>
      </c>
      <c r="B32" s="9" t="s">
        <v>52</v>
      </c>
      <c r="C32" s="4" t="s">
        <v>31</v>
      </c>
      <c r="D32" s="4" t="s">
        <v>20</v>
      </c>
      <c r="E32" s="4" t="s">
        <v>51</v>
      </c>
      <c r="F32" s="4">
        <v>2</v>
      </c>
      <c r="G32" s="4">
        <v>184</v>
      </c>
      <c r="H32" s="4">
        <v>5</v>
      </c>
      <c r="I32" s="7">
        <v>46089</v>
      </c>
      <c r="J32" s="7">
        <v>46093</v>
      </c>
      <c r="K32" s="4" t="s">
        <v>79</v>
      </c>
    </row>
    <row r="33" spans="1:11" x14ac:dyDescent="0.3">
      <c r="A33" s="9">
        <v>1032</v>
      </c>
      <c r="B33" s="9" t="s">
        <v>52</v>
      </c>
      <c r="C33" s="4" t="s">
        <v>42</v>
      </c>
      <c r="D33" s="4" t="s">
        <v>34</v>
      </c>
      <c r="E33" s="4" t="s">
        <v>5</v>
      </c>
      <c r="F33" s="4">
        <v>20</v>
      </c>
      <c r="G33" s="4">
        <v>11305</v>
      </c>
      <c r="H33" s="4">
        <v>2</v>
      </c>
      <c r="I33" s="7">
        <v>46163</v>
      </c>
      <c r="J33" s="7">
        <v>46165</v>
      </c>
      <c r="K33" s="4" t="s">
        <v>49</v>
      </c>
    </row>
    <row r="34" spans="1:11" x14ac:dyDescent="0.3">
      <c r="A34" s="9">
        <v>1033</v>
      </c>
      <c r="B34" s="9" t="s">
        <v>18</v>
      </c>
      <c r="C34" s="4" t="s">
        <v>42</v>
      </c>
      <c r="D34" s="4" t="s">
        <v>24</v>
      </c>
      <c r="E34" s="4" t="s">
        <v>7</v>
      </c>
      <c r="F34" s="4">
        <v>9</v>
      </c>
      <c r="G34" s="4">
        <v>4895</v>
      </c>
      <c r="H34" s="4">
        <v>2</v>
      </c>
      <c r="I34" s="7">
        <v>46082</v>
      </c>
      <c r="J34" s="7">
        <v>46084</v>
      </c>
      <c r="K34" s="4" t="s">
        <v>49</v>
      </c>
    </row>
    <row r="35" spans="1:11" x14ac:dyDescent="0.3">
      <c r="A35" s="9">
        <v>1034</v>
      </c>
      <c r="B35" s="9" t="s">
        <v>53</v>
      </c>
      <c r="C35" s="4" t="s">
        <v>33</v>
      </c>
      <c r="D35" s="4" t="s">
        <v>24</v>
      </c>
      <c r="E35" s="4" t="s">
        <v>8</v>
      </c>
      <c r="F35" s="4">
        <v>17</v>
      </c>
      <c r="G35" s="4">
        <v>5104</v>
      </c>
      <c r="H35" s="4">
        <v>12</v>
      </c>
      <c r="I35" s="7">
        <v>46052</v>
      </c>
      <c r="J35" s="7">
        <v>46061</v>
      </c>
      <c r="K35" s="4" t="s">
        <v>81</v>
      </c>
    </row>
    <row r="36" spans="1:11" x14ac:dyDescent="0.3">
      <c r="A36" s="9">
        <v>1035</v>
      </c>
      <c r="B36" s="9" t="s">
        <v>47</v>
      </c>
      <c r="C36" s="4" t="s">
        <v>42</v>
      </c>
      <c r="D36" s="4" t="s">
        <v>24</v>
      </c>
      <c r="E36" s="4" t="s">
        <v>11</v>
      </c>
      <c r="F36" s="4">
        <v>3</v>
      </c>
      <c r="G36" s="4">
        <v>9149</v>
      </c>
      <c r="H36" s="4">
        <v>0</v>
      </c>
      <c r="I36" s="7">
        <v>46031</v>
      </c>
      <c r="J36" s="7">
        <v>46034</v>
      </c>
      <c r="K36" s="4" t="s">
        <v>80</v>
      </c>
    </row>
    <row r="37" spans="1:11" x14ac:dyDescent="0.3">
      <c r="A37" s="9">
        <v>1036</v>
      </c>
      <c r="B37" s="9" t="s">
        <v>18</v>
      </c>
      <c r="C37" s="4" t="s">
        <v>27</v>
      </c>
      <c r="D37" s="4" t="s">
        <v>20</v>
      </c>
      <c r="E37" s="4" t="s">
        <v>36</v>
      </c>
      <c r="F37" s="4">
        <v>20</v>
      </c>
      <c r="G37" s="4">
        <v>161</v>
      </c>
      <c r="H37" s="4">
        <v>7</v>
      </c>
      <c r="I37" s="7">
        <v>46071</v>
      </c>
      <c r="J37" s="7">
        <v>46077</v>
      </c>
      <c r="K37" s="4" t="s">
        <v>80</v>
      </c>
    </row>
    <row r="38" spans="1:11" x14ac:dyDescent="0.3">
      <c r="A38" s="9">
        <v>1037</v>
      </c>
      <c r="B38" s="9" t="s">
        <v>44</v>
      </c>
      <c r="C38" s="4" t="s">
        <v>42</v>
      </c>
      <c r="D38" s="4" t="s">
        <v>24</v>
      </c>
      <c r="E38" s="4" t="s">
        <v>11</v>
      </c>
      <c r="F38" s="4">
        <v>6</v>
      </c>
      <c r="G38" s="4">
        <v>14385</v>
      </c>
      <c r="H38" s="4">
        <v>12</v>
      </c>
      <c r="I38" s="7">
        <v>46033</v>
      </c>
      <c r="J38" s="7">
        <v>46043</v>
      </c>
      <c r="K38" s="4" t="s">
        <v>80</v>
      </c>
    </row>
    <row r="39" spans="1:11" x14ac:dyDescent="0.3">
      <c r="A39" s="9">
        <v>1038</v>
      </c>
      <c r="B39" s="9" t="s">
        <v>53</v>
      </c>
      <c r="C39" s="4" t="s">
        <v>23</v>
      </c>
      <c r="D39" s="4" t="s">
        <v>20</v>
      </c>
      <c r="E39" s="4" t="s">
        <v>36</v>
      </c>
      <c r="F39" s="4">
        <v>17</v>
      </c>
      <c r="G39" s="4">
        <v>223</v>
      </c>
      <c r="H39" s="4">
        <v>7</v>
      </c>
      <c r="I39" s="7">
        <v>46030</v>
      </c>
      <c r="J39" s="7">
        <v>46031</v>
      </c>
      <c r="K39" s="4" t="s">
        <v>81</v>
      </c>
    </row>
    <row r="40" spans="1:11" x14ac:dyDescent="0.3">
      <c r="A40" s="9">
        <v>1039</v>
      </c>
      <c r="B40" s="9" t="s">
        <v>46</v>
      </c>
      <c r="C40" s="4" t="s">
        <v>38</v>
      </c>
      <c r="D40" s="4" t="s">
        <v>34</v>
      </c>
      <c r="E40" s="4" t="s">
        <v>6</v>
      </c>
      <c r="F40" s="4">
        <v>5</v>
      </c>
      <c r="G40" s="4">
        <v>60236</v>
      </c>
      <c r="H40" s="4">
        <v>10</v>
      </c>
      <c r="I40" s="7">
        <v>46107</v>
      </c>
      <c r="J40" s="7">
        <v>46110</v>
      </c>
      <c r="K40" s="4" t="s">
        <v>79</v>
      </c>
    </row>
    <row r="41" spans="1:11" x14ac:dyDescent="0.3">
      <c r="A41" s="9">
        <v>1040</v>
      </c>
      <c r="B41" s="9" t="s">
        <v>47</v>
      </c>
      <c r="C41" s="4" t="s">
        <v>38</v>
      </c>
      <c r="D41" s="4" t="s">
        <v>24</v>
      </c>
      <c r="E41" s="4" t="s">
        <v>8</v>
      </c>
      <c r="F41" s="4">
        <v>10</v>
      </c>
      <c r="G41" s="4">
        <v>7531</v>
      </c>
      <c r="H41" s="4">
        <v>2</v>
      </c>
      <c r="I41" s="7">
        <v>46171</v>
      </c>
      <c r="J41" s="7">
        <v>46178</v>
      </c>
      <c r="K41" s="4" t="s">
        <v>80</v>
      </c>
    </row>
    <row r="42" spans="1:11" x14ac:dyDescent="0.3">
      <c r="A42" s="9">
        <v>1041</v>
      </c>
      <c r="B42" s="9" t="s">
        <v>52</v>
      </c>
      <c r="C42" s="4" t="s">
        <v>38</v>
      </c>
      <c r="D42" s="4" t="s">
        <v>20</v>
      </c>
      <c r="E42" s="4" t="s">
        <v>48</v>
      </c>
      <c r="F42" s="4">
        <v>9</v>
      </c>
      <c r="G42" s="4">
        <v>71</v>
      </c>
      <c r="H42" s="4">
        <v>7</v>
      </c>
      <c r="I42" s="7">
        <v>46185</v>
      </c>
      <c r="J42" s="7">
        <v>46188</v>
      </c>
      <c r="K42" s="4" t="s">
        <v>78</v>
      </c>
    </row>
    <row r="43" spans="1:11" x14ac:dyDescent="0.3">
      <c r="A43" s="9">
        <v>1042</v>
      </c>
      <c r="B43" s="9" t="s">
        <v>44</v>
      </c>
      <c r="C43" s="4" t="s">
        <v>33</v>
      </c>
      <c r="D43" s="4" t="s">
        <v>20</v>
      </c>
      <c r="E43" s="4" t="s">
        <v>51</v>
      </c>
      <c r="F43" s="4">
        <v>16</v>
      </c>
      <c r="G43" s="4">
        <v>232</v>
      </c>
      <c r="H43" s="4">
        <v>0</v>
      </c>
      <c r="I43" s="7">
        <v>46081</v>
      </c>
      <c r="J43" s="7">
        <v>46088</v>
      </c>
      <c r="K43" s="4" t="s">
        <v>49</v>
      </c>
    </row>
    <row r="44" spans="1:11" x14ac:dyDescent="0.3">
      <c r="A44" s="9">
        <v>1043</v>
      </c>
      <c r="B44" s="9" t="s">
        <v>47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7">
        <v>46091</v>
      </c>
      <c r="J44" s="7">
        <v>46098</v>
      </c>
      <c r="K44" s="4" t="s">
        <v>49</v>
      </c>
    </row>
    <row r="45" spans="1:11" x14ac:dyDescent="0.3">
      <c r="A45" s="9">
        <v>1044</v>
      </c>
      <c r="B45" s="9" t="s">
        <v>46</v>
      </c>
      <c r="C45" s="4" t="s">
        <v>38</v>
      </c>
      <c r="D45" s="4" t="s">
        <v>24</v>
      </c>
      <c r="E45" s="4" t="s">
        <v>7</v>
      </c>
      <c r="F45" s="4">
        <v>4</v>
      </c>
      <c r="G45" s="4">
        <v>14731</v>
      </c>
      <c r="H45" s="4">
        <v>2</v>
      </c>
      <c r="I45" s="7">
        <v>46173</v>
      </c>
      <c r="J45" s="7">
        <v>46176</v>
      </c>
      <c r="K45" s="4" t="s">
        <v>79</v>
      </c>
    </row>
    <row r="46" spans="1:11" x14ac:dyDescent="0.3">
      <c r="A46" s="9">
        <v>1045</v>
      </c>
      <c r="B46" s="9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7">
        <v>46038</v>
      </c>
      <c r="J46" s="7">
        <v>46039</v>
      </c>
      <c r="K46" s="4" t="s">
        <v>49</v>
      </c>
    </row>
    <row r="47" spans="1:11" x14ac:dyDescent="0.3">
      <c r="A47" s="9">
        <v>1046</v>
      </c>
      <c r="B47" s="9" t="s">
        <v>54</v>
      </c>
      <c r="C47" s="4" t="s">
        <v>38</v>
      </c>
      <c r="D47" s="4" t="s">
        <v>34</v>
      </c>
      <c r="E47" s="4" t="s">
        <v>6</v>
      </c>
      <c r="F47" s="4">
        <v>3</v>
      </c>
      <c r="G47" s="4">
        <v>19443</v>
      </c>
      <c r="H47" s="4">
        <v>10</v>
      </c>
      <c r="I47" s="7">
        <v>46153</v>
      </c>
      <c r="J47" s="7">
        <v>46158</v>
      </c>
      <c r="K47" s="4" t="s">
        <v>49</v>
      </c>
    </row>
    <row r="48" spans="1:11" x14ac:dyDescent="0.3">
      <c r="A48" s="9">
        <v>1047</v>
      </c>
      <c r="B48" s="9" t="s">
        <v>55</v>
      </c>
      <c r="C48" s="4" t="s">
        <v>38</v>
      </c>
      <c r="D48" s="4" t="s">
        <v>24</v>
      </c>
      <c r="E48" s="4" t="s">
        <v>11</v>
      </c>
      <c r="F48" s="4">
        <v>11</v>
      </c>
      <c r="G48" s="4">
        <v>9976</v>
      </c>
      <c r="H48" s="4">
        <v>12</v>
      </c>
      <c r="I48" s="7">
        <v>46200</v>
      </c>
      <c r="J48" s="7">
        <v>46209</v>
      </c>
      <c r="K48" s="4" t="s">
        <v>78</v>
      </c>
    </row>
    <row r="49" spans="1:11" x14ac:dyDescent="0.3">
      <c r="A49" s="9">
        <v>1048</v>
      </c>
      <c r="B49" s="9" t="s">
        <v>56</v>
      </c>
      <c r="C49" s="4" t="s">
        <v>27</v>
      </c>
      <c r="D49" s="4" t="s">
        <v>34</v>
      </c>
      <c r="E49" s="4" t="s">
        <v>9</v>
      </c>
      <c r="F49" s="4">
        <v>14</v>
      </c>
      <c r="G49" s="4">
        <v>11762</v>
      </c>
      <c r="H49" s="4">
        <v>7</v>
      </c>
      <c r="I49" s="7">
        <v>46180</v>
      </c>
      <c r="J49" s="7">
        <v>46186</v>
      </c>
      <c r="K49" s="4" t="s">
        <v>80</v>
      </c>
    </row>
    <row r="50" spans="1:11" x14ac:dyDescent="0.3">
      <c r="A50" s="9">
        <v>1049</v>
      </c>
      <c r="B50" s="9" t="s">
        <v>50</v>
      </c>
      <c r="C50" s="4" t="s">
        <v>27</v>
      </c>
      <c r="D50" s="4" t="s">
        <v>34</v>
      </c>
      <c r="E50" s="4" t="s">
        <v>6</v>
      </c>
      <c r="F50" s="4">
        <v>2</v>
      </c>
      <c r="G50" s="4">
        <v>40789</v>
      </c>
      <c r="H50" s="4">
        <v>0</v>
      </c>
      <c r="I50" s="7">
        <v>46102</v>
      </c>
      <c r="J50" s="7">
        <v>46108</v>
      </c>
      <c r="K50" s="4" t="s">
        <v>80</v>
      </c>
    </row>
    <row r="51" spans="1:11" x14ac:dyDescent="0.3">
      <c r="A51" s="9">
        <v>1050</v>
      </c>
      <c r="B51" s="9" t="s">
        <v>32</v>
      </c>
      <c r="C51" s="4" t="s">
        <v>27</v>
      </c>
      <c r="D51" s="4" t="s">
        <v>20</v>
      </c>
      <c r="E51" s="4" t="s">
        <v>51</v>
      </c>
      <c r="F51" s="4">
        <v>12</v>
      </c>
      <c r="G51" s="4">
        <v>360</v>
      </c>
      <c r="H51" s="4">
        <v>5</v>
      </c>
      <c r="I51" s="7">
        <v>46127</v>
      </c>
      <c r="J51" s="7">
        <v>46137</v>
      </c>
      <c r="K51" s="4" t="s">
        <v>49</v>
      </c>
    </row>
    <row r="52" spans="1:11" x14ac:dyDescent="0.3">
      <c r="A52" s="9">
        <v>1051</v>
      </c>
      <c r="B52" s="9" t="s">
        <v>55</v>
      </c>
      <c r="C52" s="4" t="s">
        <v>23</v>
      </c>
      <c r="D52" s="4" t="s">
        <v>20</v>
      </c>
      <c r="E52" s="4" t="s">
        <v>36</v>
      </c>
      <c r="F52" s="4">
        <v>12</v>
      </c>
      <c r="G52" s="4">
        <v>47</v>
      </c>
      <c r="H52" s="4">
        <v>2</v>
      </c>
      <c r="I52" s="7">
        <v>46037</v>
      </c>
      <c r="J52" s="7">
        <v>46045</v>
      </c>
      <c r="K52" s="4" t="s">
        <v>78</v>
      </c>
    </row>
    <row r="53" spans="1:11" x14ac:dyDescent="0.3">
      <c r="A53" s="9">
        <v>1052</v>
      </c>
      <c r="B53" s="9" t="s">
        <v>53</v>
      </c>
      <c r="C53" s="4" t="s">
        <v>19</v>
      </c>
      <c r="D53" s="4" t="s">
        <v>20</v>
      </c>
      <c r="E53" s="4" t="s">
        <v>21</v>
      </c>
      <c r="F53" s="4">
        <v>17</v>
      </c>
      <c r="G53" s="4">
        <v>172</v>
      </c>
      <c r="H53" s="4">
        <v>10</v>
      </c>
      <c r="I53" s="7">
        <v>46159</v>
      </c>
      <c r="J53" s="7">
        <v>46165</v>
      </c>
      <c r="K53" s="4" t="s">
        <v>79</v>
      </c>
    </row>
    <row r="54" spans="1:11" x14ac:dyDescent="0.3">
      <c r="A54" s="9">
        <v>1053</v>
      </c>
      <c r="B54" s="9" t="s">
        <v>22</v>
      </c>
      <c r="C54" s="4" t="s">
        <v>33</v>
      </c>
      <c r="D54" s="4" t="s">
        <v>24</v>
      </c>
      <c r="E54" s="4" t="s">
        <v>8</v>
      </c>
      <c r="F54" s="4">
        <v>1</v>
      </c>
      <c r="G54" s="4">
        <v>9749</v>
      </c>
      <c r="H54" s="4">
        <v>15</v>
      </c>
      <c r="I54" s="7">
        <v>46064</v>
      </c>
      <c r="J54" s="7">
        <v>46070</v>
      </c>
      <c r="K54" s="4" t="s">
        <v>80</v>
      </c>
    </row>
    <row r="55" spans="1:11" x14ac:dyDescent="0.3">
      <c r="A55" s="9">
        <v>1054</v>
      </c>
      <c r="B55" s="9" t="s">
        <v>28</v>
      </c>
      <c r="C55" s="4" t="s">
        <v>27</v>
      </c>
      <c r="D55" s="4" t="s">
        <v>24</v>
      </c>
      <c r="E55" s="4" t="s">
        <v>10</v>
      </c>
      <c r="F55" s="4">
        <v>8</v>
      </c>
      <c r="G55" s="4">
        <v>9798</v>
      </c>
      <c r="H55" s="4">
        <v>12</v>
      </c>
      <c r="I55" s="7">
        <v>46200</v>
      </c>
      <c r="J55" s="7">
        <v>46201</v>
      </c>
      <c r="K55" s="4" t="s">
        <v>81</v>
      </c>
    </row>
    <row r="56" spans="1:11" x14ac:dyDescent="0.3">
      <c r="A56" s="9">
        <v>1055</v>
      </c>
      <c r="B56" s="9" t="s">
        <v>46</v>
      </c>
      <c r="C56" s="4" t="s">
        <v>19</v>
      </c>
      <c r="D56" s="4" t="s">
        <v>20</v>
      </c>
      <c r="E56" s="4" t="s">
        <v>37</v>
      </c>
      <c r="F56" s="4">
        <v>18</v>
      </c>
      <c r="G56" s="4">
        <v>185</v>
      </c>
      <c r="H56" s="4">
        <v>15</v>
      </c>
      <c r="I56" s="7">
        <v>46077</v>
      </c>
      <c r="J56" s="7">
        <v>46078</v>
      </c>
      <c r="K56" s="4" t="s">
        <v>78</v>
      </c>
    </row>
    <row r="57" spans="1:11" x14ac:dyDescent="0.3">
      <c r="A57" s="9">
        <v>1056</v>
      </c>
      <c r="B57" s="9" t="s">
        <v>18</v>
      </c>
      <c r="C57" s="4" t="s">
        <v>26</v>
      </c>
      <c r="D57" s="4" t="s">
        <v>24</v>
      </c>
      <c r="E57" s="4" t="s">
        <v>7</v>
      </c>
      <c r="F57" s="4">
        <v>3</v>
      </c>
      <c r="G57" s="4">
        <v>9771</v>
      </c>
      <c r="H57" s="4">
        <v>5</v>
      </c>
      <c r="I57" s="7">
        <v>46133</v>
      </c>
      <c r="J57" s="7">
        <v>46139</v>
      </c>
      <c r="K57" s="4" t="s">
        <v>80</v>
      </c>
    </row>
    <row r="58" spans="1:11" x14ac:dyDescent="0.3">
      <c r="A58" s="9">
        <v>1057</v>
      </c>
      <c r="B58" s="9" t="s">
        <v>56</v>
      </c>
      <c r="C58" s="4" t="s">
        <v>26</v>
      </c>
      <c r="D58" s="4" t="s">
        <v>24</v>
      </c>
      <c r="E58" s="4" t="s">
        <v>8</v>
      </c>
      <c r="F58" s="4">
        <v>2</v>
      </c>
      <c r="G58" s="4">
        <v>9531</v>
      </c>
      <c r="H58" s="4">
        <v>15</v>
      </c>
      <c r="I58" s="7">
        <v>46067</v>
      </c>
      <c r="J58" s="7">
        <v>46076</v>
      </c>
      <c r="K58" s="4" t="s">
        <v>81</v>
      </c>
    </row>
    <row r="59" spans="1:11" x14ac:dyDescent="0.3">
      <c r="A59" s="9">
        <v>1058</v>
      </c>
      <c r="B59" s="9" t="s">
        <v>50</v>
      </c>
      <c r="C59" s="4" t="s">
        <v>38</v>
      </c>
      <c r="D59" s="4" t="s">
        <v>24</v>
      </c>
      <c r="E59" s="4" t="s">
        <v>8</v>
      </c>
      <c r="F59" s="4">
        <v>10</v>
      </c>
      <c r="G59" s="4">
        <v>5532</v>
      </c>
      <c r="H59" s="4">
        <v>7</v>
      </c>
      <c r="I59" s="7">
        <v>46074</v>
      </c>
      <c r="J59" s="7">
        <v>46084</v>
      </c>
      <c r="K59" s="4" t="s">
        <v>80</v>
      </c>
    </row>
    <row r="60" spans="1:11" x14ac:dyDescent="0.3">
      <c r="A60" s="9">
        <v>1059</v>
      </c>
      <c r="B60" s="9" t="s">
        <v>52</v>
      </c>
      <c r="C60" s="4" t="s">
        <v>27</v>
      </c>
      <c r="D60" s="4" t="s">
        <v>20</v>
      </c>
      <c r="E60" s="4" t="s">
        <v>48</v>
      </c>
      <c r="F60" s="4">
        <v>20</v>
      </c>
      <c r="G60" s="4">
        <v>112</v>
      </c>
      <c r="H60" s="4">
        <v>10</v>
      </c>
      <c r="I60" s="7">
        <v>46113</v>
      </c>
      <c r="J60" s="7">
        <v>46122</v>
      </c>
      <c r="K60" s="4" t="s">
        <v>81</v>
      </c>
    </row>
    <row r="61" spans="1:11" x14ac:dyDescent="0.3">
      <c r="A61" s="9">
        <v>1060</v>
      </c>
      <c r="B61" s="9" t="s">
        <v>47</v>
      </c>
      <c r="C61" s="4" t="s">
        <v>19</v>
      </c>
      <c r="D61" s="4" t="s">
        <v>24</v>
      </c>
      <c r="E61" s="4" t="s">
        <v>43</v>
      </c>
      <c r="F61" s="4">
        <v>9</v>
      </c>
      <c r="G61" s="4">
        <v>9727</v>
      </c>
      <c r="H61" s="4">
        <v>2</v>
      </c>
      <c r="I61" s="7">
        <v>46024</v>
      </c>
      <c r="J61" s="7">
        <v>46030</v>
      </c>
      <c r="K61" s="4" t="s">
        <v>79</v>
      </c>
    </row>
    <row r="62" spans="1:11" x14ac:dyDescent="0.3">
      <c r="A62" s="9">
        <v>1061</v>
      </c>
      <c r="B62" s="9" t="s">
        <v>54</v>
      </c>
      <c r="C62" s="4" t="s">
        <v>19</v>
      </c>
      <c r="D62" s="4" t="s">
        <v>34</v>
      </c>
      <c r="E62" s="4" t="s">
        <v>40</v>
      </c>
      <c r="F62" s="4">
        <v>16</v>
      </c>
      <c r="G62" s="4">
        <v>59084</v>
      </c>
      <c r="H62" s="4">
        <v>0</v>
      </c>
      <c r="I62" s="7">
        <v>46060</v>
      </c>
      <c r="J62" s="7">
        <v>46069</v>
      </c>
      <c r="K62" s="4" t="s">
        <v>79</v>
      </c>
    </row>
    <row r="63" spans="1:11" x14ac:dyDescent="0.3">
      <c r="A63" s="9">
        <v>1062</v>
      </c>
      <c r="B63" s="9" t="s">
        <v>39</v>
      </c>
      <c r="C63" s="4" t="s">
        <v>42</v>
      </c>
      <c r="D63" s="4" t="s">
        <v>24</v>
      </c>
      <c r="E63" s="4" t="s">
        <v>10</v>
      </c>
      <c r="F63" s="4">
        <v>8</v>
      </c>
      <c r="G63" s="4">
        <v>8360</v>
      </c>
      <c r="H63" s="4">
        <v>2</v>
      </c>
      <c r="I63" s="7">
        <v>46190</v>
      </c>
      <c r="J63" s="7">
        <v>46200</v>
      </c>
      <c r="K63" s="4" t="s">
        <v>81</v>
      </c>
    </row>
    <row r="64" spans="1:11" x14ac:dyDescent="0.3">
      <c r="A64" s="9">
        <v>1063</v>
      </c>
      <c r="B64" s="9" t="s">
        <v>52</v>
      </c>
      <c r="C64" s="4" t="s">
        <v>26</v>
      </c>
      <c r="D64" s="4" t="s">
        <v>34</v>
      </c>
      <c r="E64" s="4" t="s">
        <v>6</v>
      </c>
      <c r="F64" s="4">
        <v>7</v>
      </c>
      <c r="G64" s="4">
        <v>66744</v>
      </c>
      <c r="H64" s="4">
        <v>7</v>
      </c>
      <c r="I64" s="7">
        <v>46148</v>
      </c>
      <c r="J64" s="7">
        <v>46155</v>
      </c>
      <c r="K64" s="4" t="s">
        <v>78</v>
      </c>
    </row>
    <row r="65" spans="1:11" x14ac:dyDescent="0.3">
      <c r="A65" s="9">
        <v>1064</v>
      </c>
      <c r="B65" s="9" t="s">
        <v>28</v>
      </c>
      <c r="C65" s="4" t="s">
        <v>23</v>
      </c>
      <c r="D65" s="4" t="s">
        <v>20</v>
      </c>
      <c r="E65" s="4" t="s">
        <v>48</v>
      </c>
      <c r="F65" s="4">
        <v>20</v>
      </c>
      <c r="G65" s="4">
        <v>191</v>
      </c>
      <c r="H65" s="4">
        <v>7</v>
      </c>
      <c r="I65" s="7">
        <v>46185</v>
      </c>
      <c r="J65" s="7">
        <v>46195</v>
      </c>
      <c r="K65" s="4" t="s">
        <v>49</v>
      </c>
    </row>
    <row r="66" spans="1:11" x14ac:dyDescent="0.3">
      <c r="A66" s="9">
        <v>1065</v>
      </c>
      <c r="B66" s="9" t="s">
        <v>41</v>
      </c>
      <c r="C66" s="4" t="s">
        <v>42</v>
      </c>
      <c r="D66" s="4" t="s">
        <v>24</v>
      </c>
      <c r="E66" s="4" t="s">
        <v>43</v>
      </c>
      <c r="F66" s="4">
        <v>1</v>
      </c>
      <c r="G66" s="4">
        <v>7730</v>
      </c>
      <c r="H66" s="4">
        <v>5</v>
      </c>
      <c r="I66" s="7">
        <v>46192</v>
      </c>
      <c r="J66" s="7">
        <v>46195</v>
      </c>
      <c r="K66" s="4" t="s">
        <v>81</v>
      </c>
    </row>
    <row r="67" spans="1:11" x14ac:dyDescent="0.3">
      <c r="A67" s="9">
        <v>1066</v>
      </c>
      <c r="B67" s="9" t="s">
        <v>45</v>
      </c>
      <c r="C67" s="4" t="s">
        <v>27</v>
      </c>
      <c r="D67" s="4" t="s">
        <v>24</v>
      </c>
      <c r="E67" s="4" t="s">
        <v>43</v>
      </c>
      <c r="F67" s="4">
        <v>15</v>
      </c>
      <c r="G67" s="4">
        <v>11987</v>
      </c>
      <c r="H67" s="4">
        <v>5</v>
      </c>
      <c r="I67" s="7">
        <v>46082</v>
      </c>
      <c r="J67" s="7">
        <v>46083</v>
      </c>
      <c r="K67" s="4" t="s">
        <v>78</v>
      </c>
    </row>
    <row r="68" spans="1:11" x14ac:dyDescent="0.3">
      <c r="A68" s="9">
        <v>1067</v>
      </c>
      <c r="B68" s="9" t="s">
        <v>32</v>
      </c>
      <c r="C68" s="4" t="s">
        <v>42</v>
      </c>
      <c r="D68" s="4" t="s">
        <v>24</v>
      </c>
      <c r="E68" s="4" t="s">
        <v>11</v>
      </c>
      <c r="F68" s="4">
        <v>14</v>
      </c>
      <c r="G68" s="4">
        <v>10869</v>
      </c>
      <c r="H68" s="4">
        <v>0</v>
      </c>
      <c r="I68" s="7">
        <v>46058</v>
      </c>
      <c r="J68" s="7">
        <v>46062</v>
      </c>
      <c r="K68" s="4" t="s">
        <v>49</v>
      </c>
    </row>
    <row r="69" spans="1:11" x14ac:dyDescent="0.3">
      <c r="A69" s="9">
        <v>1068</v>
      </c>
      <c r="B69" s="9" t="s">
        <v>50</v>
      </c>
      <c r="C69" s="4" t="s">
        <v>42</v>
      </c>
      <c r="D69" s="4" t="s">
        <v>34</v>
      </c>
      <c r="E69" s="4" t="s">
        <v>9</v>
      </c>
      <c r="F69" s="4">
        <v>15</v>
      </c>
      <c r="G69" s="4">
        <v>14534</v>
      </c>
      <c r="H69" s="4">
        <v>5</v>
      </c>
      <c r="I69" s="7">
        <v>46196</v>
      </c>
      <c r="J69" s="7">
        <v>46199</v>
      </c>
      <c r="K69" s="4" t="s">
        <v>49</v>
      </c>
    </row>
    <row r="70" spans="1:11" x14ac:dyDescent="0.3">
      <c r="A70" s="9">
        <v>1069</v>
      </c>
      <c r="B70" s="9" t="s">
        <v>50</v>
      </c>
      <c r="C70" s="4" t="s">
        <v>31</v>
      </c>
      <c r="D70" s="4" t="s">
        <v>24</v>
      </c>
      <c r="E70" s="4" t="s">
        <v>8</v>
      </c>
      <c r="F70" s="4">
        <v>9</v>
      </c>
      <c r="G70" s="4">
        <v>4415</v>
      </c>
      <c r="H70" s="4">
        <v>5</v>
      </c>
      <c r="I70" s="7">
        <v>46039</v>
      </c>
      <c r="J70" s="7">
        <v>46046</v>
      </c>
      <c r="K70" s="4" t="s">
        <v>78</v>
      </c>
    </row>
    <row r="71" spans="1:11" x14ac:dyDescent="0.3">
      <c r="A71" s="9">
        <v>1070</v>
      </c>
      <c r="B71" s="9" t="s">
        <v>50</v>
      </c>
      <c r="C71" s="4" t="s">
        <v>42</v>
      </c>
      <c r="D71" s="4" t="s">
        <v>20</v>
      </c>
      <c r="E71" s="4" t="s">
        <v>36</v>
      </c>
      <c r="F71" s="4">
        <v>10</v>
      </c>
      <c r="G71" s="4">
        <v>233</v>
      </c>
      <c r="H71" s="4">
        <v>7</v>
      </c>
      <c r="I71" s="7">
        <v>46076</v>
      </c>
      <c r="J71" s="7">
        <v>46077</v>
      </c>
      <c r="K71" s="4" t="s">
        <v>49</v>
      </c>
    </row>
    <row r="72" spans="1:11" x14ac:dyDescent="0.3">
      <c r="A72" s="9">
        <v>1071</v>
      </c>
      <c r="B72" s="9" t="s">
        <v>56</v>
      </c>
      <c r="C72" s="4" t="s">
        <v>26</v>
      </c>
      <c r="D72" s="4" t="s">
        <v>34</v>
      </c>
      <c r="E72" s="4" t="s">
        <v>12</v>
      </c>
      <c r="F72" s="4">
        <v>18</v>
      </c>
      <c r="G72" s="4">
        <v>32197</v>
      </c>
      <c r="H72" s="4">
        <v>5</v>
      </c>
      <c r="I72" s="7">
        <v>46129</v>
      </c>
      <c r="J72" s="7">
        <v>46137</v>
      </c>
      <c r="K72" s="4" t="s">
        <v>79</v>
      </c>
    </row>
    <row r="73" spans="1:11" x14ac:dyDescent="0.3">
      <c r="A73" s="9">
        <v>1072</v>
      </c>
      <c r="B73" s="9" t="s">
        <v>22</v>
      </c>
      <c r="C73" s="4" t="s">
        <v>27</v>
      </c>
      <c r="D73" s="4" t="s">
        <v>34</v>
      </c>
      <c r="E73" s="4" t="s">
        <v>12</v>
      </c>
      <c r="F73" s="4">
        <v>20</v>
      </c>
      <c r="G73" s="4">
        <v>58779</v>
      </c>
      <c r="H73" s="4">
        <v>0</v>
      </c>
      <c r="I73" s="7">
        <v>46035</v>
      </c>
      <c r="J73" s="7">
        <v>46036</v>
      </c>
      <c r="K73" s="4" t="s">
        <v>80</v>
      </c>
    </row>
    <row r="74" spans="1:11" x14ac:dyDescent="0.3">
      <c r="A74" s="9">
        <v>1073</v>
      </c>
      <c r="B74" s="9" t="s">
        <v>55</v>
      </c>
      <c r="C74" s="4" t="s">
        <v>23</v>
      </c>
      <c r="D74" s="4" t="s">
        <v>24</v>
      </c>
      <c r="E74" s="4" t="s">
        <v>11</v>
      </c>
      <c r="F74" s="4">
        <v>4</v>
      </c>
      <c r="G74" s="4">
        <v>2453</v>
      </c>
      <c r="H74" s="4">
        <v>7</v>
      </c>
      <c r="I74" s="7">
        <v>46126</v>
      </c>
      <c r="J74" s="7">
        <v>46129</v>
      </c>
      <c r="K74" s="4" t="s">
        <v>81</v>
      </c>
    </row>
    <row r="75" spans="1:11" x14ac:dyDescent="0.3">
      <c r="A75" s="9">
        <v>1074</v>
      </c>
      <c r="B75" s="9" t="s">
        <v>28</v>
      </c>
      <c r="C75" s="4" t="s">
        <v>31</v>
      </c>
      <c r="D75" s="4" t="s">
        <v>20</v>
      </c>
      <c r="E75" s="4" t="s">
        <v>48</v>
      </c>
      <c r="F75" s="4">
        <v>11</v>
      </c>
      <c r="G75" s="4">
        <v>390</v>
      </c>
      <c r="H75" s="4">
        <v>15</v>
      </c>
      <c r="I75" s="7">
        <v>46114</v>
      </c>
      <c r="J75" s="7">
        <v>46123</v>
      </c>
      <c r="K75" s="4" t="s">
        <v>49</v>
      </c>
    </row>
    <row r="76" spans="1:11" x14ac:dyDescent="0.3">
      <c r="A76" s="9">
        <v>1075</v>
      </c>
      <c r="B76" s="9" t="s">
        <v>41</v>
      </c>
      <c r="C76" s="4" t="s">
        <v>42</v>
      </c>
      <c r="D76" s="4" t="s">
        <v>34</v>
      </c>
      <c r="E76" s="4" t="s">
        <v>12</v>
      </c>
      <c r="F76" s="4">
        <v>4</v>
      </c>
      <c r="G76" s="4">
        <v>64773</v>
      </c>
      <c r="H76" s="4">
        <v>10</v>
      </c>
      <c r="I76" s="7">
        <v>46185</v>
      </c>
      <c r="J76" s="7">
        <v>46186</v>
      </c>
      <c r="K76" s="4" t="s">
        <v>81</v>
      </c>
    </row>
    <row r="77" spans="1:11" x14ac:dyDescent="0.3">
      <c r="A77" s="9">
        <v>1076</v>
      </c>
      <c r="B77" s="9" t="s">
        <v>49</v>
      </c>
      <c r="C77" s="4" t="s">
        <v>23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7">
        <v>46045</v>
      </c>
      <c r="J77" s="7">
        <v>46055</v>
      </c>
      <c r="K77" s="4" t="s">
        <v>49</v>
      </c>
    </row>
    <row r="78" spans="1:11" x14ac:dyDescent="0.3">
      <c r="A78" s="9">
        <v>1077</v>
      </c>
      <c r="B78" s="9" t="s">
        <v>53</v>
      </c>
      <c r="C78" s="4" t="s">
        <v>27</v>
      </c>
      <c r="D78" s="4" t="s">
        <v>20</v>
      </c>
      <c r="E78" s="4" t="s">
        <v>21</v>
      </c>
      <c r="F78" s="4">
        <v>1</v>
      </c>
      <c r="G78" s="4">
        <v>123</v>
      </c>
      <c r="H78" s="4">
        <v>10</v>
      </c>
      <c r="I78" s="7">
        <v>46113</v>
      </c>
      <c r="J78" s="7">
        <v>46121</v>
      </c>
      <c r="K78" s="4" t="s">
        <v>81</v>
      </c>
    </row>
    <row r="79" spans="1:11" x14ac:dyDescent="0.3">
      <c r="A79" s="9">
        <v>1078</v>
      </c>
      <c r="B79" s="9" t="s">
        <v>50</v>
      </c>
      <c r="C79" s="4" t="s">
        <v>23</v>
      </c>
      <c r="D79" s="4" t="s">
        <v>34</v>
      </c>
      <c r="E79" s="4" t="s">
        <v>5</v>
      </c>
      <c r="F79" s="4">
        <v>11</v>
      </c>
      <c r="G79" s="4">
        <v>24278</v>
      </c>
      <c r="H79" s="4">
        <v>12</v>
      </c>
      <c r="I79" s="7">
        <v>46084</v>
      </c>
      <c r="J79" s="7">
        <v>46090</v>
      </c>
      <c r="K79" s="4" t="s">
        <v>49</v>
      </c>
    </row>
    <row r="80" spans="1:11" x14ac:dyDescent="0.3">
      <c r="A80" s="9">
        <v>1079</v>
      </c>
      <c r="B80" s="9" t="s">
        <v>28</v>
      </c>
      <c r="C80" s="4" t="s">
        <v>38</v>
      </c>
      <c r="D80" s="4" t="s">
        <v>34</v>
      </c>
      <c r="E80" s="4" t="s">
        <v>40</v>
      </c>
      <c r="F80" s="4">
        <v>19</v>
      </c>
      <c r="G80" s="4">
        <v>48956</v>
      </c>
      <c r="H80" s="4">
        <v>12</v>
      </c>
      <c r="I80" s="7">
        <v>46170</v>
      </c>
      <c r="J80" s="7">
        <v>46177</v>
      </c>
      <c r="K80" s="4" t="s">
        <v>81</v>
      </c>
    </row>
    <row r="81" spans="1:11" x14ac:dyDescent="0.3">
      <c r="A81" s="9">
        <v>1080</v>
      </c>
      <c r="B81" s="9" t="s">
        <v>25</v>
      </c>
      <c r="C81" s="4" t="s">
        <v>26</v>
      </c>
      <c r="D81" s="4" t="s">
        <v>34</v>
      </c>
      <c r="E81" s="4" t="s">
        <v>40</v>
      </c>
      <c r="F81" s="4">
        <v>12</v>
      </c>
      <c r="G81" s="4">
        <v>54161</v>
      </c>
      <c r="H81" s="4">
        <v>15</v>
      </c>
      <c r="I81" s="7">
        <v>46133</v>
      </c>
      <c r="J81" s="7">
        <v>46143</v>
      </c>
      <c r="K81" s="4" t="s">
        <v>80</v>
      </c>
    </row>
    <row r="82" spans="1:11" x14ac:dyDescent="0.3">
      <c r="A82" s="9">
        <v>1081</v>
      </c>
      <c r="B82" s="9" t="s">
        <v>45</v>
      </c>
      <c r="C82" s="4" t="s">
        <v>19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7">
        <v>46058</v>
      </c>
      <c r="J82" s="7">
        <v>46060</v>
      </c>
      <c r="K82" s="4" t="s">
        <v>81</v>
      </c>
    </row>
    <row r="83" spans="1:11" x14ac:dyDescent="0.3">
      <c r="A83" s="9">
        <v>1082</v>
      </c>
      <c r="B83" s="9" t="s">
        <v>25</v>
      </c>
      <c r="C83" s="4" t="s">
        <v>19</v>
      </c>
      <c r="D83" s="4" t="s">
        <v>20</v>
      </c>
      <c r="E83" s="4" t="s">
        <v>21</v>
      </c>
      <c r="F83" s="4">
        <v>7</v>
      </c>
      <c r="G83" s="4">
        <v>133</v>
      </c>
      <c r="H83" s="4">
        <v>10</v>
      </c>
      <c r="I83" s="7">
        <v>46075</v>
      </c>
      <c r="J83" s="7">
        <v>46085</v>
      </c>
      <c r="K83" s="4" t="s">
        <v>81</v>
      </c>
    </row>
    <row r="84" spans="1:11" x14ac:dyDescent="0.3">
      <c r="A84" s="9">
        <v>1083</v>
      </c>
      <c r="B84" s="9" t="s">
        <v>53</v>
      </c>
      <c r="C84" s="4" t="s">
        <v>33</v>
      </c>
      <c r="D84" s="4" t="s">
        <v>20</v>
      </c>
      <c r="E84" s="4" t="s">
        <v>51</v>
      </c>
      <c r="F84" s="4">
        <v>4</v>
      </c>
      <c r="G84" s="4">
        <v>397</v>
      </c>
      <c r="H84" s="4">
        <v>7</v>
      </c>
      <c r="I84" s="7">
        <v>46185</v>
      </c>
      <c r="J84" s="7">
        <v>46193</v>
      </c>
      <c r="K84" s="4" t="s">
        <v>78</v>
      </c>
    </row>
    <row r="85" spans="1:11" x14ac:dyDescent="0.3">
      <c r="A85" s="9">
        <v>1084</v>
      </c>
      <c r="B85" s="9" t="s">
        <v>47</v>
      </c>
      <c r="C85" s="4" t="s">
        <v>31</v>
      </c>
      <c r="D85" s="4" t="s">
        <v>24</v>
      </c>
      <c r="E85" s="4" t="s">
        <v>8</v>
      </c>
      <c r="F85" s="4">
        <v>4</v>
      </c>
      <c r="G85" s="4">
        <v>6901</v>
      </c>
      <c r="H85" s="4">
        <v>10</v>
      </c>
      <c r="I85" s="7">
        <v>46047</v>
      </c>
      <c r="J85" s="7">
        <v>46057</v>
      </c>
      <c r="K85" s="4" t="s">
        <v>79</v>
      </c>
    </row>
    <row r="86" spans="1:11" x14ac:dyDescent="0.3">
      <c r="A86" s="9">
        <v>1085</v>
      </c>
      <c r="B86" s="9" t="s">
        <v>32</v>
      </c>
      <c r="C86" s="4" t="s">
        <v>38</v>
      </c>
      <c r="D86" s="4" t="s">
        <v>34</v>
      </c>
      <c r="E86" s="4" t="s">
        <v>9</v>
      </c>
      <c r="F86" s="4">
        <v>19</v>
      </c>
      <c r="G86" s="4">
        <v>45307</v>
      </c>
      <c r="H86" s="4">
        <v>12</v>
      </c>
      <c r="I86" s="7">
        <v>46146</v>
      </c>
      <c r="J86" s="7">
        <v>46150</v>
      </c>
      <c r="K86" s="4" t="s">
        <v>80</v>
      </c>
    </row>
    <row r="87" spans="1:11" x14ac:dyDescent="0.3">
      <c r="A87" s="9">
        <v>1086</v>
      </c>
      <c r="B87" s="9" t="s">
        <v>32</v>
      </c>
      <c r="C87" s="4" t="s">
        <v>19</v>
      </c>
      <c r="D87" s="4" t="s">
        <v>20</v>
      </c>
      <c r="E87" s="4" t="s">
        <v>51</v>
      </c>
      <c r="F87" s="4">
        <v>15</v>
      </c>
      <c r="G87" s="4">
        <v>40</v>
      </c>
      <c r="H87" s="4">
        <v>10</v>
      </c>
      <c r="I87" s="7">
        <v>46045</v>
      </c>
      <c r="J87" s="7">
        <v>46049</v>
      </c>
      <c r="K87" s="4" t="s">
        <v>80</v>
      </c>
    </row>
    <row r="88" spans="1:11" x14ac:dyDescent="0.3">
      <c r="A88" s="9">
        <v>1087</v>
      </c>
      <c r="B88" s="9" t="s">
        <v>18</v>
      </c>
      <c r="C88" s="4" t="s">
        <v>31</v>
      </c>
      <c r="D88" s="4" t="s">
        <v>20</v>
      </c>
      <c r="E88" s="4" t="s">
        <v>37</v>
      </c>
      <c r="F88" s="4">
        <v>13</v>
      </c>
      <c r="G88" s="4">
        <v>387</v>
      </c>
      <c r="H88" s="4">
        <v>7</v>
      </c>
      <c r="I88" s="7">
        <v>46171</v>
      </c>
      <c r="J88" s="7">
        <v>46176</v>
      </c>
      <c r="K88" s="4" t="s">
        <v>80</v>
      </c>
    </row>
    <row r="89" spans="1:11" x14ac:dyDescent="0.3">
      <c r="A89" s="9">
        <v>1088</v>
      </c>
      <c r="B89" s="9" t="s">
        <v>39</v>
      </c>
      <c r="C89" s="4" t="s">
        <v>33</v>
      </c>
      <c r="D89" s="4" t="s">
        <v>34</v>
      </c>
      <c r="E89" s="4" t="s">
        <v>40</v>
      </c>
      <c r="F89" s="4">
        <v>20</v>
      </c>
      <c r="G89" s="4">
        <v>41165</v>
      </c>
      <c r="H89" s="4">
        <v>0</v>
      </c>
      <c r="I89" s="7">
        <v>46068</v>
      </c>
      <c r="J89" s="7">
        <v>46069</v>
      </c>
      <c r="K89" s="4" t="s">
        <v>79</v>
      </c>
    </row>
    <row r="90" spans="1:11" x14ac:dyDescent="0.3">
      <c r="A90" s="9">
        <v>1089</v>
      </c>
      <c r="B90" s="9" t="s">
        <v>44</v>
      </c>
      <c r="C90" s="4" t="s">
        <v>19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7">
        <v>46066</v>
      </c>
      <c r="J90" s="7">
        <v>46071</v>
      </c>
      <c r="K90" s="4" t="s">
        <v>80</v>
      </c>
    </row>
    <row r="91" spans="1:11" x14ac:dyDescent="0.3">
      <c r="A91" s="9">
        <v>1090</v>
      </c>
      <c r="B91" s="9" t="s">
        <v>47</v>
      </c>
      <c r="C91" s="4" t="s">
        <v>31</v>
      </c>
      <c r="D91" s="4" t="s">
        <v>34</v>
      </c>
      <c r="E91" s="4" t="s">
        <v>6</v>
      </c>
      <c r="F91" s="4">
        <v>19</v>
      </c>
      <c r="G91" s="4">
        <v>66139</v>
      </c>
      <c r="H91" s="4">
        <v>5</v>
      </c>
      <c r="I91" s="7">
        <v>46088</v>
      </c>
      <c r="J91" s="7">
        <v>46095</v>
      </c>
      <c r="K91" s="4" t="s">
        <v>80</v>
      </c>
    </row>
    <row r="92" spans="1:11" x14ac:dyDescent="0.3">
      <c r="A92" s="9">
        <v>1091</v>
      </c>
      <c r="B92" s="9" t="s">
        <v>53</v>
      </c>
      <c r="C92" s="4" t="s">
        <v>23</v>
      </c>
      <c r="D92" s="4" t="s">
        <v>20</v>
      </c>
      <c r="E92" s="4" t="s">
        <v>51</v>
      </c>
      <c r="F92" s="4">
        <v>2</v>
      </c>
      <c r="G92" s="4">
        <v>305</v>
      </c>
      <c r="H92" s="4">
        <v>0</v>
      </c>
      <c r="I92" s="7">
        <v>46136</v>
      </c>
      <c r="J92" s="7">
        <v>46144</v>
      </c>
      <c r="K92" s="4" t="s">
        <v>78</v>
      </c>
    </row>
    <row r="93" spans="1:11" x14ac:dyDescent="0.3">
      <c r="A93" s="9">
        <v>1092</v>
      </c>
      <c r="B93" s="9" t="s">
        <v>25</v>
      </c>
      <c r="C93" s="4" t="s">
        <v>26</v>
      </c>
      <c r="D93" s="4" t="s">
        <v>34</v>
      </c>
      <c r="E93" s="4" t="s">
        <v>40</v>
      </c>
      <c r="F93" s="4">
        <v>9</v>
      </c>
      <c r="G93" s="4">
        <v>23438</v>
      </c>
      <c r="H93" s="4">
        <v>2</v>
      </c>
      <c r="I93" s="7">
        <v>46049</v>
      </c>
      <c r="J93" s="7">
        <v>46055</v>
      </c>
      <c r="K93" s="4" t="s">
        <v>49</v>
      </c>
    </row>
    <row r="94" spans="1:11" x14ac:dyDescent="0.3">
      <c r="A94" s="9">
        <v>1093</v>
      </c>
      <c r="B94" s="9" t="s">
        <v>45</v>
      </c>
      <c r="C94" s="4" t="s">
        <v>27</v>
      </c>
      <c r="D94" s="4" t="s">
        <v>24</v>
      </c>
      <c r="E94" s="4" t="s">
        <v>10</v>
      </c>
      <c r="F94" s="4">
        <v>6</v>
      </c>
      <c r="G94" s="4">
        <v>8224</v>
      </c>
      <c r="H94" s="4">
        <v>15</v>
      </c>
      <c r="I94" s="7">
        <v>46175</v>
      </c>
      <c r="J94" s="7">
        <v>46185</v>
      </c>
      <c r="K94" s="4" t="s">
        <v>81</v>
      </c>
    </row>
    <row r="95" spans="1:11" x14ac:dyDescent="0.3">
      <c r="A95" s="9">
        <v>1094</v>
      </c>
      <c r="B95" s="9" t="s">
        <v>45</v>
      </c>
      <c r="C95" s="4" t="s">
        <v>42</v>
      </c>
      <c r="D95" s="4" t="s">
        <v>34</v>
      </c>
      <c r="E95" s="4" t="s">
        <v>12</v>
      </c>
      <c r="F95" s="4">
        <v>4</v>
      </c>
      <c r="G95" s="4">
        <v>7073</v>
      </c>
      <c r="H95" s="4">
        <v>0</v>
      </c>
      <c r="I95" s="7">
        <v>46101</v>
      </c>
      <c r="J95" s="7">
        <v>46105</v>
      </c>
      <c r="K95" s="4" t="s">
        <v>49</v>
      </c>
    </row>
    <row r="96" spans="1:11" x14ac:dyDescent="0.3">
      <c r="A96" s="9">
        <v>1095</v>
      </c>
      <c r="B96" s="9" t="s">
        <v>45</v>
      </c>
      <c r="C96" s="4" t="s">
        <v>27</v>
      </c>
      <c r="D96" s="4" t="s">
        <v>34</v>
      </c>
      <c r="E96" s="4" t="s">
        <v>40</v>
      </c>
      <c r="F96" s="4">
        <v>18</v>
      </c>
      <c r="G96" s="4">
        <v>587</v>
      </c>
      <c r="H96" s="4">
        <v>2</v>
      </c>
      <c r="I96" s="7">
        <v>46167</v>
      </c>
      <c r="J96" s="7">
        <v>46171</v>
      </c>
      <c r="K96" s="4" t="s">
        <v>79</v>
      </c>
    </row>
    <row r="97" spans="1:11" x14ac:dyDescent="0.3">
      <c r="A97" s="9">
        <v>1096</v>
      </c>
      <c r="B97" s="9" t="s">
        <v>47</v>
      </c>
      <c r="C97" s="4" t="s">
        <v>23</v>
      </c>
      <c r="D97" s="4" t="s">
        <v>24</v>
      </c>
      <c r="E97" s="4" t="s">
        <v>10</v>
      </c>
      <c r="F97" s="4">
        <v>15</v>
      </c>
      <c r="G97" s="4">
        <v>14724</v>
      </c>
      <c r="H97" s="4">
        <v>15</v>
      </c>
      <c r="I97" s="7">
        <v>46054</v>
      </c>
      <c r="J97" s="7">
        <v>46061</v>
      </c>
      <c r="K97" s="4" t="s">
        <v>79</v>
      </c>
    </row>
    <row r="98" spans="1:11" x14ac:dyDescent="0.3">
      <c r="A98" s="9">
        <v>1097</v>
      </c>
      <c r="B98" s="9" t="s">
        <v>50</v>
      </c>
      <c r="C98" s="4" t="s">
        <v>26</v>
      </c>
      <c r="D98" s="4" t="s">
        <v>34</v>
      </c>
      <c r="E98" s="4" t="s">
        <v>12</v>
      </c>
      <c r="F98" s="4">
        <v>10</v>
      </c>
      <c r="G98" s="4">
        <v>28980</v>
      </c>
      <c r="H98" s="4">
        <v>10</v>
      </c>
      <c r="I98" s="7">
        <v>46089</v>
      </c>
      <c r="J98" s="7">
        <v>46094</v>
      </c>
      <c r="K98" s="4" t="s">
        <v>80</v>
      </c>
    </row>
    <row r="99" spans="1:11" x14ac:dyDescent="0.3">
      <c r="A99" s="9">
        <v>1098</v>
      </c>
      <c r="B99" s="9" t="s">
        <v>28</v>
      </c>
      <c r="C99" s="4" t="s">
        <v>27</v>
      </c>
      <c r="D99" s="4" t="s">
        <v>20</v>
      </c>
      <c r="E99" s="4" t="s">
        <v>51</v>
      </c>
      <c r="F99" s="4">
        <v>17</v>
      </c>
      <c r="G99" s="4">
        <v>345</v>
      </c>
      <c r="H99" s="4">
        <v>2</v>
      </c>
      <c r="I99" s="7">
        <v>46126</v>
      </c>
      <c r="J99" s="7">
        <v>46127</v>
      </c>
      <c r="K99" s="4" t="s">
        <v>81</v>
      </c>
    </row>
    <row r="100" spans="1:11" x14ac:dyDescent="0.3">
      <c r="A100" s="9">
        <v>1099</v>
      </c>
      <c r="B100" s="9" t="s">
        <v>28</v>
      </c>
      <c r="C100" s="4" t="s">
        <v>31</v>
      </c>
      <c r="D100" s="4" t="s">
        <v>24</v>
      </c>
      <c r="E100" s="4" t="s">
        <v>7</v>
      </c>
      <c r="F100" s="4">
        <v>1</v>
      </c>
      <c r="G100" s="4">
        <v>5165</v>
      </c>
      <c r="H100" s="4">
        <v>2</v>
      </c>
      <c r="I100" s="7">
        <v>46058</v>
      </c>
      <c r="J100" s="7">
        <v>46060</v>
      </c>
      <c r="K100" s="4" t="s">
        <v>78</v>
      </c>
    </row>
    <row r="101" spans="1:11" x14ac:dyDescent="0.3">
      <c r="A101" s="9">
        <v>1100</v>
      </c>
      <c r="B101" s="9" t="s">
        <v>18</v>
      </c>
      <c r="C101" s="4" t="s">
        <v>31</v>
      </c>
      <c r="D101" s="4" t="s">
        <v>20</v>
      </c>
      <c r="E101" s="4" t="s">
        <v>21</v>
      </c>
      <c r="F101" s="4">
        <v>11</v>
      </c>
      <c r="G101" s="4">
        <v>296</v>
      </c>
      <c r="H101" s="4">
        <v>10</v>
      </c>
      <c r="I101" s="7">
        <v>46027</v>
      </c>
      <c r="J101" s="7">
        <v>46031</v>
      </c>
      <c r="K101" s="4" t="s">
        <v>81</v>
      </c>
    </row>
    <row r="102" spans="1:11" x14ac:dyDescent="0.3">
      <c r="A102" s="9">
        <v>1101</v>
      </c>
      <c r="B102" s="9" t="s">
        <v>29</v>
      </c>
      <c r="C102" s="4" t="s">
        <v>26</v>
      </c>
      <c r="D102" s="4" t="s">
        <v>34</v>
      </c>
      <c r="E102" s="4" t="s">
        <v>12</v>
      </c>
      <c r="F102" s="4">
        <v>9</v>
      </c>
      <c r="G102" s="4">
        <v>37361</v>
      </c>
      <c r="H102" s="4">
        <v>10</v>
      </c>
      <c r="I102" s="7">
        <v>46141</v>
      </c>
      <c r="J102" s="7">
        <v>46142</v>
      </c>
      <c r="K102" s="4" t="s">
        <v>80</v>
      </c>
    </row>
    <row r="103" spans="1:11" x14ac:dyDescent="0.3">
      <c r="A103" s="9">
        <v>1102</v>
      </c>
      <c r="B103" s="9" t="s">
        <v>52</v>
      </c>
      <c r="C103" s="4" t="s">
        <v>27</v>
      </c>
      <c r="D103" s="4" t="s">
        <v>34</v>
      </c>
      <c r="E103" s="4" t="s">
        <v>6</v>
      </c>
      <c r="F103" s="4">
        <v>12</v>
      </c>
      <c r="G103" s="4">
        <v>63402</v>
      </c>
      <c r="H103" s="4">
        <v>7</v>
      </c>
      <c r="I103" s="7">
        <v>46106</v>
      </c>
      <c r="J103" s="7">
        <v>46113</v>
      </c>
      <c r="K103" s="4" t="s">
        <v>81</v>
      </c>
    </row>
    <row r="104" spans="1:11" x14ac:dyDescent="0.3">
      <c r="A104" s="9">
        <v>1103</v>
      </c>
      <c r="B104" s="9" t="s">
        <v>22</v>
      </c>
      <c r="C104" s="4" t="s">
        <v>19</v>
      </c>
      <c r="D104" s="4" t="s">
        <v>24</v>
      </c>
      <c r="E104" s="4" t="s">
        <v>10</v>
      </c>
      <c r="F104" s="4">
        <v>7</v>
      </c>
      <c r="G104" s="4">
        <v>11925</v>
      </c>
      <c r="H104" s="4">
        <v>5</v>
      </c>
      <c r="I104" s="7">
        <v>46040</v>
      </c>
      <c r="J104" s="7">
        <v>46041</v>
      </c>
      <c r="K104" s="4" t="s">
        <v>49</v>
      </c>
    </row>
    <row r="105" spans="1:11" x14ac:dyDescent="0.3">
      <c r="A105" s="9">
        <v>1104</v>
      </c>
      <c r="B105" s="9" t="s">
        <v>22</v>
      </c>
      <c r="C105" s="4" t="s">
        <v>42</v>
      </c>
      <c r="D105" s="4" t="s">
        <v>24</v>
      </c>
      <c r="E105" s="4" t="s">
        <v>7</v>
      </c>
      <c r="F105" s="4">
        <v>10</v>
      </c>
      <c r="G105" s="4">
        <v>12848</v>
      </c>
      <c r="H105" s="4">
        <v>15</v>
      </c>
      <c r="I105" s="7">
        <v>46060</v>
      </c>
      <c r="J105" s="7">
        <v>46064</v>
      </c>
      <c r="K105" s="4" t="s">
        <v>49</v>
      </c>
    </row>
    <row r="106" spans="1:11" x14ac:dyDescent="0.3">
      <c r="A106" s="9">
        <v>1105</v>
      </c>
      <c r="B106" s="9" t="s">
        <v>56</v>
      </c>
      <c r="C106" s="4" t="s">
        <v>27</v>
      </c>
      <c r="D106" s="4" t="s">
        <v>20</v>
      </c>
      <c r="E106" s="4" t="s">
        <v>48</v>
      </c>
      <c r="F106" s="4">
        <v>2</v>
      </c>
      <c r="G106" s="4">
        <v>493</v>
      </c>
      <c r="H106" s="4">
        <v>12</v>
      </c>
      <c r="I106" s="7">
        <v>46057</v>
      </c>
      <c r="J106" s="7">
        <v>46066</v>
      </c>
      <c r="K106" s="4" t="s">
        <v>81</v>
      </c>
    </row>
    <row r="107" spans="1:11" x14ac:dyDescent="0.3">
      <c r="A107" s="9">
        <v>1106</v>
      </c>
      <c r="B107" s="9" t="s">
        <v>29</v>
      </c>
      <c r="C107" s="4" t="s">
        <v>42</v>
      </c>
      <c r="D107" s="4" t="s">
        <v>24</v>
      </c>
      <c r="E107" s="4" t="s">
        <v>10</v>
      </c>
      <c r="F107" s="4">
        <v>20</v>
      </c>
      <c r="G107" s="4">
        <v>2141</v>
      </c>
      <c r="H107" s="4">
        <v>2</v>
      </c>
      <c r="I107" s="7">
        <v>46091</v>
      </c>
      <c r="J107" s="7">
        <v>46097</v>
      </c>
      <c r="K107" s="4" t="s">
        <v>49</v>
      </c>
    </row>
    <row r="108" spans="1:11" x14ac:dyDescent="0.3">
      <c r="A108" s="9">
        <v>1107</v>
      </c>
      <c r="B108" s="9" t="s">
        <v>50</v>
      </c>
      <c r="C108" s="4" t="s">
        <v>23</v>
      </c>
      <c r="D108" s="4" t="s">
        <v>34</v>
      </c>
      <c r="E108" s="4" t="s">
        <v>9</v>
      </c>
      <c r="F108" s="4">
        <v>4</v>
      </c>
      <c r="G108" s="4">
        <v>14291</v>
      </c>
      <c r="H108" s="4">
        <v>2</v>
      </c>
      <c r="I108" s="7">
        <v>46076</v>
      </c>
      <c r="J108" s="7">
        <v>46078</v>
      </c>
      <c r="K108" s="4" t="s">
        <v>78</v>
      </c>
    </row>
    <row r="109" spans="1:11" x14ac:dyDescent="0.3">
      <c r="A109" s="9">
        <v>1108</v>
      </c>
      <c r="B109" s="9" t="s">
        <v>41</v>
      </c>
      <c r="C109" s="4" t="s">
        <v>33</v>
      </c>
      <c r="D109" s="4" t="s">
        <v>24</v>
      </c>
      <c r="E109" s="4" t="s">
        <v>8</v>
      </c>
      <c r="F109" s="4">
        <v>15</v>
      </c>
      <c r="G109" s="4">
        <v>13843</v>
      </c>
      <c r="H109" s="4">
        <v>7</v>
      </c>
      <c r="I109" s="7">
        <v>46119</v>
      </c>
      <c r="J109" s="7">
        <v>46127</v>
      </c>
      <c r="K109" s="4" t="s">
        <v>79</v>
      </c>
    </row>
    <row r="110" spans="1:11" x14ac:dyDescent="0.3">
      <c r="A110" s="9">
        <v>1109</v>
      </c>
      <c r="B110" s="9" t="s">
        <v>25</v>
      </c>
      <c r="C110" s="4" t="s">
        <v>31</v>
      </c>
      <c r="D110" s="4" t="s">
        <v>24</v>
      </c>
      <c r="E110" s="4" t="s">
        <v>43</v>
      </c>
      <c r="F110" s="4">
        <v>19</v>
      </c>
      <c r="G110" s="4">
        <v>6512</v>
      </c>
      <c r="H110" s="4">
        <v>10</v>
      </c>
      <c r="I110" s="7">
        <v>46033</v>
      </c>
      <c r="J110" s="7">
        <v>46037</v>
      </c>
      <c r="K110" s="4" t="s">
        <v>79</v>
      </c>
    </row>
    <row r="111" spans="1:11" x14ac:dyDescent="0.3">
      <c r="A111" s="9">
        <v>1110</v>
      </c>
      <c r="B111" s="9" t="s">
        <v>47</v>
      </c>
      <c r="C111" s="4" t="s">
        <v>38</v>
      </c>
      <c r="D111" s="4" t="s">
        <v>24</v>
      </c>
      <c r="E111" s="4" t="s">
        <v>10</v>
      </c>
      <c r="F111" s="4">
        <v>14</v>
      </c>
      <c r="G111" s="4">
        <v>6793</v>
      </c>
      <c r="H111" s="4">
        <v>7</v>
      </c>
      <c r="I111" s="7">
        <v>46077</v>
      </c>
      <c r="J111" s="7">
        <v>46082</v>
      </c>
      <c r="K111" s="4" t="s">
        <v>49</v>
      </c>
    </row>
    <row r="112" spans="1:11" x14ac:dyDescent="0.3">
      <c r="A112" s="9">
        <v>1111</v>
      </c>
      <c r="B112" s="9" t="s">
        <v>45</v>
      </c>
      <c r="C112" s="4" t="s">
        <v>23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7">
        <v>46133</v>
      </c>
      <c r="J112" s="7">
        <v>46141</v>
      </c>
      <c r="K112" s="4" t="s">
        <v>49</v>
      </c>
    </row>
    <row r="113" spans="1:11" x14ac:dyDescent="0.3">
      <c r="A113" s="9">
        <v>1112</v>
      </c>
      <c r="B113" s="9" t="s">
        <v>25</v>
      </c>
      <c r="C113" s="4" t="s">
        <v>42</v>
      </c>
      <c r="D113" s="4" t="s">
        <v>24</v>
      </c>
      <c r="E113" s="4" t="s">
        <v>43</v>
      </c>
      <c r="F113" s="4">
        <v>7</v>
      </c>
      <c r="G113" s="4">
        <v>1959</v>
      </c>
      <c r="H113" s="4">
        <v>15</v>
      </c>
      <c r="I113" s="7">
        <v>46090</v>
      </c>
      <c r="J113" s="7">
        <v>46100</v>
      </c>
      <c r="K113" s="4" t="s">
        <v>78</v>
      </c>
    </row>
    <row r="114" spans="1:11" x14ac:dyDescent="0.3">
      <c r="A114" s="9">
        <v>1113</v>
      </c>
      <c r="B114" s="9" t="s">
        <v>28</v>
      </c>
      <c r="C114" s="4" t="s">
        <v>42</v>
      </c>
      <c r="D114" s="4" t="s">
        <v>24</v>
      </c>
      <c r="E114" s="4" t="s">
        <v>11</v>
      </c>
      <c r="F114" s="4">
        <v>13</v>
      </c>
      <c r="G114" s="4">
        <v>6719</v>
      </c>
      <c r="H114" s="4">
        <v>15</v>
      </c>
      <c r="I114" s="7">
        <v>46076</v>
      </c>
      <c r="J114" s="7">
        <v>46081</v>
      </c>
      <c r="K114" s="4" t="s">
        <v>80</v>
      </c>
    </row>
    <row r="115" spans="1:11" x14ac:dyDescent="0.3">
      <c r="A115" s="9">
        <v>1114</v>
      </c>
      <c r="B115" s="9" t="s">
        <v>22</v>
      </c>
      <c r="C115" s="4" t="s">
        <v>27</v>
      </c>
      <c r="D115" s="4" t="s">
        <v>20</v>
      </c>
      <c r="E115" s="4" t="s">
        <v>48</v>
      </c>
      <c r="F115" s="4">
        <v>13</v>
      </c>
      <c r="G115" s="4">
        <v>32</v>
      </c>
      <c r="H115" s="4">
        <v>15</v>
      </c>
      <c r="I115" s="7">
        <v>46066</v>
      </c>
      <c r="J115" s="7">
        <v>46069</v>
      </c>
      <c r="K115" s="4" t="s">
        <v>78</v>
      </c>
    </row>
    <row r="116" spans="1:11" x14ac:dyDescent="0.3">
      <c r="A116" s="9">
        <v>1115</v>
      </c>
      <c r="B116" s="9" t="s">
        <v>56</v>
      </c>
      <c r="C116" s="4" t="s">
        <v>42</v>
      </c>
      <c r="D116" s="4" t="s">
        <v>20</v>
      </c>
      <c r="E116" s="4" t="s">
        <v>48</v>
      </c>
      <c r="F116" s="4">
        <v>9</v>
      </c>
      <c r="G116" s="4">
        <v>303</v>
      </c>
      <c r="H116" s="4">
        <v>10</v>
      </c>
      <c r="I116" s="7">
        <v>46149</v>
      </c>
      <c r="J116" s="7">
        <v>46157</v>
      </c>
      <c r="K116" s="4" t="s">
        <v>49</v>
      </c>
    </row>
    <row r="117" spans="1:11" x14ac:dyDescent="0.3">
      <c r="A117" s="9">
        <v>1116</v>
      </c>
      <c r="B117" s="9" t="s">
        <v>22</v>
      </c>
      <c r="C117" s="4" t="s">
        <v>27</v>
      </c>
      <c r="D117" s="4" t="s">
        <v>24</v>
      </c>
      <c r="E117" s="4" t="s">
        <v>11</v>
      </c>
      <c r="F117" s="4">
        <v>2</v>
      </c>
      <c r="G117" s="4">
        <v>12692</v>
      </c>
      <c r="H117" s="4">
        <v>15</v>
      </c>
      <c r="I117" s="7">
        <v>46049</v>
      </c>
      <c r="J117" s="7">
        <v>46051</v>
      </c>
      <c r="K117" s="4" t="s">
        <v>78</v>
      </c>
    </row>
    <row r="118" spans="1:11" x14ac:dyDescent="0.3">
      <c r="A118" s="9">
        <v>1117</v>
      </c>
      <c r="B118" s="9" t="s">
        <v>53</v>
      </c>
      <c r="C118" s="4" t="s">
        <v>42</v>
      </c>
      <c r="D118" s="4" t="s">
        <v>34</v>
      </c>
      <c r="E118" s="4" t="s">
        <v>5</v>
      </c>
      <c r="F118" s="4">
        <v>16</v>
      </c>
      <c r="G118" s="4">
        <v>33162</v>
      </c>
      <c r="H118" s="4">
        <v>7</v>
      </c>
      <c r="I118" s="7">
        <v>46147</v>
      </c>
      <c r="J118" s="7">
        <v>46155</v>
      </c>
      <c r="K118" s="4" t="s">
        <v>49</v>
      </c>
    </row>
    <row r="119" spans="1:11" x14ac:dyDescent="0.3">
      <c r="A119" s="9">
        <v>1118</v>
      </c>
      <c r="B119" s="9" t="s">
        <v>25</v>
      </c>
      <c r="C119" s="4" t="s">
        <v>26</v>
      </c>
      <c r="D119" s="4" t="s">
        <v>24</v>
      </c>
      <c r="E119" s="4" t="s">
        <v>10</v>
      </c>
      <c r="F119" s="4">
        <v>18</v>
      </c>
      <c r="G119" s="4">
        <v>9118</v>
      </c>
      <c r="H119" s="4">
        <v>5</v>
      </c>
      <c r="I119" s="7">
        <v>46178</v>
      </c>
      <c r="J119" s="7">
        <v>46187</v>
      </c>
      <c r="K119" s="4" t="s">
        <v>49</v>
      </c>
    </row>
    <row r="120" spans="1:11" x14ac:dyDescent="0.3">
      <c r="A120" s="9">
        <v>1119</v>
      </c>
      <c r="B120" s="9" t="s">
        <v>30</v>
      </c>
      <c r="C120" s="4" t="s">
        <v>42</v>
      </c>
      <c r="D120" s="4" t="s">
        <v>24</v>
      </c>
      <c r="E120" s="4" t="s">
        <v>8</v>
      </c>
      <c r="F120" s="4">
        <v>2</v>
      </c>
      <c r="G120" s="4">
        <v>3706</v>
      </c>
      <c r="H120" s="4">
        <v>5</v>
      </c>
      <c r="I120" s="7">
        <v>46184</v>
      </c>
      <c r="J120" s="7">
        <v>46192</v>
      </c>
      <c r="K120" s="4" t="s">
        <v>81</v>
      </c>
    </row>
    <row r="121" spans="1:11" x14ac:dyDescent="0.3">
      <c r="A121" s="9">
        <v>1120</v>
      </c>
      <c r="B121" s="9" t="s">
        <v>32</v>
      </c>
      <c r="C121" s="4" t="s">
        <v>38</v>
      </c>
      <c r="D121" s="4" t="s">
        <v>20</v>
      </c>
      <c r="E121" s="4" t="s">
        <v>36</v>
      </c>
      <c r="F121" s="4">
        <v>10</v>
      </c>
      <c r="G121" s="4">
        <v>438</v>
      </c>
      <c r="H121" s="4">
        <v>10</v>
      </c>
      <c r="I121" s="7">
        <v>46061</v>
      </c>
      <c r="J121" s="7">
        <v>46065</v>
      </c>
      <c r="K121" s="4" t="s">
        <v>81</v>
      </c>
    </row>
    <row r="122" spans="1:11" x14ac:dyDescent="0.3">
      <c r="A122" s="9">
        <v>1121</v>
      </c>
      <c r="B122" s="9" t="s">
        <v>49</v>
      </c>
      <c r="C122" s="4" t="s">
        <v>19</v>
      </c>
      <c r="D122" s="4" t="s">
        <v>34</v>
      </c>
      <c r="E122" s="4" t="s">
        <v>5</v>
      </c>
      <c r="F122" s="4">
        <v>4</v>
      </c>
      <c r="G122" s="4">
        <v>55809</v>
      </c>
      <c r="H122" s="4">
        <v>2</v>
      </c>
      <c r="I122" s="7">
        <v>46103</v>
      </c>
      <c r="J122" s="7">
        <v>46108</v>
      </c>
      <c r="K122" s="4" t="s">
        <v>49</v>
      </c>
    </row>
    <row r="123" spans="1:11" x14ac:dyDescent="0.3">
      <c r="A123" s="9">
        <v>1122</v>
      </c>
      <c r="B123" s="9" t="s">
        <v>39</v>
      </c>
      <c r="C123" s="4" t="s">
        <v>26</v>
      </c>
      <c r="D123" s="4" t="s">
        <v>34</v>
      </c>
      <c r="E123" s="4" t="s">
        <v>5</v>
      </c>
      <c r="F123" s="4">
        <v>14</v>
      </c>
      <c r="G123" s="4">
        <v>49990</v>
      </c>
      <c r="H123" s="4">
        <v>10</v>
      </c>
      <c r="I123" s="7">
        <v>46132</v>
      </c>
      <c r="J123" s="7">
        <v>46135</v>
      </c>
      <c r="K123" s="4" t="s">
        <v>49</v>
      </c>
    </row>
    <row r="124" spans="1:11" x14ac:dyDescent="0.3">
      <c r="A124" s="9">
        <v>1123</v>
      </c>
      <c r="B124" s="9" t="s">
        <v>32</v>
      </c>
      <c r="C124" s="4" t="s">
        <v>31</v>
      </c>
      <c r="D124" s="4" t="s">
        <v>34</v>
      </c>
      <c r="E124" s="4" t="s">
        <v>6</v>
      </c>
      <c r="F124" s="4">
        <v>16</v>
      </c>
      <c r="G124" s="4">
        <v>1332</v>
      </c>
      <c r="H124" s="4">
        <v>7</v>
      </c>
      <c r="I124" s="7">
        <v>46107</v>
      </c>
      <c r="J124" s="7">
        <v>46109</v>
      </c>
      <c r="K124" s="4" t="s">
        <v>49</v>
      </c>
    </row>
    <row r="125" spans="1:11" x14ac:dyDescent="0.3">
      <c r="A125" s="9">
        <v>1124</v>
      </c>
      <c r="B125" s="9" t="s">
        <v>29</v>
      </c>
      <c r="C125" s="4" t="s">
        <v>38</v>
      </c>
      <c r="D125" s="4" t="s">
        <v>24</v>
      </c>
      <c r="E125" s="4" t="s">
        <v>11</v>
      </c>
      <c r="F125" s="4">
        <v>4</v>
      </c>
      <c r="G125" s="4">
        <v>14195</v>
      </c>
      <c r="H125" s="4">
        <v>15</v>
      </c>
      <c r="I125" s="7">
        <v>46182</v>
      </c>
      <c r="J125" s="7">
        <v>46189</v>
      </c>
      <c r="K125" s="4" t="s">
        <v>81</v>
      </c>
    </row>
    <row r="126" spans="1:11" x14ac:dyDescent="0.3">
      <c r="A126" s="9">
        <v>1125</v>
      </c>
      <c r="B126" s="9" t="s">
        <v>47</v>
      </c>
      <c r="C126" s="4" t="s">
        <v>33</v>
      </c>
      <c r="D126" s="4" t="s">
        <v>20</v>
      </c>
      <c r="E126" s="4" t="s">
        <v>21</v>
      </c>
      <c r="F126" s="4">
        <v>6</v>
      </c>
      <c r="G126" s="4">
        <v>30</v>
      </c>
      <c r="H126" s="4">
        <v>2</v>
      </c>
      <c r="I126" s="7">
        <v>46133</v>
      </c>
      <c r="J126" s="7">
        <v>46138</v>
      </c>
      <c r="K126" s="4" t="s">
        <v>80</v>
      </c>
    </row>
    <row r="127" spans="1:11" x14ac:dyDescent="0.3">
      <c r="A127" s="9">
        <v>1126</v>
      </c>
      <c r="B127" s="9" t="s">
        <v>44</v>
      </c>
      <c r="C127" s="4" t="s">
        <v>26</v>
      </c>
      <c r="D127" s="4" t="s">
        <v>34</v>
      </c>
      <c r="E127" s="4" t="s">
        <v>5</v>
      </c>
      <c r="F127" s="4">
        <v>17</v>
      </c>
      <c r="G127" s="4">
        <v>19390</v>
      </c>
      <c r="H127" s="4">
        <v>12</v>
      </c>
      <c r="I127" s="7">
        <v>46201</v>
      </c>
      <c r="J127" s="7">
        <v>46206</v>
      </c>
      <c r="K127" s="4" t="s">
        <v>49</v>
      </c>
    </row>
    <row r="128" spans="1:11" x14ac:dyDescent="0.3">
      <c r="A128" s="9">
        <v>1127</v>
      </c>
      <c r="B128" s="9" t="s">
        <v>28</v>
      </c>
      <c r="C128" s="4" t="s">
        <v>33</v>
      </c>
      <c r="D128" s="4" t="s">
        <v>24</v>
      </c>
      <c r="E128" s="4" t="s">
        <v>8</v>
      </c>
      <c r="F128" s="4">
        <v>15</v>
      </c>
      <c r="G128" s="4">
        <v>11694</v>
      </c>
      <c r="H128" s="4">
        <v>12</v>
      </c>
      <c r="I128" s="7">
        <v>46170</v>
      </c>
      <c r="J128" s="7">
        <v>46179</v>
      </c>
      <c r="K128" s="4" t="s">
        <v>49</v>
      </c>
    </row>
    <row r="129" spans="1:11" x14ac:dyDescent="0.3">
      <c r="A129" s="9">
        <v>1128</v>
      </c>
      <c r="B129" s="9" t="s">
        <v>30</v>
      </c>
      <c r="C129" s="4" t="s">
        <v>26</v>
      </c>
      <c r="D129" s="4" t="s">
        <v>34</v>
      </c>
      <c r="E129" s="4" t="s">
        <v>12</v>
      </c>
      <c r="F129" s="4">
        <v>6</v>
      </c>
      <c r="G129" s="4">
        <v>5001</v>
      </c>
      <c r="H129" s="4">
        <v>7</v>
      </c>
      <c r="I129" s="7">
        <v>46044</v>
      </c>
      <c r="J129" s="7">
        <v>46050</v>
      </c>
      <c r="K129" s="4" t="s">
        <v>49</v>
      </c>
    </row>
    <row r="130" spans="1:11" x14ac:dyDescent="0.3">
      <c r="A130" s="9">
        <v>1129</v>
      </c>
      <c r="B130" s="9" t="s">
        <v>55</v>
      </c>
      <c r="C130" s="4" t="s">
        <v>23</v>
      </c>
      <c r="D130" s="4" t="s">
        <v>20</v>
      </c>
      <c r="E130" s="4" t="s">
        <v>48</v>
      </c>
      <c r="F130" s="4">
        <v>15</v>
      </c>
      <c r="G130" s="4">
        <v>75</v>
      </c>
      <c r="H130" s="4">
        <v>7</v>
      </c>
      <c r="I130" s="7">
        <v>46160</v>
      </c>
      <c r="J130" s="7">
        <v>46164</v>
      </c>
      <c r="K130" s="4" t="s">
        <v>49</v>
      </c>
    </row>
    <row r="131" spans="1:11" x14ac:dyDescent="0.3">
      <c r="A131" s="9">
        <v>1130</v>
      </c>
      <c r="B131" s="9" t="s">
        <v>46</v>
      </c>
      <c r="C131" s="4" t="s">
        <v>33</v>
      </c>
      <c r="D131" s="4" t="s">
        <v>20</v>
      </c>
      <c r="E131" s="4" t="s">
        <v>21</v>
      </c>
      <c r="F131" s="4">
        <v>12</v>
      </c>
      <c r="G131" s="4">
        <v>50</v>
      </c>
      <c r="H131" s="4">
        <v>2</v>
      </c>
      <c r="I131" s="7">
        <v>46125</v>
      </c>
      <c r="J131" s="7">
        <v>46131</v>
      </c>
      <c r="K131" s="4" t="s">
        <v>80</v>
      </c>
    </row>
    <row r="132" spans="1:11" x14ac:dyDescent="0.3">
      <c r="A132" s="9">
        <v>1131</v>
      </c>
      <c r="B132" s="9" t="s">
        <v>25</v>
      </c>
      <c r="C132" s="4" t="s">
        <v>31</v>
      </c>
      <c r="D132" s="4" t="s">
        <v>24</v>
      </c>
      <c r="E132" s="4" t="s">
        <v>10</v>
      </c>
      <c r="F132" s="4">
        <v>13</v>
      </c>
      <c r="G132" s="4">
        <v>3083</v>
      </c>
      <c r="H132" s="4">
        <v>7</v>
      </c>
      <c r="I132" s="7">
        <v>46168</v>
      </c>
      <c r="J132" s="7">
        <v>46173</v>
      </c>
      <c r="K132" s="4" t="s">
        <v>81</v>
      </c>
    </row>
    <row r="133" spans="1:11" x14ac:dyDescent="0.3">
      <c r="A133" s="9">
        <v>1132</v>
      </c>
      <c r="B133" s="9" t="s">
        <v>18</v>
      </c>
      <c r="C133" s="4" t="s">
        <v>31</v>
      </c>
      <c r="D133" s="4" t="s">
        <v>20</v>
      </c>
      <c r="E133" s="4" t="s">
        <v>48</v>
      </c>
      <c r="F133" s="4">
        <v>10</v>
      </c>
      <c r="G133" s="4">
        <v>270</v>
      </c>
      <c r="H133" s="4">
        <v>7</v>
      </c>
      <c r="I133" s="7">
        <v>46024</v>
      </c>
      <c r="J133" s="7">
        <v>46034</v>
      </c>
      <c r="K133" s="4" t="s">
        <v>80</v>
      </c>
    </row>
    <row r="134" spans="1:11" x14ac:dyDescent="0.3">
      <c r="A134" s="9">
        <v>1133</v>
      </c>
      <c r="B134" s="9" t="s">
        <v>18</v>
      </c>
      <c r="C134" s="4" t="s">
        <v>19</v>
      </c>
      <c r="D134" s="4" t="s">
        <v>24</v>
      </c>
      <c r="E134" s="4" t="s">
        <v>11</v>
      </c>
      <c r="F134" s="4">
        <v>6</v>
      </c>
      <c r="G134" s="4">
        <v>9037</v>
      </c>
      <c r="H134" s="4">
        <v>2</v>
      </c>
      <c r="I134" s="7">
        <v>46112</v>
      </c>
      <c r="J134" s="7">
        <v>46121</v>
      </c>
      <c r="K134" s="4" t="s">
        <v>81</v>
      </c>
    </row>
    <row r="135" spans="1:11" x14ac:dyDescent="0.3">
      <c r="A135" s="9">
        <v>1134</v>
      </c>
      <c r="B135" s="9" t="s">
        <v>54</v>
      </c>
      <c r="C135" s="4" t="s">
        <v>31</v>
      </c>
      <c r="D135" s="4" t="s">
        <v>34</v>
      </c>
      <c r="E135" s="4" t="s">
        <v>12</v>
      </c>
      <c r="F135" s="4">
        <v>10</v>
      </c>
      <c r="G135" s="4">
        <v>29217</v>
      </c>
      <c r="H135" s="4">
        <v>15</v>
      </c>
      <c r="I135" s="7">
        <v>46148</v>
      </c>
      <c r="J135" s="7">
        <v>46150</v>
      </c>
      <c r="K135" s="4" t="s">
        <v>80</v>
      </c>
    </row>
    <row r="136" spans="1:11" x14ac:dyDescent="0.3">
      <c r="A136" s="9">
        <v>1135</v>
      </c>
      <c r="B136" s="9" t="s">
        <v>47</v>
      </c>
      <c r="C136" s="4" t="s">
        <v>42</v>
      </c>
      <c r="D136" s="4" t="s">
        <v>34</v>
      </c>
      <c r="E136" s="4" t="s">
        <v>5</v>
      </c>
      <c r="F136" s="4">
        <v>14</v>
      </c>
      <c r="G136" s="4">
        <v>68534</v>
      </c>
      <c r="H136" s="4">
        <v>0</v>
      </c>
      <c r="I136" s="7">
        <v>46041</v>
      </c>
      <c r="J136" s="7">
        <v>46042</v>
      </c>
      <c r="K136" s="4" t="s">
        <v>78</v>
      </c>
    </row>
    <row r="137" spans="1:11" x14ac:dyDescent="0.3">
      <c r="A137" s="9">
        <v>1136</v>
      </c>
      <c r="B137" s="9" t="s">
        <v>29</v>
      </c>
      <c r="C137" s="4" t="s">
        <v>42</v>
      </c>
      <c r="D137" s="4" t="s">
        <v>24</v>
      </c>
      <c r="E137" s="4" t="s">
        <v>11</v>
      </c>
      <c r="F137" s="4">
        <v>19</v>
      </c>
      <c r="G137" s="4">
        <v>14528</v>
      </c>
      <c r="H137" s="4">
        <v>12</v>
      </c>
      <c r="I137" s="7">
        <v>46056</v>
      </c>
      <c r="J137" s="7">
        <v>46062</v>
      </c>
      <c r="K137" s="4" t="s">
        <v>80</v>
      </c>
    </row>
    <row r="138" spans="1:11" x14ac:dyDescent="0.3">
      <c r="A138" s="9">
        <v>1137</v>
      </c>
      <c r="B138" s="9" t="s">
        <v>50</v>
      </c>
      <c r="C138" s="4" t="s">
        <v>19</v>
      </c>
      <c r="D138" s="4" t="s">
        <v>20</v>
      </c>
      <c r="E138" s="4" t="s">
        <v>37</v>
      </c>
      <c r="F138" s="4">
        <v>16</v>
      </c>
      <c r="G138" s="4">
        <v>270</v>
      </c>
      <c r="H138" s="4">
        <v>10</v>
      </c>
      <c r="I138" s="7">
        <v>46184</v>
      </c>
      <c r="J138" s="7">
        <v>46190</v>
      </c>
      <c r="K138" s="4" t="s">
        <v>49</v>
      </c>
    </row>
    <row r="139" spans="1:11" x14ac:dyDescent="0.3">
      <c r="A139" s="9">
        <v>1138</v>
      </c>
      <c r="B139" s="9" t="s">
        <v>53</v>
      </c>
      <c r="C139" s="4" t="s">
        <v>42</v>
      </c>
      <c r="D139" s="4" t="s">
        <v>24</v>
      </c>
      <c r="E139" s="4" t="s">
        <v>7</v>
      </c>
      <c r="F139" s="4">
        <v>5</v>
      </c>
      <c r="G139" s="4">
        <v>14466</v>
      </c>
      <c r="H139" s="4">
        <v>2</v>
      </c>
      <c r="I139" s="7">
        <v>46084</v>
      </c>
      <c r="J139" s="7">
        <v>46092</v>
      </c>
      <c r="K139" s="4" t="s">
        <v>81</v>
      </c>
    </row>
    <row r="140" spans="1:11" x14ac:dyDescent="0.3">
      <c r="A140" s="9">
        <v>1139</v>
      </c>
      <c r="B140" s="9" t="s">
        <v>53</v>
      </c>
      <c r="C140" s="4" t="s">
        <v>33</v>
      </c>
      <c r="D140" s="4" t="s">
        <v>34</v>
      </c>
      <c r="E140" s="4" t="s">
        <v>12</v>
      </c>
      <c r="F140" s="4">
        <v>17</v>
      </c>
      <c r="G140" s="4">
        <v>28839</v>
      </c>
      <c r="H140" s="4">
        <v>10</v>
      </c>
      <c r="I140" s="7">
        <v>46093</v>
      </c>
      <c r="J140" s="7">
        <v>46099</v>
      </c>
      <c r="K140" s="4" t="s">
        <v>78</v>
      </c>
    </row>
    <row r="141" spans="1:11" x14ac:dyDescent="0.3">
      <c r="A141" s="9">
        <v>1140</v>
      </c>
      <c r="B141" s="9" t="s">
        <v>54</v>
      </c>
      <c r="C141" s="4" t="s">
        <v>38</v>
      </c>
      <c r="D141" s="4" t="s">
        <v>34</v>
      </c>
      <c r="E141" s="4" t="s">
        <v>40</v>
      </c>
      <c r="F141" s="4">
        <v>5</v>
      </c>
      <c r="G141" s="4">
        <v>68012</v>
      </c>
      <c r="H141" s="4">
        <v>5</v>
      </c>
      <c r="I141" s="7">
        <v>46061</v>
      </c>
      <c r="J141" s="7">
        <v>46065</v>
      </c>
      <c r="K141" s="4" t="s">
        <v>78</v>
      </c>
    </row>
    <row r="142" spans="1:11" x14ac:dyDescent="0.3">
      <c r="A142" s="9">
        <v>1141</v>
      </c>
      <c r="B142" s="9" t="s">
        <v>18</v>
      </c>
      <c r="C142" s="4" t="s">
        <v>23</v>
      </c>
      <c r="D142" s="4" t="s">
        <v>24</v>
      </c>
      <c r="E142" s="4" t="s">
        <v>43</v>
      </c>
      <c r="F142" s="4">
        <v>20</v>
      </c>
      <c r="G142" s="4">
        <v>6835</v>
      </c>
      <c r="H142" s="4">
        <v>2</v>
      </c>
      <c r="I142" s="7">
        <v>46043</v>
      </c>
      <c r="J142" s="7">
        <v>46053</v>
      </c>
      <c r="K142" s="4" t="s">
        <v>78</v>
      </c>
    </row>
    <row r="143" spans="1:11" x14ac:dyDescent="0.3">
      <c r="A143" s="9">
        <v>1142</v>
      </c>
      <c r="B143" s="9" t="s">
        <v>39</v>
      </c>
      <c r="C143" s="4" t="s">
        <v>27</v>
      </c>
      <c r="D143" s="4" t="s">
        <v>34</v>
      </c>
      <c r="E143" s="4" t="s">
        <v>9</v>
      </c>
      <c r="F143" s="4">
        <v>9</v>
      </c>
      <c r="G143" s="4">
        <v>59788</v>
      </c>
      <c r="H143" s="4">
        <v>7</v>
      </c>
      <c r="I143" s="7">
        <v>46064</v>
      </c>
      <c r="J143" s="7">
        <v>46071</v>
      </c>
      <c r="K143" s="4" t="s">
        <v>49</v>
      </c>
    </row>
    <row r="144" spans="1:11" x14ac:dyDescent="0.3">
      <c r="A144" s="9">
        <v>1143</v>
      </c>
      <c r="B144" s="9" t="s">
        <v>49</v>
      </c>
      <c r="C144" s="4" t="s">
        <v>23</v>
      </c>
      <c r="D144" s="4" t="s">
        <v>20</v>
      </c>
      <c r="E144" s="4" t="s">
        <v>37</v>
      </c>
      <c r="F144" s="4">
        <v>13</v>
      </c>
      <c r="G144" s="4">
        <v>456</v>
      </c>
      <c r="H144" s="4">
        <v>2</v>
      </c>
      <c r="I144" s="7">
        <v>46160</v>
      </c>
      <c r="J144" s="7">
        <v>46167</v>
      </c>
      <c r="K144" s="4" t="s">
        <v>80</v>
      </c>
    </row>
    <row r="145" spans="1:11" x14ac:dyDescent="0.3">
      <c r="A145" s="9">
        <v>1144</v>
      </c>
      <c r="B145" s="9" t="s">
        <v>41</v>
      </c>
      <c r="C145" s="4" t="s">
        <v>27</v>
      </c>
      <c r="D145" s="4" t="s">
        <v>20</v>
      </c>
      <c r="E145" s="4" t="s">
        <v>21</v>
      </c>
      <c r="F145" s="4">
        <v>16</v>
      </c>
      <c r="G145" s="4">
        <v>219</v>
      </c>
      <c r="H145" s="4">
        <v>7</v>
      </c>
      <c r="I145" s="7">
        <v>46138</v>
      </c>
      <c r="J145" s="7">
        <v>46140</v>
      </c>
      <c r="K145" s="4" t="s">
        <v>79</v>
      </c>
    </row>
    <row r="146" spans="1:11" x14ac:dyDescent="0.3">
      <c r="A146" s="9">
        <v>1145</v>
      </c>
      <c r="B146" s="9" t="s">
        <v>41</v>
      </c>
      <c r="C146" s="4" t="s">
        <v>33</v>
      </c>
      <c r="D146" s="4" t="s">
        <v>34</v>
      </c>
      <c r="E146" s="4" t="s">
        <v>5</v>
      </c>
      <c r="F146" s="4">
        <v>2</v>
      </c>
      <c r="G146" s="4">
        <v>34429</v>
      </c>
      <c r="H146" s="4">
        <v>12</v>
      </c>
      <c r="I146" s="7">
        <v>46102</v>
      </c>
      <c r="J146" s="7">
        <v>46112</v>
      </c>
      <c r="K146" s="4" t="s">
        <v>80</v>
      </c>
    </row>
    <row r="147" spans="1:11" x14ac:dyDescent="0.3">
      <c r="A147" s="9">
        <v>1146</v>
      </c>
      <c r="B147" s="9" t="s">
        <v>22</v>
      </c>
      <c r="C147" s="4" t="s">
        <v>42</v>
      </c>
      <c r="D147" s="4" t="s">
        <v>34</v>
      </c>
      <c r="E147" s="4" t="s">
        <v>6</v>
      </c>
      <c r="F147" s="4">
        <v>7</v>
      </c>
      <c r="G147" s="4">
        <v>68217</v>
      </c>
      <c r="H147" s="4">
        <v>0</v>
      </c>
      <c r="I147" s="7">
        <v>46190</v>
      </c>
      <c r="J147" s="7">
        <v>46197</v>
      </c>
      <c r="K147" s="4" t="s">
        <v>49</v>
      </c>
    </row>
    <row r="148" spans="1:11" x14ac:dyDescent="0.3">
      <c r="A148" s="9">
        <v>1147</v>
      </c>
      <c r="B148" s="9" t="s">
        <v>18</v>
      </c>
      <c r="C148" s="4" t="s">
        <v>26</v>
      </c>
      <c r="D148" s="4" t="s">
        <v>24</v>
      </c>
      <c r="E148" s="4" t="s">
        <v>8</v>
      </c>
      <c r="F148" s="4">
        <v>7</v>
      </c>
      <c r="G148" s="4">
        <v>9581</v>
      </c>
      <c r="H148" s="4">
        <v>5</v>
      </c>
      <c r="I148" s="7">
        <v>46154</v>
      </c>
      <c r="J148" s="7">
        <v>46155</v>
      </c>
      <c r="K148" s="4" t="s">
        <v>79</v>
      </c>
    </row>
    <row r="149" spans="1:11" x14ac:dyDescent="0.3">
      <c r="A149" s="9">
        <v>1148</v>
      </c>
      <c r="B149" s="9" t="s">
        <v>56</v>
      </c>
      <c r="C149" s="4" t="s">
        <v>33</v>
      </c>
      <c r="D149" s="4" t="s">
        <v>24</v>
      </c>
      <c r="E149" s="4" t="s">
        <v>8</v>
      </c>
      <c r="F149" s="4">
        <v>11</v>
      </c>
      <c r="G149" s="4">
        <v>3023</v>
      </c>
      <c r="H149" s="4">
        <v>7</v>
      </c>
      <c r="I149" s="7">
        <v>46030</v>
      </c>
      <c r="J149" s="7">
        <v>46032</v>
      </c>
      <c r="K149" s="4" t="s">
        <v>80</v>
      </c>
    </row>
    <row r="150" spans="1:11" x14ac:dyDescent="0.3">
      <c r="A150" s="9">
        <v>1149</v>
      </c>
      <c r="B150" s="9" t="s">
        <v>28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7">
        <v>46053</v>
      </c>
      <c r="J150" s="7">
        <v>46054</v>
      </c>
      <c r="K150" s="4" t="s">
        <v>49</v>
      </c>
    </row>
    <row r="151" spans="1:11" x14ac:dyDescent="0.3">
      <c r="A151" s="9">
        <v>1150</v>
      </c>
      <c r="B151" s="9" t="s">
        <v>41</v>
      </c>
      <c r="C151" s="4" t="s">
        <v>19</v>
      </c>
      <c r="D151" s="4" t="s">
        <v>24</v>
      </c>
      <c r="E151" s="4" t="s">
        <v>11</v>
      </c>
      <c r="F151" s="4">
        <v>10</v>
      </c>
      <c r="G151" s="4">
        <v>5323</v>
      </c>
      <c r="H151" s="4">
        <v>7</v>
      </c>
      <c r="I151" s="7">
        <v>46143</v>
      </c>
      <c r="J151" s="7">
        <v>46153</v>
      </c>
      <c r="K151" s="4" t="s">
        <v>80</v>
      </c>
    </row>
    <row r="152" spans="1:11" x14ac:dyDescent="0.3">
      <c r="A152" s="9">
        <v>1151</v>
      </c>
      <c r="B152" s="9" t="s">
        <v>44</v>
      </c>
      <c r="C152" s="4" t="s">
        <v>42</v>
      </c>
      <c r="D152" s="4" t="s">
        <v>20</v>
      </c>
      <c r="E152" s="4" t="s">
        <v>48</v>
      </c>
      <c r="F152" s="4">
        <v>20</v>
      </c>
      <c r="G152" s="4">
        <v>272</v>
      </c>
      <c r="H152" s="4">
        <v>15</v>
      </c>
      <c r="I152" s="7">
        <v>46024</v>
      </c>
      <c r="J152" s="7">
        <v>46029</v>
      </c>
      <c r="K152" s="4" t="s">
        <v>81</v>
      </c>
    </row>
    <row r="153" spans="1:11" x14ac:dyDescent="0.3">
      <c r="A153" s="9">
        <v>1152</v>
      </c>
      <c r="B153" s="9" t="s">
        <v>29</v>
      </c>
      <c r="C153" s="4" t="s">
        <v>31</v>
      </c>
      <c r="D153" s="4" t="s">
        <v>34</v>
      </c>
      <c r="E153" s="4" t="s">
        <v>12</v>
      </c>
      <c r="F153" s="4">
        <v>14</v>
      </c>
      <c r="G153" s="4">
        <v>8150</v>
      </c>
      <c r="H153" s="4">
        <v>10</v>
      </c>
      <c r="I153" s="7">
        <v>46062</v>
      </c>
      <c r="J153" s="7">
        <v>46070</v>
      </c>
      <c r="K153" s="4" t="s">
        <v>78</v>
      </c>
    </row>
    <row r="154" spans="1:11" x14ac:dyDescent="0.3">
      <c r="A154" s="9">
        <v>1153</v>
      </c>
      <c r="B154" s="9" t="s">
        <v>41</v>
      </c>
      <c r="C154" s="4" t="s">
        <v>27</v>
      </c>
      <c r="D154" s="4" t="s">
        <v>24</v>
      </c>
      <c r="E154" s="4" t="s">
        <v>10</v>
      </c>
      <c r="F154" s="4">
        <v>19</v>
      </c>
      <c r="G154" s="4">
        <v>10273</v>
      </c>
      <c r="H154" s="4">
        <v>12</v>
      </c>
      <c r="I154" s="7">
        <v>46069</v>
      </c>
      <c r="J154" s="7">
        <v>46072</v>
      </c>
      <c r="K154" s="4" t="s">
        <v>49</v>
      </c>
    </row>
    <row r="155" spans="1:11" x14ac:dyDescent="0.3">
      <c r="A155" s="9">
        <v>1154</v>
      </c>
      <c r="B155" s="9" t="s">
        <v>32</v>
      </c>
      <c r="C155" s="4" t="s">
        <v>23</v>
      </c>
      <c r="D155" s="4" t="s">
        <v>24</v>
      </c>
      <c r="E155" s="4" t="s">
        <v>11</v>
      </c>
      <c r="F155" s="4">
        <v>15</v>
      </c>
      <c r="G155" s="4">
        <v>6101</v>
      </c>
      <c r="H155" s="4">
        <v>0</v>
      </c>
      <c r="I155" s="7">
        <v>46178</v>
      </c>
      <c r="J155" s="7">
        <v>46183</v>
      </c>
      <c r="K155" s="4" t="s">
        <v>81</v>
      </c>
    </row>
    <row r="156" spans="1:11" x14ac:dyDescent="0.3">
      <c r="A156" s="9">
        <v>1155</v>
      </c>
      <c r="B156" s="9" t="s">
        <v>18</v>
      </c>
      <c r="C156" s="4" t="s">
        <v>31</v>
      </c>
      <c r="D156" s="4" t="s">
        <v>24</v>
      </c>
      <c r="E156" s="4" t="s">
        <v>8</v>
      </c>
      <c r="F156" s="4">
        <v>13</v>
      </c>
      <c r="G156" s="4">
        <v>4341</v>
      </c>
      <c r="H156" s="4">
        <v>15</v>
      </c>
      <c r="I156" s="7">
        <v>46093</v>
      </c>
      <c r="J156" s="7">
        <v>46096</v>
      </c>
      <c r="K156" s="4" t="s">
        <v>80</v>
      </c>
    </row>
    <row r="157" spans="1:11" x14ac:dyDescent="0.3">
      <c r="A157" s="9">
        <v>1156</v>
      </c>
      <c r="B157" s="9" t="s">
        <v>52</v>
      </c>
      <c r="C157" s="4" t="s">
        <v>38</v>
      </c>
      <c r="D157" s="4" t="s">
        <v>20</v>
      </c>
      <c r="E157" s="4" t="s">
        <v>36</v>
      </c>
      <c r="F157" s="4">
        <v>5</v>
      </c>
      <c r="G157" s="4">
        <v>466</v>
      </c>
      <c r="H157" s="4">
        <v>15</v>
      </c>
      <c r="I157" s="7">
        <v>46025</v>
      </c>
      <c r="J157" s="7">
        <v>46029</v>
      </c>
      <c r="K157" s="4" t="s">
        <v>78</v>
      </c>
    </row>
    <row r="158" spans="1:11" x14ac:dyDescent="0.3">
      <c r="A158" s="9">
        <v>1157</v>
      </c>
      <c r="B158" s="9" t="s">
        <v>50</v>
      </c>
      <c r="C158" s="4" t="s">
        <v>33</v>
      </c>
      <c r="D158" s="4" t="s">
        <v>20</v>
      </c>
      <c r="E158" s="4" t="s">
        <v>48</v>
      </c>
      <c r="F158" s="4">
        <v>3</v>
      </c>
      <c r="G158" s="4">
        <v>203</v>
      </c>
      <c r="H158" s="4">
        <v>15</v>
      </c>
      <c r="I158" s="7">
        <v>46076</v>
      </c>
      <c r="J158" s="7">
        <v>46080</v>
      </c>
      <c r="K158" s="4" t="s">
        <v>49</v>
      </c>
    </row>
    <row r="159" spans="1:11" x14ac:dyDescent="0.3">
      <c r="A159" s="9">
        <v>1158</v>
      </c>
      <c r="B159" s="9" t="s">
        <v>28</v>
      </c>
      <c r="C159" s="4" t="s">
        <v>38</v>
      </c>
      <c r="D159" s="4" t="s">
        <v>34</v>
      </c>
      <c r="E159" s="4" t="s">
        <v>40</v>
      </c>
      <c r="F159" s="4">
        <v>13</v>
      </c>
      <c r="G159" s="4">
        <v>12518</v>
      </c>
      <c r="H159" s="4">
        <v>2</v>
      </c>
      <c r="I159" s="7">
        <v>46079</v>
      </c>
      <c r="J159" s="7">
        <v>46082</v>
      </c>
      <c r="K159" s="4" t="s">
        <v>81</v>
      </c>
    </row>
    <row r="160" spans="1:11" x14ac:dyDescent="0.3">
      <c r="A160" s="9">
        <v>1159</v>
      </c>
      <c r="B160" s="9" t="s">
        <v>32</v>
      </c>
      <c r="C160" s="4" t="s">
        <v>42</v>
      </c>
      <c r="D160" s="4" t="s">
        <v>24</v>
      </c>
      <c r="E160" s="4" t="s">
        <v>8</v>
      </c>
      <c r="F160" s="4">
        <v>20</v>
      </c>
      <c r="G160" s="4">
        <v>14000</v>
      </c>
      <c r="H160" s="4">
        <v>15</v>
      </c>
      <c r="I160" s="7">
        <v>46184</v>
      </c>
      <c r="J160" s="7">
        <v>46187</v>
      </c>
      <c r="K160" s="4" t="s">
        <v>78</v>
      </c>
    </row>
    <row r="161" spans="1:11" x14ac:dyDescent="0.3">
      <c r="A161" s="9">
        <v>1160</v>
      </c>
      <c r="B161" s="9" t="s">
        <v>56</v>
      </c>
      <c r="C161" s="4" t="s">
        <v>26</v>
      </c>
      <c r="D161" s="4" t="s">
        <v>34</v>
      </c>
      <c r="E161" s="4" t="s">
        <v>5</v>
      </c>
      <c r="F161" s="4">
        <v>7</v>
      </c>
      <c r="G161" s="4">
        <v>53986</v>
      </c>
      <c r="H161" s="4">
        <v>10</v>
      </c>
      <c r="I161" s="7">
        <v>46142</v>
      </c>
      <c r="J161" s="7">
        <v>46147</v>
      </c>
      <c r="K161" s="4" t="s">
        <v>81</v>
      </c>
    </row>
    <row r="162" spans="1:11" x14ac:dyDescent="0.3">
      <c r="A162" s="9">
        <v>1161</v>
      </c>
      <c r="B162" s="9" t="s">
        <v>29</v>
      </c>
      <c r="C162" s="4" t="s">
        <v>27</v>
      </c>
      <c r="D162" s="4" t="s">
        <v>34</v>
      </c>
      <c r="E162" s="4" t="s">
        <v>5</v>
      </c>
      <c r="F162" s="4">
        <v>4</v>
      </c>
      <c r="G162" s="4">
        <v>54659</v>
      </c>
      <c r="H162" s="4">
        <v>7</v>
      </c>
      <c r="I162" s="7">
        <v>46105</v>
      </c>
      <c r="J162" s="7">
        <v>46109</v>
      </c>
      <c r="K162" s="4" t="s">
        <v>79</v>
      </c>
    </row>
    <row r="163" spans="1:11" x14ac:dyDescent="0.3">
      <c r="A163" s="9">
        <v>1162</v>
      </c>
      <c r="B163" s="9" t="s">
        <v>54</v>
      </c>
      <c r="C163" s="4" t="s">
        <v>31</v>
      </c>
      <c r="D163" s="4" t="s">
        <v>34</v>
      </c>
      <c r="E163" s="4" t="s">
        <v>6</v>
      </c>
      <c r="F163" s="4">
        <v>2</v>
      </c>
      <c r="G163" s="4">
        <v>28176</v>
      </c>
      <c r="H163" s="4">
        <v>10</v>
      </c>
      <c r="I163" s="7">
        <v>46100</v>
      </c>
      <c r="J163" s="7">
        <v>46101</v>
      </c>
      <c r="K163" s="4" t="s">
        <v>79</v>
      </c>
    </row>
    <row r="164" spans="1:11" x14ac:dyDescent="0.3">
      <c r="A164" s="9">
        <v>1163</v>
      </c>
      <c r="B164" s="9" t="s">
        <v>49</v>
      </c>
      <c r="C164" s="4" t="s">
        <v>38</v>
      </c>
      <c r="D164" s="4" t="s">
        <v>34</v>
      </c>
      <c r="E164" s="4" t="s">
        <v>5</v>
      </c>
      <c r="F164" s="4">
        <v>9</v>
      </c>
      <c r="G164" s="4">
        <v>62440</v>
      </c>
      <c r="H164" s="4">
        <v>2</v>
      </c>
      <c r="I164" s="7">
        <v>46081</v>
      </c>
      <c r="J164" s="7">
        <v>46086</v>
      </c>
      <c r="K164" s="4" t="s">
        <v>49</v>
      </c>
    </row>
    <row r="165" spans="1:11" x14ac:dyDescent="0.3">
      <c r="A165" s="9">
        <v>1164</v>
      </c>
      <c r="B165" s="9" t="s">
        <v>39</v>
      </c>
      <c r="C165" s="4" t="s">
        <v>42</v>
      </c>
      <c r="D165" s="4" t="s">
        <v>34</v>
      </c>
      <c r="E165" s="4" t="s">
        <v>12</v>
      </c>
      <c r="F165" s="4">
        <v>7</v>
      </c>
      <c r="G165" s="4">
        <v>24615</v>
      </c>
      <c r="H165" s="4">
        <v>12</v>
      </c>
      <c r="I165" s="7">
        <v>46196</v>
      </c>
      <c r="J165" s="7">
        <v>46203</v>
      </c>
      <c r="K165" s="4" t="s">
        <v>81</v>
      </c>
    </row>
    <row r="166" spans="1:11" x14ac:dyDescent="0.3">
      <c r="A166" s="9">
        <v>1165</v>
      </c>
      <c r="B166" s="9" t="s">
        <v>46</v>
      </c>
      <c r="C166" s="4" t="s">
        <v>27</v>
      </c>
      <c r="D166" s="4" t="s">
        <v>20</v>
      </c>
      <c r="E166" s="4" t="s">
        <v>37</v>
      </c>
      <c r="F166" s="4">
        <v>1</v>
      </c>
      <c r="G166" s="4">
        <v>427</v>
      </c>
      <c r="H166" s="4">
        <v>0</v>
      </c>
      <c r="I166" s="7">
        <v>46042</v>
      </c>
      <c r="J166" s="7">
        <v>46050</v>
      </c>
      <c r="K166" s="4" t="s">
        <v>81</v>
      </c>
    </row>
    <row r="167" spans="1:11" x14ac:dyDescent="0.3">
      <c r="A167" s="9">
        <v>1166</v>
      </c>
      <c r="B167" s="9" t="s">
        <v>32</v>
      </c>
      <c r="C167" s="4" t="s">
        <v>31</v>
      </c>
      <c r="D167" s="4" t="s">
        <v>20</v>
      </c>
      <c r="E167" s="4" t="s">
        <v>37</v>
      </c>
      <c r="F167" s="4">
        <v>1</v>
      </c>
      <c r="G167" s="4">
        <v>396</v>
      </c>
      <c r="H167" s="4">
        <v>5</v>
      </c>
      <c r="I167" s="7">
        <v>46092</v>
      </c>
      <c r="J167" s="7">
        <v>46093</v>
      </c>
      <c r="K167" s="4" t="s">
        <v>79</v>
      </c>
    </row>
    <row r="168" spans="1:11" x14ac:dyDescent="0.3">
      <c r="A168" s="9">
        <v>1167</v>
      </c>
      <c r="B168" s="9" t="s">
        <v>46</v>
      </c>
      <c r="C168" s="4" t="s">
        <v>23</v>
      </c>
      <c r="D168" s="4" t="s">
        <v>20</v>
      </c>
      <c r="E168" s="4" t="s">
        <v>37</v>
      </c>
      <c r="F168" s="4">
        <v>20</v>
      </c>
      <c r="G168" s="4">
        <v>251</v>
      </c>
      <c r="H168" s="4">
        <v>5</v>
      </c>
      <c r="I168" s="7">
        <v>46160</v>
      </c>
      <c r="J168" s="7">
        <v>46170</v>
      </c>
      <c r="K168" s="4" t="s">
        <v>49</v>
      </c>
    </row>
    <row r="169" spans="1:11" x14ac:dyDescent="0.3">
      <c r="A169" s="9">
        <v>1168</v>
      </c>
      <c r="B169" s="9" t="s">
        <v>52</v>
      </c>
      <c r="C169" s="4" t="s">
        <v>19</v>
      </c>
      <c r="D169" s="4" t="s">
        <v>20</v>
      </c>
      <c r="E169" s="4" t="s">
        <v>37</v>
      </c>
      <c r="F169" s="4">
        <v>18</v>
      </c>
      <c r="G169" s="4">
        <v>335</v>
      </c>
      <c r="H169" s="4">
        <v>15</v>
      </c>
      <c r="I169" s="7">
        <v>46130</v>
      </c>
      <c r="J169" s="7">
        <v>46140</v>
      </c>
      <c r="K169" s="4" t="s">
        <v>49</v>
      </c>
    </row>
    <row r="170" spans="1:11" x14ac:dyDescent="0.3">
      <c r="A170" s="9">
        <v>1169</v>
      </c>
      <c r="B170" s="9" t="s">
        <v>45</v>
      </c>
      <c r="C170" s="4" t="s">
        <v>19</v>
      </c>
      <c r="D170" s="4" t="s">
        <v>24</v>
      </c>
      <c r="E170" s="4" t="s">
        <v>11</v>
      </c>
      <c r="F170" s="4">
        <v>12</v>
      </c>
      <c r="G170" s="4">
        <v>12104</v>
      </c>
      <c r="H170" s="4">
        <v>7</v>
      </c>
      <c r="I170" s="7">
        <v>46121</v>
      </c>
      <c r="J170" s="7">
        <v>46130</v>
      </c>
      <c r="K170" s="4" t="s">
        <v>80</v>
      </c>
    </row>
    <row r="171" spans="1:11" x14ac:dyDescent="0.3">
      <c r="A171" s="9">
        <v>1170</v>
      </c>
      <c r="B171" s="9" t="s">
        <v>47</v>
      </c>
      <c r="C171" s="4" t="s">
        <v>38</v>
      </c>
      <c r="D171" s="4" t="s">
        <v>20</v>
      </c>
      <c r="E171" s="4" t="s">
        <v>21</v>
      </c>
      <c r="F171" s="4">
        <v>6</v>
      </c>
      <c r="G171" s="4">
        <v>339</v>
      </c>
      <c r="H171" s="4">
        <v>12</v>
      </c>
      <c r="I171" s="7">
        <v>46105</v>
      </c>
      <c r="J171" s="7">
        <v>46106</v>
      </c>
      <c r="K171" s="4" t="s">
        <v>80</v>
      </c>
    </row>
    <row r="172" spans="1:11" x14ac:dyDescent="0.3">
      <c r="A172" s="9">
        <v>1171</v>
      </c>
      <c r="B172" s="9" t="s">
        <v>54</v>
      </c>
      <c r="C172" s="4" t="s">
        <v>27</v>
      </c>
      <c r="D172" s="4" t="s">
        <v>20</v>
      </c>
      <c r="E172" s="4" t="s">
        <v>48</v>
      </c>
      <c r="F172" s="4">
        <v>17</v>
      </c>
      <c r="G172" s="4">
        <v>147</v>
      </c>
      <c r="H172" s="4">
        <v>12</v>
      </c>
      <c r="I172" s="7">
        <v>46155</v>
      </c>
      <c r="J172" s="7">
        <v>46160</v>
      </c>
      <c r="K172" s="4" t="s">
        <v>79</v>
      </c>
    </row>
    <row r="173" spans="1:11" x14ac:dyDescent="0.3">
      <c r="A173" s="9">
        <v>1172</v>
      </c>
      <c r="B173" s="9" t="s">
        <v>22</v>
      </c>
      <c r="C173" s="4" t="s">
        <v>19</v>
      </c>
      <c r="D173" s="4" t="s">
        <v>34</v>
      </c>
      <c r="E173" s="4" t="s">
        <v>6</v>
      </c>
      <c r="F173" s="4">
        <v>13</v>
      </c>
      <c r="G173" s="4">
        <v>43163</v>
      </c>
      <c r="H173" s="4">
        <v>12</v>
      </c>
      <c r="I173" s="7">
        <v>46120</v>
      </c>
      <c r="J173" s="7">
        <v>46129</v>
      </c>
      <c r="K173" s="4" t="s">
        <v>80</v>
      </c>
    </row>
    <row r="174" spans="1:11" x14ac:dyDescent="0.3">
      <c r="A174" s="9">
        <v>1173</v>
      </c>
      <c r="B174" s="9" t="s">
        <v>39</v>
      </c>
      <c r="C174" s="4" t="s">
        <v>23</v>
      </c>
      <c r="D174" s="4" t="s">
        <v>20</v>
      </c>
      <c r="E174" s="4" t="s">
        <v>37</v>
      </c>
      <c r="F174" s="4">
        <v>15</v>
      </c>
      <c r="G174" s="4">
        <v>214</v>
      </c>
      <c r="H174" s="4">
        <v>10</v>
      </c>
      <c r="I174" s="7">
        <v>46050</v>
      </c>
      <c r="J174" s="7">
        <v>46060</v>
      </c>
      <c r="K174" s="4" t="s">
        <v>81</v>
      </c>
    </row>
    <row r="175" spans="1:11" x14ac:dyDescent="0.3">
      <c r="A175" s="9">
        <v>1174</v>
      </c>
      <c r="B175" s="9" t="s">
        <v>55</v>
      </c>
      <c r="C175" s="4" t="s">
        <v>38</v>
      </c>
      <c r="D175" s="4" t="s">
        <v>20</v>
      </c>
      <c r="E175" s="4" t="s">
        <v>21</v>
      </c>
      <c r="F175" s="4">
        <v>13</v>
      </c>
      <c r="G175" s="4">
        <v>155</v>
      </c>
      <c r="H175" s="4">
        <v>2</v>
      </c>
      <c r="I175" s="7">
        <v>46066</v>
      </c>
      <c r="J175" s="7">
        <v>46069</v>
      </c>
      <c r="K175" s="4" t="s">
        <v>80</v>
      </c>
    </row>
    <row r="176" spans="1:11" x14ac:dyDescent="0.3">
      <c r="A176" s="9">
        <v>1175</v>
      </c>
      <c r="B176" s="9" t="s">
        <v>28</v>
      </c>
      <c r="C176" s="4" t="s">
        <v>23</v>
      </c>
      <c r="D176" s="4" t="s">
        <v>34</v>
      </c>
      <c r="E176" s="4" t="s">
        <v>40</v>
      </c>
      <c r="F176" s="4">
        <v>10</v>
      </c>
      <c r="G176" s="4">
        <v>20339</v>
      </c>
      <c r="H176" s="4">
        <v>2</v>
      </c>
      <c r="I176" s="7">
        <v>46088</v>
      </c>
      <c r="J176" s="7">
        <v>46094</v>
      </c>
      <c r="K176" s="4" t="s">
        <v>79</v>
      </c>
    </row>
    <row r="177" spans="1:11" x14ac:dyDescent="0.3">
      <c r="A177" s="9">
        <v>1176</v>
      </c>
      <c r="B177" s="9" t="s">
        <v>55</v>
      </c>
      <c r="C177" s="4" t="s">
        <v>38</v>
      </c>
      <c r="D177" s="4" t="s">
        <v>34</v>
      </c>
      <c r="E177" s="4" t="s">
        <v>40</v>
      </c>
      <c r="F177" s="4">
        <v>17</v>
      </c>
      <c r="G177" s="4">
        <v>46937</v>
      </c>
      <c r="H177" s="4">
        <v>12</v>
      </c>
      <c r="I177" s="7">
        <v>46048</v>
      </c>
      <c r="J177" s="7">
        <v>46056</v>
      </c>
      <c r="K177" s="4" t="s">
        <v>49</v>
      </c>
    </row>
    <row r="178" spans="1:11" x14ac:dyDescent="0.3">
      <c r="A178" s="9">
        <v>1177</v>
      </c>
      <c r="B178" s="9" t="s">
        <v>49</v>
      </c>
      <c r="C178" s="4" t="s">
        <v>26</v>
      </c>
      <c r="D178" s="4" t="s">
        <v>24</v>
      </c>
      <c r="E178" s="4" t="s">
        <v>7</v>
      </c>
      <c r="F178" s="4">
        <v>14</v>
      </c>
      <c r="G178" s="4">
        <v>7501</v>
      </c>
      <c r="H178" s="4">
        <v>7</v>
      </c>
      <c r="I178" s="7">
        <v>46169</v>
      </c>
      <c r="J178" s="7">
        <v>46179</v>
      </c>
      <c r="K178" s="4" t="s">
        <v>79</v>
      </c>
    </row>
    <row r="179" spans="1:11" x14ac:dyDescent="0.3">
      <c r="A179" s="9">
        <v>1178</v>
      </c>
      <c r="B179" s="9" t="s">
        <v>54</v>
      </c>
      <c r="C179" s="4" t="s">
        <v>23</v>
      </c>
      <c r="D179" s="4" t="s">
        <v>20</v>
      </c>
      <c r="E179" s="4" t="s">
        <v>48</v>
      </c>
      <c r="F179" s="4">
        <v>5</v>
      </c>
      <c r="G179" s="4">
        <v>50</v>
      </c>
      <c r="H179" s="4">
        <v>0</v>
      </c>
      <c r="I179" s="7">
        <v>46111</v>
      </c>
      <c r="J179" s="7">
        <v>46117</v>
      </c>
      <c r="K179" s="4" t="s">
        <v>79</v>
      </c>
    </row>
    <row r="180" spans="1:11" x14ac:dyDescent="0.3">
      <c r="A180" s="9">
        <v>1179</v>
      </c>
      <c r="B180" s="9" t="s">
        <v>45</v>
      </c>
      <c r="C180" s="4" t="s">
        <v>23</v>
      </c>
      <c r="D180" s="4" t="s">
        <v>34</v>
      </c>
      <c r="E180" s="4" t="s">
        <v>5</v>
      </c>
      <c r="F180" s="4">
        <v>6</v>
      </c>
      <c r="G180" s="4">
        <v>10400</v>
      </c>
      <c r="H180" s="4">
        <v>2</v>
      </c>
      <c r="I180" s="7">
        <v>46155</v>
      </c>
      <c r="J180" s="7">
        <v>46158</v>
      </c>
      <c r="K180" s="4" t="s">
        <v>78</v>
      </c>
    </row>
    <row r="181" spans="1:11" x14ac:dyDescent="0.3">
      <c r="A181" s="9">
        <v>1180</v>
      </c>
      <c r="B181" s="9" t="s">
        <v>39</v>
      </c>
      <c r="C181" s="4" t="s">
        <v>31</v>
      </c>
      <c r="D181" s="4" t="s">
        <v>24</v>
      </c>
      <c r="E181" s="4" t="s">
        <v>8</v>
      </c>
      <c r="F181" s="4">
        <v>2</v>
      </c>
      <c r="G181" s="4">
        <v>2076</v>
      </c>
      <c r="H181" s="4">
        <v>2</v>
      </c>
      <c r="I181" s="7">
        <v>46111</v>
      </c>
      <c r="J181" s="7">
        <v>46121</v>
      </c>
      <c r="K181" s="4" t="s">
        <v>49</v>
      </c>
    </row>
    <row r="182" spans="1:11" x14ac:dyDescent="0.3">
      <c r="A182" s="9">
        <v>1181</v>
      </c>
      <c r="B182" s="9" t="s">
        <v>55</v>
      </c>
      <c r="C182" s="4" t="s">
        <v>33</v>
      </c>
      <c r="D182" s="4" t="s">
        <v>20</v>
      </c>
      <c r="E182" s="4" t="s">
        <v>36</v>
      </c>
      <c r="F182" s="4">
        <v>4</v>
      </c>
      <c r="G182" s="4">
        <v>357</v>
      </c>
      <c r="H182" s="4">
        <v>2</v>
      </c>
      <c r="I182" s="7">
        <v>46033</v>
      </c>
      <c r="J182" s="7">
        <v>46035</v>
      </c>
      <c r="K182" s="4" t="s">
        <v>78</v>
      </c>
    </row>
    <row r="183" spans="1:11" x14ac:dyDescent="0.3">
      <c r="A183" s="9">
        <v>1182</v>
      </c>
      <c r="B183" s="9" t="s">
        <v>41</v>
      </c>
      <c r="C183" s="4" t="s">
        <v>19</v>
      </c>
      <c r="D183" s="4" t="s">
        <v>34</v>
      </c>
      <c r="E183" s="4" t="s">
        <v>5</v>
      </c>
      <c r="F183" s="4">
        <v>8</v>
      </c>
      <c r="G183" s="4">
        <v>66022</v>
      </c>
      <c r="H183" s="4">
        <v>12</v>
      </c>
      <c r="I183" s="7">
        <v>46108</v>
      </c>
      <c r="J183" s="7">
        <v>46114</v>
      </c>
      <c r="K183" s="4" t="s">
        <v>80</v>
      </c>
    </row>
    <row r="184" spans="1:11" x14ac:dyDescent="0.3">
      <c r="A184" s="9">
        <v>1183</v>
      </c>
      <c r="B184" s="9" t="s">
        <v>50</v>
      </c>
      <c r="C184" s="4" t="s">
        <v>42</v>
      </c>
      <c r="D184" s="4" t="s">
        <v>20</v>
      </c>
      <c r="E184" s="4" t="s">
        <v>21</v>
      </c>
      <c r="F184" s="4">
        <v>2</v>
      </c>
      <c r="G184" s="4">
        <v>309</v>
      </c>
      <c r="H184" s="4">
        <v>2</v>
      </c>
      <c r="I184" s="7">
        <v>46109</v>
      </c>
      <c r="J184" s="7">
        <v>46111</v>
      </c>
      <c r="K184" s="4" t="s">
        <v>79</v>
      </c>
    </row>
    <row r="185" spans="1:11" x14ac:dyDescent="0.3">
      <c r="A185" s="9">
        <v>1184</v>
      </c>
      <c r="B185" s="9" t="s">
        <v>39</v>
      </c>
      <c r="C185" s="4" t="s">
        <v>31</v>
      </c>
      <c r="D185" s="4" t="s">
        <v>34</v>
      </c>
      <c r="E185" s="4" t="s">
        <v>5</v>
      </c>
      <c r="F185" s="4">
        <v>12</v>
      </c>
      <c r="G185" s="4">
        <v>50517</v>
      </c>
      <c r="H185" s="4">
        <v>15</v>
      </c>
      <c r="I185" s="7">
        <v>46145</v>
      </c>
      <c r="J185" s="7">
        <v>46153</v>
      </c>
      <c r="K185" s="4" t="s">
        <v>49</v>
      </c>
    </row>
    <row r="186" spans="1:11" x14ac:dyDescent="0.3">
      <c r="A186" s="9">
        <v>1185</v>
      </c>
      <c r="B186" s="9" t="s">
        <v>55</v>
      </c>
      <c r="C186" s="4" t="s">
        <v>26</v>
      </c>
      <c r="D186" s="4" t="s">
        <v>34</v>
      </c>
      <c r="E186" s="4" t="s">
        <v>9</v>
      </c>
      <c r="F186" s="4">
        <v>16</v>
      </c>
      <c r="G186" s="4">
        <v>15536</v>
      </c>
      <c r="H186" s="4">
        <v>2</v>
      </c>
      <c r="I186" s="7">
        <v>46153</v>
      </c>
      <c r="J186" s="7">
        <v>46156</v>
      </c>
      <c r="K186" s="4" t="s">
        <v>78</v>
      </c>
    </row>
    <row r="187" spans="1:11" x14ac:dyDescent="0.3">
      <c r="A187" s="9">
        <v>1186</v>
      </c>
      <c r="B187" s="9" t="s">
        <v>22</v>
      </c>
      <c r="C187" s="4" t="s">
        <v>27</v>
      </c>
      <c r="D187" s="4" t="s">
        <v>24</v>
      </c>
      <c r="E187" s="4" t="s">
        <v>43</v>
      </c>
      <c r="F187" s="4">
        <v>10</v>
      </c>
      <c r="G187" s="4">
        <v>14951</v>
      </c>
      <c r="H187" s="4">
        <v>2</v>
      </c>
      <c r="I187" s="7">
        <v>46188</v>
      </c>
      <c r="J187" s="7">
        <v>46196</v>
      </c>
      <c r="K187" s="4" t="s">
        <v>80</v>
      </c>
    </row>
    <row r="188" spans="1:11" x14ac:dyDescent="0.3">
      <c r="A188" s="9">
        <v>1187</v>
      </c>
      <c r="B188" s="9" t="s">
        <v>52</v>
      </c>
      <c r="C188" s="4" t="s">
        <v>26</v>
      </c>
      <c r="D188" s="4" t="s">
        <v>34</v>
      </c>
      <c r="E188" s="4" t="s">
        <v>6</v>
      </c>
      <c r="F188" s="4">
        <v>18</v>
      </c>
      <c r="G188" s="4">
        <v>68527</v>
      </c>
      <c r="H188" s="4">
        <v>12</v>
      </c>
      <c r="I188" s="7">
        <v>46178</v>
      </c>
      <c r="J188" s="7">
        <v>46184</v>
      </c>
      <c r="K188" s="4" t="s">
        <v>81</v>
      </c>
    </row>
    <row r="189" spans="1:11" x14ac:dyDescent="0.3">
      <c r="A189" s="9">
        <v>1188</v>
      </c>
      <c r="B189" s="9" t="s">
        <v>49</v>
      </c>
      <c r="C189" s="4" t="s">
        <v>26</v>
      </c>
      <c r="D189" s="4" t="s">
        <v>24</v>
      </c>
      <c r="E189" s="4" t="s">
        <v>11</v>
      </c>
      <c r="F189" s="4">
        <v>6</v>
      </c>
      <c r="G189" s="4">
        <v>10368</v>
      </c>
      <c r="H189" s="4">
        <v>7</v>
      </c>
      <c r="I189" s="7">
        <v>46137</v>
      </c>
      <c r="J189" s="7">
        <v>46142</v>
      </c>
      <c r="K189" s="4" t="s">
        <v>78</v>
      </c>
    </row>
    <row r="190" spans="1:11" x14ac:dyDescent="0.3">
      <c r="A190" s="9">
        <v>1189</v>
      </c>
      <c r="B190" s="9" t="s">
        <v>47</v>
      </c>
      <c r="C190" s="4" t="s">
        <v>31</v>
      </c>
      <c r="D190" s="4" t="s">
        <v>24</v>
      </c>
      <c r="E190" s="4" t="s">
        <v>11</v>
      </c>
      <c r="F190" s="4">
        <v>12</v>
      </c>
      <c r="G190" s="4">
        <v>8327</v>
      </c>
      <c r="H190" s="4">
        <v>10</v>
      </c>
      <c r="I190" s="7">
        <v>46184</v>
      </c>
      <c r="J190" s="7">
        <v>46185</v>
      </c>
      <c r="K190" s="4" t="s">
        <v>49</v>
      </c>
    </row>
    <row r="191" spans="1:11" x14ac:dyDescent="0.3">
      <c r="A191" s="9">
        <v>1190</v>
      </c>
      <c r="B191" s="9" t="s">
        <v>54</v>
      </c>
      <c r="C191" s="4" t="s">
        <v>23</v>
      </c>
      <c r="D191" s="4" t="s">
        <v>24</v>
      </c>
      <c r="E191" s="4" t="s">
        <v>8</v>
      </c>
      <c r="F191" s="4">
        <v>4</v>
      </c>
      <c r="G191" s="4">
        <v>10154</v>
      </c>
      <c r="H191" s="4">
        <v>7</v>
      </c>
      <c r="I191" s="7">
        <v>46052</v>
      </c>
      <c r="J191" s="7">
        <v>46062</v>
      </c>
      <c r="K191" s="4" t="s">
        <v>79</v>
      </c>
    </row>
    <row r="192" spans="1:11" x14ac:dyDescent="0.3">
      <c r="A192" s="9">
        <v>1191</v>
      </c>
      <c r="B192" s="9" t="s">
        <v>50</v>
      </c>
      <c r="C192" s="4" t="s">
        <v>33</v>
      </c>
      <c r="D192" s="4" t="s">
        <v>24</v>
      </c>
      <c r="E192" s="4" t="s">
        <v>11</v>
      </c>
      <c r="F192" s="4">
        <v>9</v>
      </c>
      <c r="G192" s="4">
        <v>8631</v>
      </c>
      <c r="H192" s="4">
        <v>10</v>
      </c>
      <c r="I192" s="7">
        <v>46149</v>
      </c>
      <c r="J192" s="7">
        <v>46156</v>
      </c>
      <c r="K192" s="4" t="s">
        <v>79</v>
      </c>
    </row>
    <row r="193" spans="1:11" x14ac:dyDescent="0.3">
      <c r="A193" s="9">
        <v>1192</v>
      </c>
      <c r="B193" s="9" t="s">
        <v>25</v>
      </c>
      <c r="C193" s="4" t="s">
        <v>33</v>
      </c>
      <c r="D193" s="4" t="s">
        <v>20</v>
      </c>
      <c r="E193" s="4" t="s">
        <v>51</v>
      </c>
      <c r="F193" s="4">
        <v>18</v>
      </c>
      <c r="G193" s="4">
        <v>49</v>
      </c>
      <c r="H193" s="4">
        <v>12</v>
      </c>
      <c r="I193" s="7">
        <v>46089</v>
      </c>
      <c r="J193" s="7">
        <v>46095</v>
      </c>
      <c r="K193" s="4" t="s">
        <v>80</v>
      </c>
    </row>
    <row r="194" spans="1:11" x14ac:dyDescent="0.3">
      <c r="A194" s="9">
        <v>1193</v>
      </c>
      <c r="B194" s="9" t="s">
        <v>54</v>
      </c>
      <c r="C194" s="4" t="s">
        <v>19</v>
      </c>
      <c r="D194" s="4" t="s">
        <v>24</v>
      </c>
      <c r="E194" s="4" t="s">
        <v>10</v>
      </c>
      <c r="F194" s="4">
        <v>19</v>
      </c>
      <c r="G194" s="4">
        <v>2699</v>
      </c>
      <c r="H194" s="4">
        <v>7</v>
      </c>
      <c r="I194" s="7">
        <v>46110</v>
      </c>
      <c r="J194" s="7">
        <v>46112</v>
      </c>
      <c r="K194" s="4" t="s">
        <v>49</v>
      </c>
    </row>
    <row r="195" spans="1:11" x14ac:dyDescent="0.3">
      <c r="A195" s="9">
        <v>1194</v>
      </c>
      <c r="B195" s="9" t="s">
        <v>54</v>
      </c>
      <c r="C195" s="4" t="s">
        <v>42</v>
      </c>
      <c r="D195" s="4" t="s">
        <v>24</v>
      </c>
      <c r="E195" s="4" t="s">
        <v>8</v>
      </c>
      <c r="F195" s="4">
        <v>13</v>
      </c>
      <c r="G195" s="4">
        <v>12856</v>
      </c>
      <c r="H195" s="4">
        <v>15</v>
      </c>
      <c r="I195" s="7">
        <v>46129</v>
      </c>
      <c r="J195" s="7">
        <v>46133</v>
      </c>
      <c r="K195" s="4" t="s">
        <v>81</v>
      </c>
    </row>
    <row r="196" spans="1:11" x14ac:dyDescent="0.3">
      <c r="A196" s="9">
        <v>1195</v>
      </c>
      <c r="B196" s="9" t="s">
        <v>56</v>
      </c>
      <c r="C196" s="4" t="s">
        <v>23</v>
      </c>
      <c r="D196" s="4" t="s">
        <v>20</v>
      </c>
      <c r="E196" s="4" t="s">
        <v>48</v>
      </c>
      <c r="F196" s="4">
        <v>19</v>
      </c>
      <c r="G196" s="4">
        <v>313</v>
      </c>
      <c r="H196" s="4">
        <v>2</v>
      </c>
      <c r="I196" s="7">
        <v>46198</v>
      </c>
      <c r="J196" s="7">
        <v>46206</v>
      </c>
      <c r="K196" s="4" t="s">
        <v>81</v>
      </c>
    </row>
    <row r="197" spans="1:11" x14ac:dyDescent="0.3">
      <c r="A197" s="9">
        <v>1196</v>
      </c>
      <c r="B197" s="9" t="s">
        <v>46</v>
      </c>
      <c r="C197" s="4" t="s">
        <v>26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7">
        <v>46155</v>
      </c>
      <c r="J197" s="7">
        <v>46159</v>
      </c>
      <c r="K197" s="4" t="s">
        <v>79</v>
      </c>
    </row>
    <row r="198" spans="1:11" x14ac:dyDescent="0.3">
      <c r="A198" s="9">
        <v>1197</v>
      </c>
      <c r="B198" s="9" t="s">
        <v>50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7">
        <v>46045</v>
      </c>
      <c r="J198" s="7">
        <v>46048</v>
      </c>
      <c r="K198" s="4" t="s">
        <v>78</v>
      </c>
    </row>
    <row r="199" spans="1:11" x14ac:dyDescent="0.3">
      <c r="A199" s="9">
        <v>1198</v>
      </c>
      <c r="B199" s="9" t="s">
        <v>55</v>
      </c>
      <c r="C199" s="4" t="s">
        <v>19</v>
      </c>
      <c r="D199" s="4" t="s">
        <v>20</v>
      </c>
      <c r="E199" s="4" t="s">
        <v>21</v>
      </c>
      <c r="F199" s="4">
        <v>12</v>
      </c>
      <c r="G199" s="4">
        <v>491</v>
      </c>
      <c r="H199" s="4">
        <v>2</v>
      </c>
      <c r="I199" s="7">
        <v>46106</v>
      </c>
      <c r="J199" s="7">
        <v>46109</v>
      </c>
      <c r="K199" s="4" t="s">
        <v>81</v>
      </c>
    </row>
    <row r="200" spans="1:11" x14ac:dyDescent="0.3">
      <c r="A200" s="9">
        <v>1199</v>
      </c>
      <c r="B200" s="9" t="s">
        <v>18</v>
      </c>
      <c r="C200" s="4" t="s">
        <v>27</v>
      </c>
      <c r="D200" s="4" t="s">
        <v>34</v>
      </c>
      <c r="E200" s="4" t="s">
        <v>6</v>
      </c>
      <c r="F200" s="4">
        <v>2</v>
      </c>
      <c r="G200" s="4">
        <v>4375</v>
      </c>
      <c r="H200" s="4">
        <v>7</v>
      </c>
      <c r="I200" s="7">
        <v>46178</v>
      </c>
      <c r="J200" s="7">
        <v>46180</v>
      </c>
      <c r="K200" s="4" t="s">
        <v>80</v>
      </c>
    </row>
    <row r="201" spans="1:11" x14ac:dyDescent="0.3">
      <c r="A201" s="9">
        <v>1200</v>
      </c>
      <c r="B201" s="9" t="s">
        <v>49</v>
      </c>
      <c r="C201" s="4" t="s">
        <v>31</v>
      </c>
      <c r="D201" s="4" t="s">
        <v>34</v>
      </c>
      <c r="E201" s="4" t="s">
        <v>6</v>
      </c>
      <c r="F201" s="4">
        <v>13</v>
      </c>
      <c r="G201" s="4">
        <v>69422</v>
      </c>
      <c r="H201" s="4">
        <v>0</v>
      </c>
      <c r="I201" s="7">
        <v>46134</v>
      </c>
      <c r="J201" s="7">
        <v>46143</v>
      </c>
      <c r="K201" s="4" t="s">
        <v>49</v>
      </c>
    </row>
    <row r="202" spans="1:11" x14ac:dyDescent="0.3">
      <c r="A202" s="9">
        <v>1201</v>
      </c>
      <c r="B202" s="9" t="s">
        <v>52</v>
      </c>
      <c r="C202" s="4" t="s">
        <v>31</v>
      </c>
      <c r="D202" s="4" t="s">
        <v>20</v>
      </c>
      <c r="E202" s="4" t="s">
        <v>51</v>
      </c>
      <c r="F202" s="4">
        <v>18</v>
      </c>
      <c r="G202" s="4">
        <v>139</v>
      </c>
      <c r="H202" s="4">
        <v>12</v>
      </c>
      <c r="I202" s="7">
        <v>46075</v>
      </c>
      <c r="J202" s="7">
        <v>46076</v>
      </c>
      <c r="K202" s="4" t="s">
        <v>79</v>
      </c>
    </row>
    <row r="203" spans="1:11" x14ac:dyDescent="0.3">
      <c r="A203" s="9">
        <v>1202</v>
      </c>
      <c r="B203" s="9" t="s">
        <v>54</v>
      </c>
      <c r="C203" s="4" t="s">
        <v>26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7">
        <v>46082</v>
      </c>
      <c r="J203" s="7">
        <v>46091</v>
      </c>
      <c r="K203" s="4" t="s">
        <v>78</v>
      </c>
    </row>
    <row r="204" spans="1:11" x14ac:dyDescent="0.3">
      <c r="A204" s="9">
        <v>1203</v>
      </c>
      <c r="B204" s="9" t="s">
        <v>39</v>
      </c>
      <c r="C204" s="4" t="s">
        <v>26</v>
      </c>
      <c r="D204" s="4" t="s">
        <v>24</v>
      </c>
      <c r="E204" s="4" t="s">
        <v>10</v>
      </c>
      <c r="F204" s="4">
        <v>17</v>
      </c>
      <c r="G204" s="4">
        <v>6695</v>
      </c>
      <c r="H204" s="4">
        <v>2</v>
      </c>
      <c r="I204" s="7">
        <v>46119</v>
      </c>
      <c r="J204" s="7">
        <v>46122</v>
      </c>
      <c r="K204" s="4" t="s">
        <v>81</v>
      </c>
    </row>
    <row r="205" spans="1:11" x14ac:dyDescent="0.3">
      <c r="A205" s="9">
        <v>1204</v>
      </c>
      <c r="B205" s="9" t="s">
        <v>22</v>
      </c>
      <c r="C205" s="4" t="s">
        <v>31</v>
      </c>
      <c r="D205" s="4" t="s">
        <v>20</v>
      </c>
      <c r="E205" s="4" t="s">
        <v>37</v>
      </c>
      <c r="F205" s="4">
        <v>13</v>
      </c>
      <c r="G205" s="4">
        <v>416</v>
      </c>
      <c r="H205" s="4">
        <v>10</v>
      </c>
      <c r="I205" s="7">
        <v>46123</v>
      </c>
      <c r="J205" s="7">
        <v>46132</v>
      </c>
      <c r="K205" s="4" t="s">
        <v>79</v>
      </c>
    </row>
    <row r="206" spans="1:11" x14ac:dyDescent="0.3">
      <c r="A206" s="9">
        <v>1205</v>
      </c>
      <c r="B206" s="9" t="s">
        <v>25</v>
      </c>
      <c r="C206" s="4" t="s">
        <v>38</v>
      </c>
      <c r="D206" s="4" t="s">
        <v>20</v>
      </c>
      <c r="E206" s="4" t="s">
        <v>36</v>
      </c>
      <c r="F206" s="4">
        <v>1</v>
      </c>
      <c r="G206" s="4">
        <v>112</v>
      </c>
      <c r="H206" s="4">
        <v>7</v>
      </c>
      <c r="I206" s="7">
        <v>46033</v>
      </c>
      <c r="J206" s="7">
        <v>46040</v>
      </c>
      <c r="K206" s="4" t="s">
        <v>81</v>
      </c>
    </row>
    <row r="207" spans="1:11" x14ac:dyDescent="0.3">
      <c r="A207" s="9">
        <v>1206</v>
      </c>
      <c r="B207" s="9" t="s">
        <v>53</v>
      </c>
      <c r="C207" s="4" t="s">
        <v>33</v>
      </c>
      <c r="D207" s="4" t="s">
        <v>20</v>
      </c>
      <c r="E207" s="4" t="s">
        <v>21</v>
      </c>
      <c r="F207" s="4">
        <v>9</v>
      </c>
      <c r="G207" s="4">
        <v>60</v>
      </c>
      <c r="H207" s="4">
        <v>0</v>
      </c>
      <c r="I207" s="7">
        <v>46166</v>
      </c>
      <c r="J207" s="7">
        <v>46174</v>
      </c>
      <c r="K207" s="4" t="s">
        <v>78</v>
      </c>
    </row>
    <row r="208" spans="1:11" x14ac:dyDescent="0.3">
      <c r="A208" s="9">
        <v>1207</v>
      </c>
      <c r="B208" s="9" t="s">
        <v>53</v>
      </c>
      <c r="C208" s="4" t="s">
        <v>27</v>
      </c>
      <c r="D208" s="4" t="s">
        <v>20</v>
      </c>
      <c r="E208" s="4" t="s">
        <v>51</v>
      </c>
      <c r="F208" s="4">
        <v>7</v>
      </c>
      <c r="G208" s="4">
        <v>244</v>
      </c>
      <c r="H208" s="4">
        <v>2</v>
      </c>
      <c r="I208" s="7">
        <v>46164</v>
      </c>
      <c r="J208" s="7">
        <v>46173</v>
      </c>
      <c r="K208" s="4" t="s">
        <v>80</v>
      </c>
    </row>
    <row r="209" spans="1:11" x14ac:dyDescent="0.3">
      <c r="A209" s="9">
        <v>1208</v>
      </c>
      <c r="B209" s="9" t="s">
        <v>52</v>
      </c>
      <c r="C209" s="4" t="s">
        <v>42</v>
      </c>
      <c r="D209" s="4" t="s">
        <v>24</v>
      </c>
      <c r="E209" s="4" t="s">
        <v>43</v>
      </c>
      <c r="F209" s="4">
        <v>6</v>
      </c>
      <c r="G209" s="4">
        <v>7627</v>
      </c>
      <c r="H209" s="4">
        <v>10</v>
      </c>
      <c r="I209" s="7">
        <v>46042</v>
      </c>
      <c r="J209" s="7">
        <v>46047</v>
      </c>
      <c r="K209" s="4" t="s">
        <v>79</v>
      </c>
    </row>
    <row r="210" spans="1:11" x14ac:dyDescent="0.3">
      <c r="A210" s="9">
        <v>1209</v>
      </c>
      <c r="B210" s="9" t="s">
        <v>46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7">
        <v>46103</v>
      </c>
      <c r="J210" s="7">
        <v>46110</v>
      </c>
      <c r="K210" s="4" t="s">
        <v>79</v>
      </c>
    </row>
    <row r="211" spans="1:11" x14ac:dyDescent="0.3">
      <c r="A211" s="9">
        <v>1210</v>
      </c>
      <c r="B211" s="9" t="s">
        <v>30</v>
      </c>
      <c r="C211" s="4" t="s">
        <v>31</v>
      </c>
      <c r="D211" s="4" t="s">
        <v>20</v>
      </c>
      <c r="E211" s="4" t="s">
        <v>51</v>
      </c>
      <c r="F211" s="4">
        <v>10</v>
      </c>
      <c r="G211" s="4">
        <v>349</v>
      </c>
      <c r="H211" s="4">
        <v>0</v>
      </c>
      <c r="I211" s="7">
        <v>46052</v>
      </c>
      <c r="J211" s="7">
        <v>46060</v>
      </c>
      <c r="K211" s="4" t="s">
        <v>49</v>
      </c>
    </row>
    <row r="212" spans="1:11" x14ac:dyDescent="0.3">
      <c r="A212" s="9">
        <v>1211</v>
      </c>
      <c r="B212" s="9" t="s">
        <v>46</v>
      </c>
      <c r="C212" s="4" t="s">
        <v>23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7">
        <v>46175</v>
      </c>
      <c r="J212" s="7">
        <v>46183</v>
      </c>
      <c r="K212" s="4" t="s">
        <v>78</v>
      </c>
    </row>
    <row r="213" spans="1:11" x14ac:dyDescent="0.3">
      <c r="A213" s="9">
        <v>1212</v>
      </c>
      <c r="B213" s="9" t="s">
        <v>56</v>
      </c>
      <c r="C213" s="4" t="s">
        <v>27</v>
      </c>
      <c r="D213" s="4" t="s">
        <v>34</v>
      </c>
      <c r="E213" s="4" t="s">
        <v>9</v>
      </c>
      <c r="F213" s="4">
        <v>10</v>
      </c>
      <c r="G213" s="4">
        <v>34380</v>
      </c>
      <c r="H213" s="4">
        <v>7</v>
      </c>
      <c r="I213" s="7">
        <v>46194</v>
      </c>
      <c r="J213" s="7">
        <v>46195</v>
      </c>
      <c r="K213" s="4" t="s">
        <v>49</v>
      </c>
    </row>
    <row r="214" spans="1:11" x14ac:dyDescent="0.3">
      <c r="A214" s="9">
        <v>1213</v>
      </c>
      <c r="B214" s="9" t="s">
        <v>32</v>
      </c>
      <c r="C214" s="4" t="s">
        <v>38</v>
      </c>
      <c r="D214" s="4" t="s">
        <v>34</v>
      </c>
      <c r="E214" s="4" t="s">
        <v>6</v>
      </c>
      <c r="F214" s="4">
        <v>16</v>
      </c>
      <c r="G214" s="4">
        <v>27741</v>
      </c>
      <c r="H214" s="4">
        <v>12</v>
      </c>
      <c r="I214" s="7">
        <v>46116</v>
      </c>
      <c r="J214" s="7">
        <v>46119</v>
      </c>
      <c r="K214" s="4" t="s">
        <v>78</v>
      </c>
    </row>
    <row r="215" spans="1:11" x14ac:dyDescent="0.3">
      <c r="A215" s="9">
        <v>1214</v>
      </c>
      <c r="B215" s="9" t="s">
        <v>41</v>
      </c>
      <c r="C215" s="4" t="s">
        <v>27</v>
      </c>
      <c r="D215" s="4" t="s">
        <v>24</v>
      </c>
      <c r="E215" s="4" t="s">
        <v>8</v>
      </c>
      <c r="F215" s="4">
        <v>19</v>
      </c>
      <c r="G215" s="4">
        <v>13832</v>
      </c>
      <c r="H215" s="4">
        <v>0</v>
      </c>
      <c r="I215" s="7">
        <v>46140</v>
      </c>
      <c r="J215" s="7">
        <v>46145</v>
      </c>
      <c r="K215" s="4" t="s">
        <v>81</v>
      </c>
    </row>
    <row r="216" spans="1:11" x14ac:dyDescent="0.3">
      <c r="A216" s="9">
        <v>1215</v>
      </c>
      <c r="B216" s="9" t="s">
        <v>29</v>
      </c>
      <c r="C216" s="4" t="s">
        <v>19</v>
      </c>
      <c r="D216" s="4" t="s">
        <v>24</v>
      </c>
      <c r="E216" s="4" t="s">
        <v>8</v>
      </c>
      <c r="F216" s="4">
        <v>6</v>
      </c>
      <c r="G216" s="4">
        <v>1254</v>
      </c>
      <c r="H216" s="4">
        <v>0</v>
      </c>
      <c r="I216" s="7">
        <v>46131</v>
      </c>
      <c r="J216" s="7">
        <v>46136</v>
      </c>
      <c r="K216" s="4" t="s">
        <v>49</v>
      </c>
    </row>
    <row r="217" spans="1:11" x14ac:dyDescent="0.3">
      <c r="A217" s="9">
        <v>1216</v>
      </c>
      <c r="B217" s="9" t="s">
        <v>39</v>
      </c>
      <c r="C217" s="4" t="s">
        <v>26</v>
      </c>
      <c r="D217" s="4" t="s">
        <v>34</v>
      </c>
      <c r="E217" s="4" t="s">
        <v>6</v>
      </c>
      <c r="F217" s="4">
        <v>10</v>
      </c>
      <c r="G217" s="4">
        <v>56709</v>
      </c>
      <c r="H217" s="4">
        <v>15</v>
      </c>
      <c r="I217" s="7">
        <v>46135</v>
      </c>
      <c r="J217" s="7">
        <v>46139</v>
      </c>
      <c r="K217" s="4" t="s">
        <v>49</v>
      </c>
    </row>
    <row r="218" spans="1:11" x14ac:dyDescent="0.3">
      <c r="A218" s="9">
        <v>1217</v>
      </c>
      <c r="B218" s="9" t="s">
        <v>30</v>
      </c>
      <c r="C218" s="4" t="s">
        <v>26</v>
      </c>
      <c r="D218" s="4" t="s">
        <v>20</v>
      </c>
      <c r="E218" s="4" t="s">
        <v>48</v>
      </c>
      <c r="F218" s="4">
        <v>18</v>
      </c>
      <c r="G218" s="4">
        <v>60</v>
      </c>
      <c r="H218" s="4">
        <v>0</v>
      </c>
      <c r="I218" s="7">
        <v>46171</v>
      </c>
      <c r="J218" s="7">
        <v>46172</v>
      </c>
      <c r="K218" s="4" t="s">
        <v>49</v>
      </c>
    </row>
    <row r="219" spans="1:11" x14ac:dyDescent="0.3">
      <c r="A219" s="9">
        <v>1218</v>
      </c>
      <c r="B219" s="9" t="s">
        <v>53</v>
      </c>
      <c r="C219" s="4" t="s">
        <v>38</v>
      </c>
      <c r="D219" s="4" t="s">
        <v>20</v>
      </c>
      <c r="E219" s="4" t="s">
        <v>21</v>
      </c>
      <c r="F219" s="4">
        <v>1</v>
      </c>
      <c r="G219" s="4">
        <v>134</v>
      </c>
      <c r="H219" s="4">
        <v>10</v>
      </c>
      <c r="I219" s="7">
        <v>46143</v>
      </c>
      <c r="J219" s="7">
        <v>46151</v>
      </c>
      <c r="K219" s="4" t="s">
        <v>81</v>
      </c>
    </row>
    <row r="220" spans="1:11" x14ac:dyDescent="0.3">
      <c r="A220" s="9">
        <v>1219</v>
      </c>
      <c r="B220" s="9" t="s">
        <v>44</v>
      </c>
      <c r="C220" s="4" t="s">
        <v>26</v>
      </c>
      <c r="D220" s="4" t="s">
        <v>20</v>
      </c>
      <c r="E220" s="4" t="s">
        <v>21</v>
      </c>
      <c r="F220" s="4">
        <v>4</v>
      </c>
      <c r="G220" s="4">
        <v>117</v>
      </c>
      <c r="H220" s="4">
        <v>15</v>
      </c>
      <c r="I220" s="7">
        <v>46202</v>
      </c>
      <c r="J220" s="7">
        <v>46206</v>
      </c>
      <c r="K220" s="4" t="s">
        <v>49</v>
      </c>
    </row>
    <row r="221" spans="1:11" x14ac:dyDescent="0.3">
      <c r="A221" s="9">
        <v>1220</v>
      </c>
      <c r="B221" s="9" t="s">
        <v>18</v>
      </c>
      <c r="C221" s="4" t="s">
        <v>27</v>
      </c>
      <c r="D221" s="4" t="s">
        <v>24</v>
      </c>
      <c r="E221" s="4" t="s">
        <v>11</v>
      </c>
      <c r="F221" s="4">
        <v>2</v>
      </c>
      <c r="G221" s="4">
        <v>8861</v>
      </c>
      <c r="H221" s="4">
        <v>2</v>
      </c>
      <c r="I221" s="7">
        <v>46170</v>
      </c>
      <c r="J221" s="7">
        <v>46174</v>
      </c>
      <c r="K221" s="4" t="s">
        <v>80</v>
      </c>
    </row>
    <row r="222" spans="1:11" x14ac:dyDescent="0.3">
      <c r="A222" s="9">
        <v>1221</v>
      </c>
      <c r="B222" s="9" t="s">
        <v>18</v>
      </c>
      <c r="C222" s="4" t="s">
        <v>31</v>
      </c>
      <c r="D222" s="4" t="s">
        <v>24</v>
      </c>
      <c r="E222" s="4" t="s">
        <v>11</v>
      </c>
      <c r="F222" s="4">
        <v>18</v>
      </c>
      <c r="G222" s="4">
        <v>2681</v>
      </c>
      <c r="H222" s="4">
        <v>10</v>
      </c>
      <c r="I222" s="7">
        <v>46122</v>
      </c>
      <c r="J222" s="7">
        <v>46125</v>
      </c>
      <c r="K222" s="4" t="s">
        <v>81</v>
      </c>
    </row>
    <row r="223" spans="1:11" x14ac:dyDescent="0.3">
      <c r="A223" s="9">
        <v>1222</v>
      </c>
      <c r="B223" s="9" t="s">
        <v>30</v>
      </c>
      <c r="C223" s="4" t="s">
        <v>33</v>
      </c>
      <c r="D223" s="4" t="s">
        <v>24</v>
      </c>
      <c r="E223" s="4" t="s">
        <v>10</v>
      </c>
      <c r="F223" s="4">
        <v>9</v>
      </c>
      <c r="G223" s="4">
        <v>2712</v>
      </c>
      <c r="H223" s="4">
        <v>12</v>
      </c>
      <c r="I223" s="7">
        <v>46154</v>
      </c>
      <c r="J223" s="7">
        <v>46163</v>
      </c>
      <c r="K223" s="4" t="s">
        <v>78</v>
      </c>
    </row>
    <row r="224" spans="1:11" x14ac:dyDescent="0.3">
      <c r="A224" s="9">
        <v>1223</v>
      </c>
      <c r="B224" s="9" t="s">
        <v>56</v>
      </c>
      <c r="C224" s="4" t="s">
        <v>23</v>
      </c>
      <c r="D224" s="4" t="s">
        <v>24</v>
      </c>
      <c r="E224" s="4" t="s">
        <v>10</v>
      </c>
      <c r="F224" s="4">
        <v>4</v>
      </c>
      <c r="G224" s="4">
        <v>2249</v>
      </c>
      <c r="H224" s="4">
        <v>7</v>
      </c>
      <c r="I224" s="7">
        <v>46077</v>
      </c>
      <c r="J224" s="7">
        <v>46084</v>
      </c>
      <c r="K224" s="4" t="s">
        <v>78</v>
      </c>
    </row>
    <row r="225" spans="1:11" x14ac:dyDescent="0.3">
      <c r="A225" s="9">
        <v>1224</v>
      </c>
      <c r="B225" s="9" t="s">
        <v>30</v>
      </c>
      <c r="C225" s="4" t="s">
        <v>38</v>
      </c>
      <c r="D225" s="4" t="s">
        <v>34</v>
      </c>
      <c r="E225" s="4" t="s">
        <v>6</v>
      </c>
      <c r="F225" s="4">
        <v>16</v>
      </c>
      <c r="G225" s="4">
        <v>18378</v>
      </c>
      <c r="H225" s="4">
        <v>10</v>
      </c>
      <c r="I225" s="7">
        <v>46045</v>
      </c>
      <c r="J225" s="7">
        <v>46052</v>
      </c>
      <c r="K225" s="4" t="s">
        <v>80</v>
      </c>
    </row>
    <row r="226" spans="1:11" x14ac:dyDescent="0.3">
      <c r="A226" s="9">
        <v>1225</v>
      </c>
      <c r="B226" s="9" t="s">
        <v>41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7">
        <v>46125</v>
      </c>
      <c r="J226" s="7">
        <v>46126</v>
      </c>
      <c r="K226" s="4" t="s">
        <v>79</v>
      </c>
    </row>
    <row r="227" spans="1:11" x14ac:dyDescent="0.3">
      <c r="A227" s="9">
        <v>1226</v>
      </c>
      <c r="B227" s="9" t="s">
        <v>49</v>
      </c>
      <c r="C227" s="4" t="s">
        <v>31</v>
      </c>
      <c r="D227" s="4" t="s">
        <v>34</v>
      </c>
      <c r="E227" s="4" t="s">
        <v>40</v>
      </c>
      <c r="F227" s="4">
        <v>13</v>
      </c>
      <c r="G227" s="4">
        <v>21332</v>
      </c>
      <c r="H227" s="4">
        <v>0</v>
      </c>
      <c r="I227" s="7">
        <v>46044</v>
      </c>
      <c r="J227" s="7">
        <v>46048</v>
      </c>
      <c r="K227" s="4" t="s">
        <v>49</v>
      </c>
    </row>
    <row r="228" spans="1:11" x14ac:dyDescent="0.3">
      <c r="A228" s="9">
        <v>1227</v>
      </c>
      <c r="B228" s="9" t="s">
        <v>55</v>
      </c>
      <c r="C228" s="4" t="s">
        <v>26</v>
      </c>
      <c r="D228" s="4" t="s">
        <v>34</v>
      </c>
      <c r="E228" s="4" t="s">
        <v>6</v>
      </c>
      <c r="F228" s="4">
        <v>16</v>
      </c>
      <c r="G228" s="4">
        <v>1321</v>
      </c>
      <c r="H228" s="4">
        <v>12</v>
      </c>
      <c r="I228" s="7">
        <v>46113</v>
      </c>
      <c r="J228" s="7">
        <v>46116</v>
      </c>
      <c r="K228" s="4" t="s">
        <v>78</v>
      </c>
    </row>
    <row r="229" spans="1:11" x14ac:dyDescent="0.3">
      <c r="A229" s="9">
        <v>1228</v>
      </c>
      <c r="B229" s="9" t="s">
        <v>49</v>
      </c>
      <c r="C229" s="4" t="s">
        <v>27</v>
      </c>
      <c r="D229" s="4" t="s">
        <v>34</v>
      </c>
      <c r="E229" s="4" t="s">
        <v>6</v>
      </c>
      <c r="F229" s="4">
        <v>16</v>
      </c>
      <c r="G229" s="4">
        <v>17477</v>
      </c>
      <c r="H229" s="4">
        <v>10</v>
      </c>
      <c r="I229" s="7">
        <v>46041</v>
      </c>
      <c r="J229" s="7">
        <v>46043</v>
      </c>
      <c r="K229" s="4" t="s">
        <v>80</v>
      </c>
    </row>
    <row r="230" spans="1:11" x14ac:dyDescent="0.3">
      <c r="A230" s="9">
        <v>1229</v>
      </c>
      <c r="B230" s="9" t="s">
        <v>54</v>
      </c>
      <c r="C230" s="4" t="s">
        <v>19</v>
      </c>
      <c r="D230" s="4" t="s">
        <v>24</v>
      </c>
      <c r="E230" s="4" t="s">
        <v>11</v>
      </c>
      <c r="F230" s="4">
        <v>14</v>
      </c>
      <c r="G230" s="4">
        <v>5859</v>
      </c>
      <c r="H230" s="4">
        <v>12</v>
      </c>
      <c r="I230" s="7">
        <v>46027</v>
      </c>
      <c r="J230" s="7">
        <v>46036</v>
      </c>
      <c r="K230" s="4" t="s">
        <v>79</v>
      </c>
    </row>
    <row r="231" spans="1:11" x14ac:dyDescent="0.3">
      <c r="A231" s="9">
        <v>1230</v>
      </c>
      <c r="B231" s="9" t="s">
        <v>56</v>
      </c>
      <c r="C231" s="4" t="s">
        <v>33</v>
      </c>
      <c r="D231" s="4" t="s">
        <v>34</v>
      </c>
      <c r="E231" s="4" t="s">
        <v>9</v>
      </c>
      <c r="F231" s="4">
        <v>7</v>
      </c>
      <c r="G231" s="4">
        <v>2932</v>
      </c>
      <c r="H231" s="4">
        <v>7</v>
      </c>
      <c r="I231" s="7">
        <v>46050</v>
      </c>
      <c r="J231" s="7">
        <v>46059</v>
      </c>
      <c r="K231" s="4" t="s">
        <v>80</v>
      </c>
    </row>
    <row r="232" spans="1:11" x14ac:dyDescent="0.3">
      <c r="A232" s="9">
        <v>1231</v>
      </c>
      <c r="B232" s="9" t="s">
        <v>46</v>
      </c>
      <c r="C232" s="4" t="s">
        <v>38</v>
      </c>
      <c r="D232" s="4" t="s">
        <v>24</v>
      </c>
      <c r="E232" s="4" t="s">
        <v>7</v>
      </c>
      <c r="F232" s="4">
        <v>13</v>
      </c>
      <c r="G232" s="4">
        <v>10297</v>
      </c>
      <c r="H232" s="4">
        <v>12</v>
      </c>
      <c r="I232" s="7">
        <v>46178</v>
      </c>
      <c r="J232" s="7">
        <v>46186</v>
      </c>
      <c r="K232" s="4" t="s">
        <v>79</v>
      </c>
    </row>
    <row r="233" spans="1:11" x14ac:dyDescent="0.3">
      <c r="A233" s="9">
        <v>1232</v>
      </c>
      <c r="B233" s="9" t="s">
        <v>25</v>
      </c>
      <c r="C233" s="4" t="s">
        <v>19</v>
      </c>
      <c r="D233" s="4" t="s">
        <v>34</v>
      </c>
      <c r="E233" s="4" t="s">
        <v>9</v>
      </c>
      <c r="F233" s="4">
        <v>3</v>
      </c>
      <c r="G233" s="4">
        <v>13272</v>
      </c>
      <c r="H233" s="4">
        <v>2</v>
      </c>
      <c r="I233" s="7">
        <v>46060</v>
      </c>
      <c r="J233" s="7">
        <v>46065</v>
      </c>
      <c r="K233" s="4" t="s">
        <v>78</v>
      </c>
    </row>
    <row r="234" spans="1:11" x14ac:dyDescent="0.3">
      <c r="A234" s="9">
        <v>1233</v>
      </c>
      <c r="B234" s="9" t="s">
        <v>55</v>
      </c>
      <c r="C234" s="4" t="s">
        <v>26</v>
      </c>
      <c r="D234" s="4" t="s">
        <v>24</v>
      </c>
      <c r="E234" s="4" t="s">
        <v>7</v>
      </c>
      <c r="F234" s="4">
        <v>20</v>
      </c>
      <c r="G234" s="4">
        <v>13941</v>
      </c>
      <c r="H234" s="4">
        <v>15</v>
      </c>
      <c r="I234" s="7">
        <v>46198</v>
      </c>
      <c r="J234" s="7">
        <v>46202</v>
      </c>
      <c r="K234" s="4" t="s">
        <v>80</v>
      </c>
    </row>
    <row r="235" spans="1:11" x14ac:dyDescent="0.3">
      <c r="A235" s="9">
        <v>1234</v>
      </c>
      <c r="B235" s="9" t="s">
        <v>18</v>
      </c>
      <c r="C235" s="4" t="s">
        <v>27</v>
      </c>
      <c r="D235" s="4" t="s">
        <v>24</v>
      </c>
      <c r="E235" s="4" t="s">
        <v>8</v>
      </c>
      <c r="F235" s="4">
        <v>1</v>
      </c>
      <c r="G235" s="4">
        <v>14320</v>
      </c>
      <c r="H235" s="4">
        <v>12</v>
      </c>
      <c r="I235" s="7">
        <v>46114</v>
      </c>
      <c r="J235" s="7">
        <v>46121</v>
      </c>
      <c r="K235" s="4" t="s">
        <v>81</v>
      </c>
    </row>
    <row r="236" spans="1:11" x14ac:dyDescent="0.3">
      <c r="A236" s="9">
        <v>1235</v>
      </c>
      <c r="B236" s="9" t="s">
        <v>54</v>
      </c>
      <c r="C236" s="4" t="s">
        <v>27</v>
      </c>
      <c r="D236" s="4" t="s">
        <v>20</v>
      </c>
      <c r="E236" s="4" t="s">
        <v>48</v>
      </c>
      <c r="F236" s="4">
        <v>15</v>
      </c>
      <c r="G236" s="4">
        <v>267</v>
      </c>
      <c r="H236" s="4">
        <v>15</v>
      </c>
      <c r="I236" s="7">
        <v>46172</v>
      </c>
      <c r="J236" s="7">
        <v>46177</v>
      </c>
      <c r="K236" s="4" t="s">
        <v>49</v>
      </c>
    </row>
    <row r="237" spans="1:11" x14ac:dyDescent="0.3">
      <c r="A237" s="9">
        <v>1236</v>
      </c>
      <c r="B237" s="9" t="s">
        <v>52</v>
      </c>
      <c r="C237" s="4" t="s">
        <v>42</v>
      </c>
      <c r="D237" s="4" t="s">
        <v>20</v>
      </c>
      <c r="E237" s="4" t="s">
        <v>37</v>
      </c>
      <c r="F237" s="4">
        <v>12</v>
      </c>
      <c r="G237" s="4">
        <v>189</v>
      </c>
      <c r="H237" s="4">
        <v>7</v>
      </c>
      <c r="I237" s="7">
        <v>46164</v>
      </c>
      <c r="J237" s="7">
        <v>46169</v>
      </c>
      <c r="K237" s="4" t="s">
        <v>49</v>
      </c>
    </row>
    <row r="238" spans="1:11" x14ac:dyDescent="0.3">
      <c r="A238" s="9">
        <v>1237</v>
      </c>
      <c r="B238" s="9" t="s">
        <v>44</v>
      </c>
      <c r="C238" s="4" t="s">
        <v>38</v>
      </c>
      <c r="D238" s="4" t="s">
        <v>24</v>
      </c>
      <c r="E238" s="4" t="s">
        <v>11</v>
      </c>
      <c r="F238" s="4">
        <v>8</v>
      </c>
      <c r="G238" s="4">
        <v>12123</v>
      </c>
      <c r="H238" s="4">
        <v>2</v>
      </c>
      <c r="I238" s="7">
        <v>46137</v>
      </c>
      <c r="J238" s="7">
        <v>46145</v>
      </c>
      <c r="K238" s="4" t="s">
        <v>78</v>
      </c>
    </row>
    <row r="239" spans="1:11" x14ac:dyDescent="0.3">
      <c r="A239" s="9">
        <v>1238</v>
      </c>
      <c r="B239" s="9" t="s">
        <v>30</v>
      </c>
      <c r="C239" s="4" t="s">
        <v>31</v>
      </c>
      <c r="D239" s="4" t="s">
        <v>20</v>
      </c>
      <c r="E239" s="4" t="s">
        <v>21</v>
      </c>
      <c r="F239" s="4">
        <v>6</v>
      </c>
      <c r="G239" s="4">
        <v>180</v>
      </c>
      <c r="H239" s="4">
        <v>12</v>
      </c>
      <c r="I239" s="7">
        <v>46096</v>
      </c>
      <c r="J239" s="7">
        <v>46097</v>
      </c>
      <c r="K239" s="4" t="s">
        <v>81</v>
      </c>
    </row>
    <row r="240" spans="1:11" x14ac:dyDescent="0.3">
      <c r="A240" s="9">
        <v>1239</v>
      </c>
      <c r="B240" s="9" t="s">
        <v>46</v>
      </c>
      <c r="C240" s="4" t="s">
        <v>23</v>
      </c>
      <c r="D240" s="4" t="s">
        <v>24</v>
      </c>
      <c r="E240" s="4" t="s">
        <v>11</v>
      </c>
      <c r="F240" s="4">
        <v>2</v>
      </c>
      <c r="G240" s="4">
        <v>12330</v>
      </c>
      <c r="H240" s="4">
        <v>12</v>
      </c>
      <c r="I240" s="7">
        <v>46122</v>
      </c>
      <c r="J240" s="7">
        <v>46125</v>
      </c>
      <c r="K240" s="4" t="s">
        <v>78</v>
      </c>
    </row>
    <row r="241" spans="1:11" x14ac:dyDescent="0.3">
      <c r="A241" s="9">
        <v>1240</v>
      </c>
      <c r="B241" s="9" t="s">
        <v>53</v>
      </c>
      <c r="C241" s="4" t="s">
        <v>33</v>
      </c>
      <c r="D241" s="4" t="s">
        <v>24</v>
      </c>
      <c r="E241" s="4" t="s">
        <v>10</v>
      </c>
      <c r="F241" s="4">
        <v>2</v>
      </c>
      <c r="G241" s="4">
        <v>5475</v>
      </c>
      <c r="H241" s="4">
        <v>2</v>
      </c>
      <c r="I241" s="7">
        <v>46142</v>
      </c>
      <c r="J241" s="7">
        <v>46146</v>
      </c>
      <c r="K241" s="4" t="s">
        <v>49</v>
      </c>
    </row>
    <row r="242" spans="1:11" x14ac:dyDescent="0.3">
      <c r="A242" s="9">
        <v>1241</v>
      </c>
      <c r="B242" s="9" t="s">
        <v>44</v>
      </c>
      <c r="C242" s="4" t="s">
        <v>31</v>
      </c>
      <c r="D242" s="4" t="s">
        <v>24</v>
      </c>
      <c r="E242" s="4" t="s">
        <v>43</v>
      </c>
      <c r="F242" s="4">
        <v>1</v>
      </c>
      <c r="G242" s="4">
        <v>12537</v>
      </c>
      <c r="H242" s="4">
        <v>0</v>
      </c>
      <c r="I242" s="7">
        <v>46119</v>
      </c>
      <c r="J242" s="7">
        <v>46122</v>
      </c>
      <c r="K242" s="4" t="s">
        <v>78</v>
      </c>
    </row>
    <row r="243" spans="1:11" x14ac:dyDescent="0.3">
      <c r="A243" s="9">
        <v>1242</v>
      </c>
      <c r="B243" s="9" t="s">
        <v>52</v>
      </c>
      <c r="C243" s="4" t="s">
        <v>38</v>
      </c>
      <c r="D243" s="4" t="s">
        <v>20</v>
      </c>
      <c r="E243" s="4" t="s">
        <v>48</v>
      </c>
      <c r="F243" s="4">
        <v>7</v>
      </c>
      <c r="G243" s="4">
        <v>168</v>
      </c>
      <c r="H243" s="4">
        <v>10</v>
      </c>
      <c r="I243" s="7">
        <v>46191</v>
      </c>
      <c r="J243" s="7">
        <v>46196</v>
      </c>
      <c r="K243" s="4" t="s">
        <v>81</v>
      </c>
    </row>
    <row r="244" spans="1:11" x14ac:dyDescent="0.3">
      <c r="A244" s="9">
        <v>1243</v>
      </c>
      <c r="B244" s="9" t="s">
        <v>30</v>
      </c>
      <c r="C244" s="4" t="s">
        <v>31</v>
      </c>
      <c r="D244" s="4" t="s">
        <v>34</v>
      </c>
      <c r="E244" s="4" t="s">
        <v>40</v>
      </c>
      <c r="F244" s="4">
        <v>5</v>
      </c>
      <c r="G244" s="4">
        <v>11570</v>
      </c>
      <c r="H244" s="4">
        <v>15</v>
      </c>
      <c r="I244" s="7">
        <v>46069</v>
      </c>
      <c r="J244" s="7">
        <v>46077</v>
      </c>
      <c r="K244" s="4" t="s">
        <v>80</v>
      </c>
    </row>
    <row r="245" spans="1:11" x14ac:dyDescent="0.3">
      <c r="A245" s="9">
        <v>1244</v>
      </c>
      <c r="B245" s="9" t="s">
        <v>54</v>
      </c>
      <c r="C245" s="4" t="s">
        <v>38</v>
      </c>
      <c r="D245" s="4" t="s">
        <v>24</v>
      </c>
      <c r="E245" s="4" t="s">
        <v>8</v>
      </c>
      <c r="F245" s="4">
        <v>10</v>
      </c>
      <c r="G245" s="4">
        <v>6339</v>
      </c>
      <c r="H245" s="4">
        <v>12</v>
      </c>
      <c r="I245" s="7">
        <v>46200</v>
      </c>
      <c r="J245" s="7">
        <v>46205</v>
      </c>
      <c r="K245" s="4" t="s">
        <v>78</v>
      </c>
    </row>
    <row r="246" spans="1:11" x14ac:dyDescent="0.3">
      <c r="A246" s="9">
        <v>1245</v>
      </c>
      <c r="B246" s="9" t="s">
        <v>53</v>
      </c>
      <c r="C246" s="4" t="s">
        <v>42</v>
      </c>
      <c r="D246" s="4" t="s">
        <v>34</v>
      </c>
      <c r="E246" s="4" t="s">
        <v>40</v>
      </c>
      <c r="F246" s="4">
        <v>19</v>
      </c>
      <c r="G246" s="4">
        <v>69029</v>
      </c>
      <c r="H246" s="4">
        <v>7</v>
      </c>
      <c r="I246" s="7">
        <v>46176</v>
      </c>
      <c r="J246" s="7">
        <v>46179</v>
      </c>
      <c r="K246" s="4" t="s">
        <v>49</v>
      </c>
    </row>
    <row r="247" spans="1:11" x14ac:dyDescent="0.3">
      <c r="A247" s="9">
        <v>1246</v>
      </c>
      <c r="B247" s="9" t="s">
        <v>53</v>
      </c>
      <c r="C247" s="4" t="s">
        <v>26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7">
        <v>46039</v>
      </c>
      <c r="J247" s="7">
        <v>46045</v>
      </c>
      <c r="K247" s="4" t="s">
        <v>81</v>
      </c>
    </row>
    <row r="248" spans="1:11" x14ac:dyDescent="0.3">
      <c r="A248" s="9">
        <v>1247</v>
      </c>
      <c r="B248" s="9" t="s">
        <v>28</v>
      </c>
      <c r="C248" s="4" t="s">
        <v>19</v>
      </c>
      <c r="D248" s="4" t="s">
        <v>20</v>
      </c>
      <c r="E248" s="4" t="s">
        <v>48</v>
      </c>
      <c r="F248" s="4">
        <v>10</v>
      </c>
      <c r="G248" s="4">
        <v>336</v>
      </c>
      <c r="H248" s="4">
        <v>7</v>
      </c>
      <c r="I248" s="7">
        <v>46173</v>
      </c>
      <c r="J248" s="7">
        <v>46175</v>
      </c>
      <c r="K248" s="4" t="s">
        <v>79</v>
      </c>
    </row>
    <row r="249" spans="1:11" x14ac:dyDescent="0.3">
      <c r="A249" s="9">
        <v>1248</v>
      </c>
      <c r="B249" s="9" t="s">
        <v>29</v>
      </c>
      <c r="C249" s="4" t="s">
        <v>42</v>
      </c>
      <c r="D249" s="4" t="s">
        <v>20</v>
      </c>
      <c r="E249" s="4" t="s">
        <v>37</v>
      </c>
      <c r="F249" s="4">
        <v>5</v>
      </c>
      <c r="G249" s="4">
        <v>398</v>
      </c>
      <c r="H249" s="4">
        <v>7</v>
      </c>
      <c r="I249" s="7">
        <v>46161</v>
      </c>
      <c r="J249" s="7">
        <v>46171</v>
      </c>
      <c r="K249" s="4" t="s">
        <v>49</v>
      </c>
    </row>
    <row r="250" spans="1:11" x14ac:dyDescent="0.3">
      <c r="A250" s="9">
        <v>1249</v>
      </c>
      <c r="B250" s="9" t="s">
        <v>22</v>
      </c>
      <c r="C250" s="4" t="s">
        <v>27</v>
      </c>
      <c r="D250" s="4" t="s">
        <v>34</v>
      </c>
      <c r="E250" s="4" t="s">
        <v>40</v>
      </c>
      <c r="F250" s="4">
        <v>18</v>
      </c>
      <c r="G250" s="4">
        <v>6360</v>
      </c>
      <c r="H250" s="4">
        <v>12</v>
      </c>
      <c r="I250" s="7">
        <v>46163</v>
      </c>
      <c r="J250" s="7">
        <v>46165</v>
      </c>
      <c r="K250" s="4" t="s">
        <v>79</v>
      </c>
    </row>
    <row r="251" spans="1:11" x14ac:dyDescent="0.3">
      <c r="A251" s="9">
        <v>1250</v>
      </c>
      <c r="B251" s="9" t="s">
        <v>18</v>
      </c>
      <c r="C251" s="4" t="s">
        <v>23</v>
      </c>
      <c r="D251" s="4" t="s">
        <v>34</v>
      </c>
      <c r="E251" s="4" t="s">
        <v>6</v>
      </c>
      <c r="F251" s="4">
        <v>2</v>
      </c>
      <c r="G251" s="4">
        <v>65953</v>
      </c>
      <c r="H251" s="4">
        <v>7</v>
      </c>
      <c r="I251" s="7">
        <v>46051</v>
      </c>
      <c r="J251" s="7">
        <v>46053</v>
      </c>
      <c r="K251" s="4" t="s">
        <v>49</v>
      </c>
    </row>
    <row r="252" spans="1:11" x14ac:dyDescent="0.3">
      <c r="A252" s="9">
        <v>1251</v>
      </c>
      <c r="B252" s="9" t="s">
        <v>53</v>
      </c>
      <c r="C252" s="4" t="s">
        <v>38</v>
      </c>
      <c r="D252" s="4" t="s">
        <v>34</v>
      </c>
      <c r="E252" s="4" t="s">
        <v>12</v>
      </c>
      <c r="F252" s="4">
        <v>19</v>
      </c>
      <c r="G252" s="4">
        <v>48548</v>
      </c>
      <c r="H252" s="4">
        <v>0</v>
      </c>
      <c r="I252" s="7">
        <v>46112</v>
      </c>
      <c r="J252" s="7">
        <v>46121</v>
      </c>
      <c r="K252" s="4" t="s">
        <v>81</v>
      </c>
    </row>
    <row r="253" spans="1:11" x14ac:dyDescent="0.3">
      <c r="A253" s="9">
        <v>1252</v>
      </c>
      <c r="B253" s="9" t="s">
        <v>45</v>
      </c>
      <c r="C253" s="4" t="s">
        <v>27</v>
      </c>
      <c r="D253" s="4" t="s">
        <v>20</v>
      </c>
      <c r="E253" s="4" t="s">
        <v>36</v>
      </c>
      <c r="F253" s="4">
        <v>15</v>
      </c>
      <c r="G253" s="4">
        <v>257</v>
      </c>
      <c r="H253" s="4">
        <v>5</v>
      </c>
      <c r="I253" s="7">
        <v>46166</v>
      </c>
      <c r="J253" s="7">
        <v>46173</v>
      </c>
      <c r="K253" s="4" t="s">
        <v>79</v>
      </c>
    </row>
    <row r="254" spans="1:11" x14ac:dyDescent="0.3">
      <c r="A254" s="9">
        <v>1253</v>
      </c>
      <c r="B254" s="9" t="s">
        <v>25</v>
      </c>
      <c r="C254" s="4" t="s">
        <v>31</v>
      </c>
      <c r="D254" s="4" t="s">
        <v>34</v>
      </c>
      <c r="E254" s="4" t="s">
        <v>6</v>
      </c>
      <c r="F254" s="4">
        <v>20</v>
      </c>
      <c r="G254" s="4">
        <v>47880</v>
      </c>
      <c r="H254" s="4">
        <v>7</v>
      </c>
      <c r="I254" s="7">
        <v>46074</v>
      </c>
      <c r="J254" s="7">
        <v>46075</v>
      </c>
      <c r="K254" s="4" t="s">
        <v>49</v>
      </c>
    </row>
    <row r="255" spans="1:11" x14ac:dyDescent="0.3">
      <c r="A255" s="9">
        <v>1254</v>
      </c>
      <c r="B255" s="9" t="s">
        <v>50</v>
      </c>
      <c r="C255" s="4" t="s">
        <v>26</v>
      </c>
      <c r="D255" s="4" t="s">
        <v>20</v>
      </c>
      <c r="E255" s="4" t="s">
        <v>48</v>
      </c>
      <c r="F255" s="4">
        <v>18</v>
      </c>
      <c r="G255" s="4">
        <v>447</v>
      </c>
      <c r="H255" s="4">
        <v>15</v>
      </c>
      <c r="I255" s="7">
        <v>46141</v>
      </c>
      <c r="J255" s="7">
        <v>46149</v>
      </c>
      <c r="K255" s="4" t="s">
        <v>80</v>
      </c>
    </row>
    <row r="256" spans="1:11" x14ac:dyDescent="0.3">
      <c r="A256" s="9">
        <v>1255</v>
      </c>
      <c r="B256" s="9" t="s">
        <v>32</v>
      </c>
      <c r="C256" s="4" t="s">
        <v>23</v>
      </c>
      <c r="D256" s="4" t="s">
        <v>24</v>
      </c>
      <c r="E256" s="4" t="s">
        <v>7</v>
      </c>
      <c r="F256" s="4">
        <v>1</v>
      </c>
      <c r="G256" s="4">
        <v>2240</v>
      </c>
      <c r="H256" s="4">
        <v>5</v>
      </c>
      <c r="I256" s="7">
        <v>46091</v>
      </c>
      <c r="J256" s="7">
        <v>46095</v>
      </c>
      <c r="K256" s="4" t="s">
        <v>79</v>
      </c>
    </row>
    <row r="257" spans="1:11" x14ac:dyDescent="0.3">
      <c r="A257" s="9">
        <v>1256</v>
      </c>
      <c r="B257" s="9" t="s">
        <v>46</v>
      </c>
      <c r="C257" s="4" t="s">
        <v>31</v>
      </c>
      <c r="D257" s="4" t="s">
        <v>20</v>
      </c>
      <c r="E257" s="4" t="s">
        <v>48</v>
      </c>
      <c r="F257" s="4">
        <v>19</v>
      </c>
      <c r="G257" s="4">
        <v>406</v>
      </c>
      <c r="H257" s="4">
        <v>7</v>
      </c>
      <c r="I257" s="7">
        <v>46057</v>
      </c>
      <c r="J257" s="7">
        <v>46061</v>
      </c>
      <c r="K257" s="4" t="s">
        <v>78</v>
      </c>
    </row>
    <row r="258" spans="1:11" x14ac:dyDescent="0.3">
      <c r="A258" s="9">
        <v>1257</v>
      </c>
      <c r="B258" s="9" t="s">
        <v>52</v>
      </c>
      <c r="C258" s="4" t="s">
        <v>27</v>
      </c>
      <c r="D258" s="4" t="s">
        <v>34</v>
      </c>
      <c r="E258" s="4" t="s">
        <v>12</v>
      </c>
      <c r="F258" s="4">
        <v>7</v>
      </c>
      <c r="G258" s="4">
        <v>53243</v>
      </c>
      <c r="H258" s="4">
        <v>12</v>
      </c>
      <c r="I258" s="7">
        <v>46161</v>
      </c>
      <c r="J258" s="7">
        <v>46171</v>
      </c>
      <c r="K258" s="4" t="s">
        <v>78</v>
      </c>
    </row>
    <row r="259" spans="1:11" x14ac:dyDescent="0.3">
      <c r="A259" s="9">
        <v>1258</v>
      </c>
      <c r="B259" s="9" t="s">
        <v>32</v>
      </c>
      <c r="C259" s="4" t="s">
        <v>31</v>
      </c>
      <c r="D259" s="4" t="s">
        <v>34</v>
      </c>
      <c r="E259" s="4" t="s">
        <v>9</v>
      </c>
      <c r="F259" s="4">
        <v>1</v>
      </c>
      <c r="G259" s="4">
        <v>10600</v>
      </c>
      <c r="H259" s="4">
        <v>5</v>
      </c>
      <c r="I259" s="7">
        <v>46137</v>
      </c>
      <c r="J259" s="7">
        <v>46138</v>
      </c>
      <c r="K259" s="4" t="s">
        <v>49</v>
      </c>
    </row>
    <row r="260" spans="1:11" x14ac:dyDescent="0.3">
      <c r="A260" s="9">
        <v>1259</v>
      </c>
      <c r="B260" s="9" t="s">
        <v>41</v>
      </c>
      <c r="C260" s="4" t="s">
        <v>26</v>
      </c>
      <c r="D260" s="4" t="s">
        <v>34</v>
      </c>
      <c r="E260" s="4" t="s">
        <v>6</v>
      </c>
      <c r="F260" s="4">
        <v>10</v>
      </c>
      <c r="G260" s="4">
        <v>38771</v>
      </c>
      <c r="H260" s="4">
        <v>15</v>
      </c>
      <c r="I260" s="7">
        <v>46172</v>
      </c>
      <c r="J260" s="7">
        <v>46182</v>
      </c>
      <c r="K260" s="4" t="s">
        <v>78</v>
      </c>
    </row>
    <row r="261" spans="1:11" x14ac:dyDescent="0.3">
      <c r="A261" s="9">
        <v>1260</v>
      </c>
      <c r="B261" s="9" t="s">
        <v>52</v>
      </c>
      <c r="C261" s="4" t="s">
        <v>38</v>
      </c>
      <c r="D261" s="4" t="s">
        <v>34</v>
      </c>
      <c r="E261" s="4" t="s">
        <v>40</v>
      </c>
      <c r="F261" s="4">
        <v>19</v>
      </c>
      <c r="G261" s="4">
        <v>54981</v>
      </c>
      <c r="H261" s="4">
        <v>10</v>
      </c>
      <c r="I261" s="7">
        <v>46040</v>
      </c>
      <c r="J261" s="7">
        <v>46045</v>
      </c>
      <c r="K261" s="4" t="s">
        <v>49</v>
      </c>
    </row>
    <row r="262" spans="1:11" x14ac:dyDescent="0.3">
      <c r="A262" s="9">
        <v>1261</v>
      </c>
      <c r="B262" s="9" t="s">
        <v>39</v>
      </c>
      <c r="C262" s="4" t="s">
        <v>23</v>
      </c>
      <c r="D262" s="4" t="s">
        <v>20</v>
      </c>
      <c r="E262" s="4" t="s">
        <v>48</v>
      </c>
      <c r="F262" s="4">
        <v>20</v>
      </c>
      <c r="G262" s="4">
        <v>162</v>
      </c>
      <c r="H262" s="4">
        <v>7</v>
      </c>
      <c r="I262" s="7">
        <v>46119</v>
      </c>
      <c r="J262" s="7">
        <v>46120</v>
      </c>
      <c r="K262" s="4" t="s">
        <v>81</v>
      </c>
    </row>
    <row r="263" spans="1:11" x14ac:dyDescent="0.3">
      <c r="A263" s="9">
        <v>1262</v>
      </c>
      <c r="B263" s="9" t="s">
        <v>22</v>
      </c>
      <c r="C263" s="4" t="s">
        <v>26</v>
      </c>
      <c r="D263" s="4" t="s">
        <v>24</v>
      </c>
      <c r="E263" s="4" t="s">
        <v>8</v>
      </c>
      <c r="F263" s="4">
        <v>9</v>
      </c>
      <c r="G263" s="4">
        <v>2231</v>
      </c>
      <c r="H263" s="4">
        <v>15</v>
      </c>
      <c r="I263" s="7">
        <v>46174</v>
      </c>
      <c r="J263" s="7">
        <v>46183</v>
      </c>
      <c r="K263" s="4" t="s">
        <v>78</v>
      </c>
    </row>
    <row r="264" spans="1:11" x14ac:dyDescent="0.3">
      <c r="A264" s="9">
        <v>1263</v>
      </c>
      <c r="B264" s="9" t="s">
        <v>49</v>
      </c>
      <c r="C264" s="4" t="s">
        <v>38</v>
      </c>
      <c r="D264" s="4" t="s">
        <v>24</v>
      </c>
      <c r="E264" s="4" t="s">
        <v>8</v>
      </c>
      <c r="F264" s="4">
        <v>10</v>
      </c>
      <c r="G264" s="4">
        <v>1505</v>
      </c>
      <c r="H264" s="4">
        <v>0</v>
      </c>
      <c r="I264" s="7">
        <v>46130</v>
      </c>
      <c r="J264" s="7">
        <v>46138</v>
      </c>
      <c r="K264" s="4" t="s">
        <v>81</v>
      </c>
    </row>
    <row r="265" spans="1:11" x14ac:dyDescent="0.3">
      <c r="A265" s="9">
        <v>1264</v>
      </c>
      <c r="B265" s="9" t="s">
        <v>18</v>
      </c>
      <c r="C265" s="4" t="s">
        <v>26</v>
      </c>
      <c r="D265" s="4" t="s">
        <v>24</v>
      </c>
      <c r="E265" s="4" t="s">
        <v>8</v>
      </c>
      <c r="F265" s="4">
        <v>15</v>
      </c>
      <c r="G265" s="4">
        <v>6365</v>
      </c>
      <c r="H265" s="4">
        <v>10</v>
      </c>
      <c r="I265" s="7">
        <v>46200</v>
      </c>
      <c r="J265" s="7">
        <v>46206</v>
      </c>
      <c r="K265" s="4" t="s">
        <v>79</v>
      </c>
    </row>
    <row r="266" spans="1:11" x14ac:dyDescent="0.3">
      <c r="A266" s="9">
        <v>1265</v>
      </c>
      <c r="B266" s="9" t="s">
        <v>55</v>
      </c>
      <c r="C266" s="4" t="s">
        <v>26</v>
      </c>
      <c r="D266" s="4" t="s">
        <v>24</v>
      </c>
      <c r="E266" s="4" t="s">
        <v>7</v>
      </c>
      <c r="F266" s="4">
        <v>1</v>
      </c>
      <c r="G266" s="4">
        <v>1052</v>
      </c>
      <c r="H266" s="4">
        <v>7</v>
      </c>
      <c r="I266" s="7">
        <v>46117</v>
      </c>
      <c r="J266" s="7">
        <v>46127</v>
      </c>
      <c r="K266" s="4" t="s">
        <v>81</v>
      </c>
    </row>
    <row r="267" spans="1:11" x14ac:dyDescent="0.3">
      <c r="A267" s="9">
        <v>1266</v>
      </c>
      <c r="B267" s="9" t="s">
        <v>49</v>
      </c>
      <c r="C267" s="4" t="s">
        <v>33</v>
      </c>
      <c r="D267" s="4" t="s">
        <v>20</v>
      </c>
      <c r="E267" s="4" t="s">
        <v>21</v>
      </c>
      <c r="F267" s="4">
        <v>17</v>
      </c>
      <c r="G267" s="4">
        <v>365</v>
      </c>
      <c r="H267" s="4">
        <v>2</v>
      </c>
      <c r="I267" s="7">
        <v>46096</v>
      </c>
      <c r="J267" s="7">
        <v>46104</v>
      </c>
      <c r="K267" s="4" t="s">
        <v>81</v>
      </c>
    </row>
    <row r="268" spans="1:11" x14ac:dyDescent="0.3">
      <c r="A268" s="9">
        <v>1267</v>
      </c>
      <c r="B268" s="9" t="s">
        <v>29</v>
      </c>
      <c r="C268" s="4" t="s">
        <v>38</v>
      </c>
      <c r="D268" s="4" t="s">
        <v>20</v>
      </c>
      <c r="E268" s="4" t="s">
        <v>48</v>
      </c>
      <c r="F268" s="4">
        <v>1</v>
      </c>
      <c r="G268" s="4">
        <v>50</v>
      </c>
      <c r="H268" s="4">
        <v>0</v>
      </c>
      <c r="I268" s="7">
        <v>46129</v>
      </c>
      <c r="J268" s="7">
        <v>46138</v>
      </c>
      <c r="K268" s="4" t="s">
        <v>79</v>
      </c>
    </row>
    <row r="269" spans="1:11" x14ac:dyDescent="0.3">
      <c r="A269" s="9">
        <v>1268</v>
      </c>
      <c r="B269" s="9" t="s">
        <v>41</v>
      </c>
      <c r="C269" s="4" t="s">
        <v>38</v>
      </c>
      <c r="D269" s="4" t="s">
        <v>34</v>
      </c>
      <c r="E269" s="4" t="s">
        <v>6</v>
      </c>
      <c r="F269" s="4">
        <v>10</v>
      </c>
      <c r="G269" s="4">
        <v>46291</v>
      </c>
      <c r="H269" s="4">
        <v>12</v>
      </c>
      <c r="I269" s="7">
        <v>46199</v>
      </c>
      <c r="J269" s="7">
        <v>46202</v>
      </c>
      <c r="K269" s="4" t="s">
        <v>79</v>
      </c>
    </row>
    <row r="270" spans="1:11" x14ac:dyDescent="0.3">
      <c r="A270" s="9">
        <v>1269</v>
      </c>
      <c r="B270" s="9" t="s">
        <v>50</v>
      </c>
      <c r="C270" s="4" t="s">
        <v>42</v>
      </c>
      <c r="D270" s="4" t="s">
        <v>24</v>
      </c>
      <c r="E270" s="4" t="s">
        <v>7</v>
      </c>
      <c r="F270" s="4">
        <v>14</v>
      </c>
      <c r="G270" s="4">
        <v>5704</v>
      </c>
      <c r="H270" s="4">
        <v>2</v>
      </c>
      <c r="I270" s="7">
        <v>46129</v>
      </c>
      <c r="J270" s="7">
        <v>46131</v>
      </c>
      <c r="K270" s="4" t="s">
        <v>78</v>
      </c>
    </row>
    <row r="271" spans="1:11" x14ac:dyDescent="0.3">
      <c r="A271" s="9">
        <v>1270</v>
      </c>
      <c r="B271" s="9" t="s">
        <v>47</v>
      </c>
      <c r="C271" s="4" t="s">
        <v>42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7">
        <v>46135</v>
      </c>
      <c r="J271" s="7">
        <v>46141</v>
      </c>
      <c r="K271" s="4" t="s">
        <v>81</v>
      </c>
    </row>
    <row r="272" spans="1:11" x14ac:dyDescent="0.3">
      <c r="A272" s="9">
        <v>1271</v>
      </c>
      <c r="B272" s="9" t="s">
        <v>39</v>
      </c>
      <c r="C272" s="4" t="s">
        <v>33</v>
      </c>
      <c r="D272" s="4" t="s">
        <v>34</v>
      </c>
      <c r="E272" s="4" t="s">
        <v>9</v>
      </c>
      <c r="F272" s="4">
        <v>20</v>
      </c>
      <c r="G272" s="4">
        <v>36941</v>
      </c>
      <c r="H272" s="4">
        <v>15</v>
      </c>
      <c r="I272" s="7">
        <v>46083</v>
      </c>
      <c r="J272" s="7">
        <v>46085</v>
      </c>
      <c r="K272" s="4" t="s">
        <v>49</v>
      </c>
    </row>
    <row r="273" spans="1:11" x14ac:dyDescent="0.3">
      <c r="A273" s="9">
        <v>1272</v>
      </c>
      <c r="B273" s="9" t="s">
        <v>50</v>
      </c>
      <c r="C273" s="4" t="s">
        <v>38</v>
      </c>
      <c r="D273" s="4" t="s">
        <v>34</v>
      </c>
      <c r="E273" s="4" t="s">
        <v>40</v>
      </c>
      <c r="F273" s="4">
        <v>13</v>
      </c>
      <c r="G273" s="4">
        <v>42179</v>
      </c>
      <c r="H273" s="4">
        <v>0</v>
      </c>
      <c r="I273" s="7">
        <v>46078</v>
      </c>
      <c r="J273" s="7">
        <v>46084</v>
      </c>
      <c r="K273" s="4" t="s">
        <v>79</v>
      </c>
    </row>
    <row r="274" spans="1:11" x14ac:dyDescent="0.3">
      <c r="A274" s="9">
        <v>1273</v>
      </c>
      <c r="B274" s="9" t="s">
        <v>44</v>
      </c>
      <c r="C274" s="4" t="s">
        <v>27</v>
      </c>
      <c r="D274" s="4" t="s">
        <v>34</v>
      </c>
      <c r="E274" s="4" t="s">
        <v>5</v>
      </c>
      <c r="F274" s="4">
        <v>12</v>
      </c>
      <c r="G274" s="4">
        <v>20618</v>
      </c>
      <c r="H274" s="4">
        <v>12</v>
      </c>
      <c r="I274" s="7">
        <v>46172</v>
      </c>
      <c r="J274" s="7">
        <v>46174</v>
      </c>
      <c r="K274" s="4" t="s">
        <v>79</v>
      </c>
    </row>
    <row r="275" spans="1:11" x14ac:dyDescent="0.3">
      <c r="A275" s="9">
        <v>1274</v>
      </c>
      <c r="B275" s="9" t="s">
        <v>28</v>
      </c>
      <c r="C275" s="4" t="s">
        <v>27</v>
      </c>
      <c r="D275" s="4" t="s">
        <v>34</v>
      </c>
      <c r="E275" s="4" t="s">
        <v>40</v>
      </c>
      <c r="F275" s="4">
        <v>13</v>
      </c>
      <c r="G275" s="4">
        <v>36652</v>
      </c>
      <c r="H275" s="4">
        <v>12</v>
      </c>
      <c r="I275" s="7">
        <v>46179</v>
      </c>
      <c r="J275" s="7">
        <v>46186</v>
      </c>
      <c r="K275" s="4" t="s">
        <v>79</v>
      </c>
    </row>
    <row r="276" spans="1:11" x14ac:dyDescent="0.3">
      <c r="A276" s="9">
        <v>1275</v>
      </c>
      <c r="B276" s="9" t="s">
        <v>22</v>
      </c>
      <c r="C276" s="4" t="s">
        <v>31</v>
      </c>
      <c r="D276" s="4" t="s">
        <v>20</v>
      </c>
      <c r="E276" s="4" t="s">
        <v>48</v>
      </c>
      <c r="F276" s="4">
        <v>20</v>
      </c>
      <c r="G276" s="4">
        <v>451</v>
      </c>
      <c r="H276" s="4">
        <v>15</v>
      </c>
      <c r="I276" s="7">
        <v>46092</v>
      </c>
      <c r="J276" s="7">
        <v>46094</v>
      </c>
      <c r="K276" s="4" t="s">
        <v>79</v>
      </c>
    </row>
    <row r="277" spans="1:11" x14ac:dyDescent="0.3">
      <c r="A277" s="9">
        <v>1276</v>
      </c>
      <c r="B277" s="9" t="s">
        <v>39</v>
      </c>
      <c r="C277" s="4" t="s">
        <v>19</v>
      </c>
      <c r="D277" s="4" t="s">
        <v>24</v>
      </c>
      <c r="E277" s="4" t="s">
        <v>7</v>
      </c>
      <c r="F277" s="4">
        <v>1</v>
      </c>
      <c r="G277" s="4">
        <v>13437</v>
      </c>
      <c r="H277" s="4">
        <v>15</v>
      </c>
      <c r="I277" s="7">
        <v>46097</v>
      </c>
      <c r="J277" s="7">
        <v>46099</v>
      </c>
      <c r="K277" s="4" t="s">
        <v>80</v>
      </c>
    </row>
    <row r="278" spans="1:11" x14ac:dyDescent="0.3">
      <c r="A278" s="9">
        <v>1277</v>
      </c>
      <c r="B278" s="9" t="s">
        <v>56</v>
      </c>
      <c r="C278" s="4" t="s">
        <v>23</v>
      </c>
      <c r="D278" s="4" t="s">
        <v>20</v>
      </c>
      <c r="E278" s="4" t="s">
        <v>36</v>
      </c>
      <c r="F278" s="4">
        <v>14</v>
      </c>
      <c r="G278" s="4">
        <v>276</v>
      </c>
      <c r="H278" s="4">
        <v>0</v>
      </c>
      <c r="I278" s="7">
        <v>46086</v>
      </c>
      <c r="J278" s="7">
        <v>46089</v>
      </c>
      <c r="K278" s="4" t="s">
        <v>78</v>
      </c>
    </row>
    <row r="279" spans="1:11" x14ac:dyDescent="0.3">
      <c r="A279" s="9">
        <v>1278</v>
      </c>
      <c r="B279" s="9" t="s">
        <v>45</v>
      </c>
      <c r="C279" s="4" t="s">
        <v>26</v>
      </c>
      <c r="D279" s="4" t="s">
        <v>34</v>
      </c>
      <c r="E279" s="4" t="s">
        <v>12</v>
      </c>
      <c r="F279" s="4">
        <v>4</v>
      </c>
      <c r="G279" s="4">
        <v>20639</v>
      </c>
      <c r="H279" s="4">
        <v>7</v>
      </c>
      <c r="I279" s="7">
        <v>46180</v>
      </c>
      <c r="J279" s="7">
        <v>46186</v>
      </c>
      <c r="K279" s="4" t="s">
        <v>79</v>
      </c>
    </row>
    <row r="280" spans="1:11" x14ac:dyDescent="0.3">
      <c r="A280" s="9">
        <v>1279</v>
      </c>
      <c r="B280" s="9" t="s">
        <v>53</v>
      </c>
      <c r="C280" s="4" t="s">
        <v>33</v>
      </c>
      <c r="D280" s="4" t="s">
        <v>34</v>
      </c>
      <c r="E280" s="4" t="s">
        <v>6</v>
      </c>
      <c r="F280" s="4">
        <v>20</v>
      </c>
      <c r="G280" s="4">
        <v>49042</v>
      </c>
      <c r="H280" s="4">
        <v>2</v>
      </c>
      <c r="I280" s="7">
        <v>46124</v>
      </c>
      <c r="J280" s="7">
        <v>46126</v>
      </c>
      <c r="K280" s="4" t="s">
        <v>78</v>
      </c>
    </row>
    <row r="281" spans="1:11" x14ac:dyDescent="0.3">
      <c r="A281" s="9">
        <v>1280</v>
      </c>
      <c r="B281" s="9" t="s">
        <v>56</v>
      </c>
      <c r="C281" s="4" t="s">
        <v>38</v>
      </c>
      <c r="D281" s="4" t="s">
        <v>20</v>
      </c>
      <c r="E281" s="4" t="s">
        <v>51</v>
      </c>
      <c r="F281" s="4">
        <v>9</v>
      </c>
      <c r="G281" s="4">
        <v>50</v>
      </c>
      <c r="H281" s="4">
        <v>7</v>
      </c>
      <c r="I281" s="7">
        <v>46085</v>
      </c>
      <c r="J281" s="7">
        <v>46095</v>
      </c>
      <c r="K281" s="4" t="s">
        <v>81</v>
      </c>
    </row>
    <row r="282" spans="1:11" x14ac:dyDescent="0.3">
      <c r="A282" s="9">
        <v>1281</v>
      </c>
      <c r="B282" s="9" t="s">
        <v>53</v>
      </c>
      <c r="C282" s="4" t="s">
        <v>23</v>
      </c>
      <c r="D282" s="4" t="s">
        <v>20</v>
      </c>
      <c r="E282" s="4" t="s">
        <v>48</v>
      </c>
      <c r="F282" s="4">
        <v>6</v>
      </c>
      <c r="G282" s="4">
        <v>253</v>
      </c>
      <c r="H282" s="4">
        <v>0</v>
      </c>
      <c r="I282" s="7">
        <v>46055</v>
      </c>
      <c r="J282" s="7">
        <v>46063</v>
      </c>
      <c r="K282" s="4" t="s">
        <v>80</v>
      </c>
    </row>
    <row r="283" spans="1:11" x14ac:dyDescent="0.3">
      <c r="A283" s="9">
        <v>1282</v>
      </c>
      <c r="B283" s="9" t="s">
        <v>54</v>
      </c>
      <c r="C283" s="4" t="s">
        <v>42</v>
      </c>
      <c r="D283" s="4" t="s">
        <v>24</v>
      </c>
      <c r="E283" s="4" t="s">
        <v>43</v>
      </c>
      <c r="F283" s="4">
        <v>12</v>
      </c>
      <c r="G283" s="4">
        <v>3178</v>
      </c>
      <c r="H283" s="4">
        <v>10</v>
      </c>
      <c r="I283" s="7">
        <v>46176</v>
      </c>
      <c r="J283" s="7">
        <v>46177</v>
      </c>
      <c r="K283" s="4" t="s">
        <v>49</v>
      </c>
    </row>
    <row r="284" spans="1:11" x14ac:dyDescent="0.3">
      <c r="A284" s="9">
        <v>1283</v>
      </c>
      <c r="B284" s="9" t="s">
        <v>39</v>
      </c>
      <c r="C284" s="4" t="s">
        <v>19</v>
      </c>
      <c r="D284" s="4" t="s">
        <v>24</v>
      </c>
      <c r="E284" s="4" t="s">
        <v>10</v>
      </c>
      <c r="F284" s="4">
        <v>6</v>
      </c>
      <c r="G284" s="4">
        <v>1167</v>
      </c>
      <c r="H284" s="4">
        <v>2</v>
      </c>
      <c r="I284" s="7">
        <v>46100</v>
      </c>
      <c r="J284" s="7">
        <v>46106</v>
      </c>
      <c r="K284" s="4" t="s">
        <v>78</v>
      </c>
    </row>
    <row r="285" spans="1:11" x14ac:dyDescent="0.3">
      <c r="A285" s="9">
        <v>1284</v>
      </c>
      <c r="B285" s="9" t="s">
        <v>39</v>
      </c>
      <c r="C285" s="4" t="s">
        <v>27</v>
      </c>
      <c r="D285" s="4" t="s">
        <v>20</v>
      </c>
      <c r="E285" s="4" t="s">
        <v>37</v>
      </c>
      <c r="F285" s="4">
        <v>16</v>
      </c>
      <c r="G285" s="4">
        <v>419</v>
      </c>
      <c r="H285" s="4">
        <v>2</v>
      </c>
      <c r="I285" s="7">
        <v>46082</v>
      </c>
      <c r="J285" s="7">
        <v>46090</v>
      </c>
      <c r="K285" s="4" t="s">
        <v>78</v>
      </c>
    </row>
    <row r="286" spans="1:11" x14ac:dyDescent="0.3">
      <c r="A286" s="9">
        <v>1285</v>
      </c>
      <c r="B286" s="9" t="s">
        <v>32</v>
      </c>
      <c r="C286" s="4" t="s">
        <v>38</v>
      </c>
      <c r="D286" s="4" t="s">
        <v>20</v>
      </c>
      <c r="E286" s="4" t="s">
        <v>36</v>
      </c>
      <c r="F286" s="4">
        <v>7</v>
      </c>
      <c r="G286" s="4">
        <v>439</v>
      </c>
      <c r="H286" s="4">
        <v>15</v>
      </c>
      <c r="I286" s="7">
        <v>46055</v>
      </c>
      <c r="J286" s="7">
        <v>46058</v>
      </c>
      <c r="K286" s="4" t="s">
        <v>79</v>
      </c>
    </row>
    <row r="287" spans="1:11" x14ac:dyDescent="0.3">
      <c r="A287" s="9">
        <v>1286</v>
      </c>
      <c r="B287" s="9" t="s">
        <v>44</v>
      </c>
      <c r="C287" s="4" t="s">
        <v>23</v>
      </c>
      <c r="D287" s="4" t="s">
        <v>24</v>
      </c>
      <c r="E287" s="4" t="s">
        <v>11</v>
      </c>
      <c r="F287" s="4">
        <v>9</v>
      </c>
      <c r="G287" s="4">
        <v>1340</v>
      </c>
      <c r="H287" s="4">
        <v>2</v>
      </c>
      <c r="I287" s="7">
        <v>46168</v>
      </c>
      <c r="J287" s="7">
        <v>46173</v>
      </c>
      <c r="K287" s="4" t="s">
        <v>78</v>
      </c>
    </row>
    <row r="288" spans="1:11" x14ac:dyDescent="0.3">
      <c r="A288" s="9">
        <v>1287</v>
      </c>
      <c r="B288" s="9" t="s">
        <v>56</v>
      </c>
      <c r="C288" s="4" t="s">
        <v>31</v>
      </c>
      <c r="D288" s="4" t="s">
        <v>20</v>
      </c>
      <c r="E288" s="4" t="s">
        <v>21</v>
      </c>
      <c r="F288" s="4">
        <v>15</v>
      </c>
      <c r="G288" s="4">
        <v>251</v>
      </c>
      <c r="H288" s="4">
        <v>2</v>
      </c>
      <c r="I288" s="7">
        <v>46116</v>
      </c>
      <c r="J288" s="7">
        <v>46122</v>
      </c>
      <c r="K288" s="4" t="s">
        <v>81</v>
      </c>
    </row>
    <row r="289" spans="1:11" x14ac:dyDescent="0.3">
      <c r="A289" s="9">
        <v>1288</v>
      </c>
      <c r="B289" s="9" t="s">
        <v>52</v>
      </c>
      <c r="C289" s="4" t="s">
        <v>26</v>
      </c>
      <c r="D289" s="4" t="s">
        <v>34</v>
      </c>
      <c r="E289" s="4" t="s">
        <v>9</v>
      </c>
      <c r="F289" s="4">
        <v>14</v>
      </c>
      <c r="G289" s="4">
        <v>35601</v>
      </c>
      <c r="H289" s="4">
        <v>10</v>
      </c>
      <c r="I289" s="7">
        <v>46179</v>
      </c>
      <c r="J289" s="7">
        <v>46187</v>
      </c>
      <c r="K289" s="4" t="s">
        <v>49</v>
      </c>
    </row>
    <row r="290" spans="1:11" x14ac:dyDescent="0.3">
      <c r="A290" s="9">
        <v>1289</v>
      </c>
      <c r="B290" s="9" t="s">
        <v>28</v>
      </c>
      <c r="C290" s="4" t="s">
        <v>26</v>
      </c>
      <c r="D290" s="4" t="s">
        <v>34</v>
      </c>
      <c r="E290" s="4" t="s">
        <v>6</v>
      </c>
      <c r="F290" s="4">
        <v>19</v>
      </c>
      <c r="G290" s="4">
        <v>25336</v>
      </c>
      <c r="H290" s="4">
        <v>2</v>
      </c>
      <c r="I290" s="7">
        <v>46122</v>
      </c>
      <c r="J290" s="7">
        <v>46130</v>
      </c>
      <c r="K290" s="4" t="s">
        <v>80</v>
      </c>
    </row>
    <row r="291" spans="1:11" x14ac:dyDescent="0.3">
      <c r="A291" s="9">
        <v>1290</v>
      </c>
      <c r="B291" s="9" t="s">
        <v>28</v>
      </c>
      <c r="C291" s="4" t="s">
        <v>26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7">
        <v>46110</v>
      </c>
      <c r="J291" s="7">
        <v>46111</v>
      </c>
      <c r="K291" s="4" t="s">
        <v>49</v>
      </c>
    </row>
    <row r="292" spans="1:11" x14ac:dyDescent="0.3">
      <c r="A292" s="9">
        <v>1291</v>
      </c>
      <c r="B292" s="9" t="s">
        <v>25</v>
      </c>
      <c r="C292" s="4" t="s">
        <v>23</v>
      </c>
      <c r="D292" s="4" t="s">
        <v>20</v>
      </c>
      <c r="E292" s="4" t="s">
        <v>36</v>
      </c>
      <c r="F292" s="4">
        <v>17</v>
      </c>
      <c r="G292" s="4">
        <v>415</v>
      </c>
      <c r="H292" s="4">
        <v>5</v>
      </c>
      <c r="I292" s="7">
        <v>46137</v>
      </c>
      <c r="J292" s="7">
        <v>46141</v>
      </c>
      <c r="K292" s="4" t="s">
        <v>79</v>
      </c>
    </row>
    <row r="293" spans="1:11" x14ac:dyDescent="0.3">
      <c r="A293" s="9">
        <v>1292</v>
      </c>
      <c r="B293" s="9" t="s">
        <v>52</v>
      </c>
      <c r="C293" s="4" t="s">
        <v>33</v>
      </c>
      <c r="D293" s="4" t="s">
        <v>34</v>
      </c>
      <c r="E293" s="4" t="s">
        <v>12</v>
      </c>
      <c r="F293" s="4">
        <v>11</v>
      </c>
      <c r="G293" s="4">
        <v>25158</v>
      </c>
      <c r="H293" s="4">
        <v>5</v>
      </c>
      <c r="I293" s="7">
        <v>46186</v>
      </c>
      <c r="J293" s="7">
        <v>46193</v>
      </c>
      <c r="K293" s="4" t="s">
        <v>79</v>
      </c>
    </row>
    <row r="294" spans="1:11" x14ac:dyDescent="0.3">
      <c r="A294" s="9">
        <v>1293</v>
      </c>
      <c r="B294" s="9" t="s">
        <v>47</v>
      </c>
      <c r="C294" s="4" t="s">
        <v>42</v>
      </c>
      <c r="D294" s="4" t="s">
        <v>24</v>
      </c>
      <c r="E294" s="4" t="s">
        <v>10</v>
      </c>
      <c r="F294" s="4">
        <v>7</v>
      </c>
      <c r="G294" s="4">
        <v>11481</v>
      </c>
      <c r="H294" s="4">
        <v>15</v>
      </c>
      <c r="I294" s="7">
        <v>46045</v>
      </c>
      <c r="J294" s="7">
        <v>46050</v>
      </c>
      <c r="K294" s="4" t="s">
        <v>79</v>
      </c>
    </row>
    <row r="295" spans="1:11" x14ac:dyDescent="0.3">
      <c r="A295" s="9">
        <v>1294</v>
      </c>
      <c r="B295" s="9" t="s">
        <v>25</v>
      </c>
      <c r="C295" s="4" t="s">
        <v>19</v>
      </c>
      <c r="D295" s="4" t="s">
        <v>24</v>
      </c>
      <c r="E295" s="4" t="s">
        <v>7</v>
      </c>
      <c r="F295" s="4">
        <v>8</v>
      </c>
      <c r="G295" s="4">
        <v>14448</v>
      </c>
      <c r="H295" s="4">
        <v>10</v>
      </c>
      <c r="I295" s="7">
        <v>46181</v>
      </c>
      <c r="J295" s="7">
        <v>46189</v>
      </c>
      <c r="K295" s="4" t="s">
        <v>78</v>
      </c>
    </row>
    <row r="296" spans="1:11" x14ac:dyDescent="0.3">
      <c r="A296" s="9">
        <v>1295</v>
      </c>
      <c r="B296" s="9" t="s">
        <v>50</v>
      </c>
      <c r="C296" s="4" t="s">
        <v>38</v>
      </c>
      <c r="D296" s="4" t="s">
        <v>24</v>
      </c>
      <c r="E296" s="4" t="s">
        <v>8</v>
      </c>
      <c r="F296" s="4">
        <v>16</v>
      </c>
      <c r="G296" s="4">
        <v>11935</v>
      </c>
      <c r="H296" s="4">
        <v>12</v>
      </c>
      <c r="I296" s="7">
        <v>46157</v>
      </c>
      <c r="J296" s="7">
        <v>46162</v>
      </c>
      <c r="K296" s="4" t="s">
        <v>78</v>
      </c>
    </row>
    <row r="297" spans="1:11" x14ac:dyDescent="0.3">
      <c r="A297" s="9">
        <v>1296</v>
      </c>
      <c r="B297" s="9" t="s">
        <v>28</v>
      </c>
      <c r="C297" s="4" t="s">
        <v>38</v>
      </c>
      <c r="D297" s="4" t="s">
        <v>20</v>
      </c>
      <c r="E297" s="4" t="s">
        <v>48</v>
      </c>
      <c r="F297" s="4">
        <v>6</v>
      </c>
      <c r="G297" s="4">
        <v>201</v>
      </c>
      <c r="H297" s="4">
        <v>0</v>
      </c>
      <c r="I297" s="7">
        <v>46063</v>
      </c>
      <c r="J297" s="7">
        <v>46072</v>
      </c>
      <c r="K297" s="4" t="s">
        <v>81</v>
      </c>
    </row>
    <row r="298" spans="1:11" x14ac:dyDescent="0.3">
      <c r="A298" s="9">
        <v>1297</v>
      </c>
      <c r="B298" s="9" t="s">
        <v>52</v>
      </c>
      <c r="C298" s="4" t="s">
        <v>27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7">
        <v>46178</v>
      </c>
      <c r="J298" s="7">
        <v>46187</v>
      </c>
      <c r="K298" s="4" t="s">
        <v>49</v>
      </c>
    </row>
    <row r="299" spans="1:11" x14ac:dyDescent="0.3">
      <c r="A299" s="9">
        <v>1298</v>
      </c>
      <c r="B299" s="9" t="s">
        <v>25</v>
      </c>
      <c r="C299" s="4" t="s">
        <v>19</v>
      </c>
      <c r="D299" s="4" t="s">
        <v>34</v>
      </c>
      <c r="E299" s="4" t="s">
        <v>12</v>
      </c>
      <c r="F299" s="4">
        <v>19</v>
      </c>
      <c r="G299" s="4">
        <v>20745</v>
      </c>
      <c r="H299" s="4">
        <v>2</v>
      </c>
      <c r="I299" s="7">
        <v>46083</v>
      </c>
      <c r="J299" s="7">
        <v>46093</v>
      </c>
      <c r="K299" s="4" t="s">
        <v>80</v>
      </c>
    </row>
    <row r="300" spans="1:11" x14ac:dyDescent="0.3">
      <c r="A300" s="9">
        <v>1299</v>
      </c>
      <c r="B300" s="9" t="s">
        <v>28</v>
      </c>
      <c r="C300" s="4" t="s">
        <v>23</v>
      </c>
      <c r="D300" s="4" t="s">
        <v>24</v>
      </c>
      <c r="E300" s="4" t="s">
        <v>11</v>
      </c>
      <c r="F300" s="4">
        <v>8</v>
      </c>
      <c r="G300" s="4">
        <v>8783</v>
      </c>
      <c r="H300" s="4">
        <v>2</v>
      </c>
      <c r="I300" s="7">
        <v>46123</v>
      </c>
      <c r="J300" s="7">
        <v>46132</v>
      </c>
      <c r="K300" s="4" t="s">
        <v>78</v>
      </c>
    </row>
    <row r="301" spans="1:11" x14ac:dyDescent="0.3">
      <c r="A301" s="9">
        <v>1300</v>
      </c>
      <c r="B301" s="9" t="s">
        <v>45</v>
      </c>
      <c r="C301" s="4" t="s">
        <v>33</v>
      </c>
      <c r="D301" s="4" t="s">
        <v>34</v>
      </c>
      <c r="E301" s="4" t="s">
        <v>6</v>
      </c>
      <c r="F301" s="4">
        <v>20</v>
      </c>
      <c r="G301" s="4">
        <v>1392</v>
      </c>
      <c r="H301" s="4">
        <v>2</v>
      </c>
      <c r="I301" s="7">
        <v>46110</v>
      </c>
      <c r="J301" s="7">
        <v>46117</v>
      </c>
      <c r="K301" s="4" t="s">
        <v>80</v>
      </c>
    </row>
    <row r="302" spans="1:11" x14ac:dyDescent="0.3">
      <c r="A302" s="9">
        <v>1301</v>
      </c>
      <c r="B302" s="9" t="s">
        <v>52</v>
      </c>
      <c r="C302" s="4" t="s">
        <v>23</v>
      </c>
      <c r="D302" s="4" t="s">
        <v>24</v>
      </c>
      <c r="E302" s="4" t="s">
        <v>8</v>
      </c>
      <c r="F302" s="4">
        <v>3</v>
      </c>
      <c r="G302" s="4">
        <v>7020</v>
      </c>
      <c r="H302" s="4">
        <v>10</v>
      </c>
      <c r="I302" s="7">
        <v>46028</v>
      </c>
      <c r="J302" s="7">
        <v>46038</v>
      </c>
      <c r="K302" s="4" t="s">
        <v>80</v>
      </c>
    </row>
    <row r="303" spans="1:11" x14ac:dyDescent="0.3">
      <c r="A303" s="9">
        <v>1302</v>
      </c>
      <c r="B303" s="9" t="s">
        <v>54</v>
      </c>
      <c r="C303" s="4" t="s">
        <v>19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7">
        <v>46163</v>
      </c>
      <c r="J303" s="7">
        <v>46172</v>
      </c>
      <c r="K303" s="4" t="s">
        <v>80</v>
      </c>
    </row>
    <row r="304" spans="1:11" x14ac:dyDescent="0.3">
      <c r="A304" s="9">
        <v>1303</v>
      </c>
      <c r="B304" s="9" t="s">
        <v>54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7">
        <v>46124</v>
      </c>
      <c r="J304" s="7">
        <v>46127</v>
      </c>
      <c r="K304" s="4" t="s">
        <v>78</v>
      </c>
    </row>
    <row r="305" spans="1:11" x14ac:dyDescent="0.3">
      <c r="A305" s="9">
        <v>1304</v>
      </c>
      <c r="B305" s="9" t="s">
        <v>56</v>
      </c>
      <c r="C305" s="4" t="s">
        <v>27</v>
      </c>
      <c r="D305" s="4" t="s">
        <v>20</v>
      </c>
      <c r="E305" s="4" t="s">
        <v>36</v>
      </c>
      <c r="F305" s="4">
        <v>20</v>
      </c>
      <c r="G305" s="4">
        <v>368</v>
      </c>
      <c r="H305" s="4">
        <v>7</v>
      </c>
      <c r="I305" s="7">
        <v>46042</v>
      </c>
      <c r="J305" s="7">
        <v>46051</v>
      </c>
      <c r="K305" s="4" t="s">
        <v>81</v>
      </c>
    </row>
    <row r="306" spans="1:11" x14ac:dyDescent="0.3">
      <c r="A306" s="9">
        <v>1305</v>
      </c>
      <c r="B306" s="9" t="s">
        <v>55</v>
      </c>
      <c r="C306" s="4" t="s">
        <v>31</v>
      </c>
      <c r="D306" s="4" t="s">
        <v>34</v>
      </c>
      <c r="E306" s="4" t="s">
        <v>9</v>
      </c>
      <c r="F306" s="4">
        <v>20</v>
      </c>
      <c r="G306" s="4">
        <v>31406</v>
      </c>
      <c r="H306" s="4">
        <v>15</v>
      </c>
      <c r="I306" s="7">
        <v>46146</v>
      </c>
      <c r="J306" s="7">
        <v>46154</v>
      </c>
      <c r="K306" s="4" t="s">
        <v>81</v>
      </c>
    </row>
    <row r="307" spans="1:11" x14ac:dyDescent="0.3">
      <c r="A307" s="9">
        <v>1306</v>
      </c>
      <c r="B307" s="9" t="s">
        <v>52</v>
      </c>
      <c r="C307" s="4" t="s">
        <v>42</v>
      </c>
      <c r="D307" s="4" t="s">
        <v>20</v>
      </c>
      <c r="E307" s="4" t="s">
        <v>36</v>
      </c>
      <c r="F307" s="4">
        <v>1</v>
      </c>
      <c r="G307" s="4">
        <v>332</v>
      </c>
      <c r="H307" s="4">
        <v>0</v>
      </c>
      <c r="I307" s="7">
        <v>46191</v>
      </c>
      <c r="J307" s="7">
        <v>46194</v>
      </c>
      <c r="K307" s="4" t="s">
        <v>79</v>
      </c>
    </row>
    <row r="308" spans="1:11" x14ac:dyDescent="0.3">
      <c r="A308" s="9">
        <v>1307</v>
      </c>
      <c r="B308" s="9" t="s">
        <v>54</v>
      </c>
      <c r="C308" s="4" t="s">
        <v>42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7">
        <v>46048</v>
      </c>
      <c r="J308" s="7">
        <v>46051</v>
      </c>
      <c r="K308" s="4" t="s">
        <v>81</v>
      </c>
    </row>
    <row r="309" spans="1:11" x14ac:dyDescent="0.3">
      <c r="A309" s="9">
        <v>1308</v>
      </c>
      <c r="B309" s="9" t="s">
        <v>30</v>
      </c>
      <c r="C309" s="4" t="s">
        <v>26</v>
      </c>
      <c r="D309" s="4" t="s">
        <v>34</v>
      </c>
      <c r="E309" s="4" t="s">
        <v>40</v>
      </c>
      <c r="F309" s="4">
        <v>12</v>
      </c>
      <c r="G309" s="4">
        <v>66075</v>
      </c>
      <c r="H309" s="4">
        <v>5</v>
      </c>
      <c r="I309" s="7">
        <v>46129</v>
      </c>
      <c r="J309" s="7">
        <v>46135</v>
      </c>
      <c r="K309" s="4" t="s">
        <v>79</v>
      </c>
    </row>
    <row r="310" spans="1:11" x14ac:dyDescent="0.3">
      <c r="A310" s="9">
        <v>1309</v>
      </c>
      <c r="B310" s="9" t="s">
        <v>49</v>
      </c>
      <c r="C310" s="4" t="s">
        <v>31</v>
      </c>
      <c r="D310" s="4" t="s">
        <v>20</v>
      </c>
      <c r="E310" s="4" t="s">
        <v>48</v>
      </c>
      <c r="F310" s="4">
        <v>2</v>
      </c>
      <c r="G310" s="4">
        <v>35</v>
      </c>
      <c r="H310" s="4">
        <v>5</v>
      </c>
      <c r="I310" s="7">
        <v>46197</v>
      </c>
      <c r="J310" s="7">
        <v>46198</v>
      </c>
      <c r="K310" s="4" t="s">
        <v>80</v>
      </c>
    </row>
    <row r="311" spans="1:11" x14ac:dyDescent="0.3">
      <c r="A311" s="9">
        <v>1310</v>
      </c>
      <c r="B311" s="9" t="s">
        <v>47</v>
      </c>
      <c r="C311" s="4" t="s">
        <v>23</v>
      </c>
      <c r="D311" s="4" t="s">
        <v>24</v>
      </c>
      <c r="E311" s="4" t="s">
        <v>11</v>
      </c>
      <c r="F311" s="4">
        <v>19</v>
      </c>
      <c r="G311" s="4">
        <v>12691</v>
      </c>
      <c r="H311" s="4">
        <v>0</v>
      </c>
      <c r="I311" s="7">
        <v>46181</v>
      </c>
      <c r="J311" s="7">
        <v>46189</v>
      </c>
      <c r="K311" s="4" t="s">
        <v>49</v>
      </c>
    </row>
    <row r="312" spans="1:11" x14ac:dyDescent="0.3">
      <c r="A312" s="9">
        <v>1311</v>
      </c>
      <c r="B312" s="9" t="s">
        <v>53</v>
      </c>
      <c r="C312" s="4" t="s">
        <v>19</v>
      </c>
      <c r="D312" s="4" t="s">
        <v>20</v>
      </c>
      <c r="E312" s="4" t="s">
        <v>21</v>
      </c>
      <c r="F312" s="4">
        <v>2</v>
      </c>
      <c r="G312" s="4">
        <v>209</v>
      </c>
      <c r="H312" s="4">
        <v>0</v>
      </c>
      <c r="I312" s="7">
        <v>46173</v>
      </c>
      <c r="J312" s="7">
        <v>46176</v>
      </c>
      <c r="K312" s="4" t="s">
        <v>79</v>
      </c>
    </row>
    <row r="313" spans="1:11" x14ac:dyDescent="0.3">
      <c r="A313" s="9">
        <v>1312</v>
      </c>
      <c r="B313" s="9" t="s">
        <v>54</v>
      </c>
      <c r="C313" s="4" t="s">
        <v>26</v>
      </c>
      <c r="D313" s="4" t="s">
        <v>24</v>
      </c>
      <c r="E313" s="4" t="s">
        <v>11</v>
      </c>
      <c r="F313" s="4">
        <v>20</v>
      </c>
      <c r="G313" s="4">
        <v>3274</v>
      </c>
      <c r="H313" s="4">
        <v>2</v>
      </c>
      <c r="I313" s="7">
        <v>46148</v>
      </c>
      <c r="J313" s="7">
        <v>46156</v>
      </c>
      <c r="K313" s="4" t="s">
        <v>80</v>
      </c>
    </row>
    <row r="314" spans="1:11" x14ac:dyDescent="0.3">
      <c r="A314" s="9">
        <v>1313</v>
      </c>
      <c r="B314" s="9" t="s">
        <v>56</v>
      </c>
      <c r="C314" s="4" t="s">
        <v>26</v>
      </c>
      <c r="D314" s="4" t="s">
        <v>24</v>
      </c>
      <c r="E314" s="4" t="s">
        <v>11</v>
      </c>
      <c r="F314" s="4">
        <v>6</v>
      </c>
      <c r="G314" s="4">
        <v>10864</v>
      </c>
      <c r="H314" s="4">
        <v>10</v>
      </c>
      <c r="I314" s="7">
        <v>46041</v>
      </c>
      <c r="J314" s="7">
        <v>46049</v>
      </c>
      <c r="K314" s="4" t="s">
        <v>78</v>
      </c>
    </row>
    <row r="315" spans="1:11" x14ac:dyDescent="0.3">
      <c r="A315" s="9">
        <v>1314</v>
      </c>
      <c r="B315" s="9" t="s">
        <v>50</v>
      </c>
      <c r="C315" s="4" t="s">
        <v>33</v>
      </c>
      <c r="D315" s="4" t="s">
        <v>24</v>
      </c>
      <c r="E315" s="4" t="s">
        <v>7</v>
      </c>
      <c r="F315" s="4">
        <v>10</v>
      </c>
      <c r="G315" s="4">
        <v>6328</v>
      </c>
      <c r="H315" s="4">
        <v>2</v>
      </c>
      <c r="I315" s="7">
        <v>46196</v>
      </c>
      <c r="J315" s="7">
        <v>46197</v>
      </c>
      <c r="K315" s="4" t="s">
        <v>49</v>
      </c>
    </row>
    <row r="316" spans="1:11" x14ac:dyDescent="0.3">
      <c r="A316" s="9">
        <v>1315</v>
      </c>
      <c r="B316" s="9" t="s">
        <v>47</v>
      </c>
      <c r="C316" s="4" t="s">
        <v>31</v>
      </c>
      <c r="D316" s="4" t="s">
        <v>34</v>
      </c>
      <c r="E316" s="4" t="s">
        <v>40</v>
      </c>
      <c r="F316" s="4">
        <v>14</v>
      </c>
      <c r="G316" s="4">
        <v>57670</v>
      </c>
      <c r="H316" s="4">
        <v>2</v>
      </c>
      <c r="I316" s="7">
        <v>46186</v>
      </c>
      <c r="J316" s="7">
        <v>46196</v>
      </c>
      <c r="K316" s="4" t="s">
        <v>78</v>
      </c>
    </row>
    <row r="317" spans="1:11" x14ac:dyDescent="0.3">
      <c r="A317" s="9">
        <v>1316</v>
      </c>
      <c r="B317" s="9" t="s">
        <v>44</v>
      </c>
      <c r="C317" s="4" t="s">
        <v>19</v>
      </c>
      <c r="D317" s="4" t="s">
        <v>24</v>
      </c>
      <c r="E317" s="4" t="s">
        <v>8</v>
      </c>
      <c r="F317" s="4">
        <v>7</v>
      </c>
      <c r="G317" s="4">
        <v>9838</v>
      </c>
      <c r="H317" s="4">
        <v>7</v>
      </c>
      <c r="I317" s="7">
        <v>46078</v>
      </c>
      <c r="J317" s="7">
        <v>46085</v>
      </c>
      <c r="K317" s="4" t="s">
        <v>79</v>
      </c>
    </row>
    <row r="318" spans="1:11" x14ac:dyDescent="0.3">
      <c r="A318" s="9">
        <v>1317</v>
      </c>
      <c r="B318" s="9" t="s">
        <v>56</v>
      </c>
      <c r="C318" s="4" t="s">
        <v>33</v>
      </c>
      <c r="D318" s="4" t="s">
        <v>34</v>
      </c>
      <c r="E318" s="4" t="s">
        <v>40</v>
      </c>
      <c r="F318" s="4">
        <v>7</v>
      </c>
      <c r="G318" s="4">
        <v>67339</v>
      </c>
      <c r="H318" s="4">
        <v>5</v>
      </c>
      <c r="I318" s="7">
        <v>46159</v>
      </c>
      <c r="J318" s="7">
        <v>46169</v>
      </c>
      <c r="K318" s="4" t="s">
        <v>81</v>
      </c>
    </row>
    <row r="319" spans="1:11" x14ac:dyDescent="0.3">
      <c r="A319" s="9">
        <v>1318</v>
      </c>
      <c r="B319" s="9" t="s">
        <v>18</v>
      </c>
      <c r="C319" s="4" t="s">
        <v>42</v>
      </c>
      <c r="D319" s="4" t="s">
        <v>20</v>
      </c>
      <c r="E319" s="4" t="s">
        <v>48</v>
      </c>
      <c r="F319" s="4">
        <v>4</v>
      </c>
      <c r="G319" s="4">
        <v>38</v>
      </c>
      <c r="H319" s="4">
        <v>12</v>
      </c>
      <c r="I319" s="7">
        <v>46169</v>
      </c>
      <c r="J319" s="7">
        <v>46175</v>
      </c>
      <c r="K319" s="4" t="s">
        <v>49</v>
      </c>
    </row>
    <row r="320" spans="1:11" x14ac:dyDescent="0.3">
      <c r="A320" s="9">
        <v>1319</v>
      </c>
      <c r="B320" s="9" t="s">
        <v>25</v>
      </c>
      <c r="C320" s="4" t="s">
        <v>23</v>
      </c>
      <c r="D320" s="4" t="s">
        <v>34</v>
      </c>
      <c r="E320" s="4" t="s">
        <v>12</v>
      </c>
      <c r="F320" s="4">
        <v>17</v>
      </c>
      <c r="G320" s="4">
        <v>58407</v>
      </c>
      <c r="H320" s="4">
        <v>7</v>
      </c>
      <c r="I320" s="7">
        <v>46094</v>
      </c>
      <c r="J320" s="7">
        <v>46102</v>
      </c>
      <c r="K320" s="4" t="s">
        <v>78</v>
      </c>
    </row>
    <row r="321" spans="1:11" x14ac:dyDescent="0.3">
      <c r="A321" s="9">
        <v>1320</v>
      </c>
      <c r="B321" s="9" t="s">
        <v>45</v>
      </c>
      <c r="C321" s="4" t="s">
        <v>38</v>
      </c>
      <c r="D321" s="4" t="s">
        <v>20</v>
      </c>
      <c r="E321" s="4" t="s">
        <v>36</v>
      </c>
      <c r="F321" s="4">
        <v>20</v>
      </c>
      <c r="G321" s="4">
        <v>55</v>
      </c>
      <c r="H321" s="4">
        <v>7</v>
      </c>
      <c r="I321" s="7">
        <v>46183</v>
      </c>
      <c r="J321" s="7">
        <v>46186</v>
      </c>
      <c r="K321" s="4" t="s">
        <v>79</v>
      </c>
    </row>
    <row r="322" spans="1:11" x14ac:dyDescent="0.3">
      <c r="A322" s="9">
        <v>1321</v>
      </c>
      <c r="B322" s="9" t="s">
        <v>32</v>
      </c>
      <c r="C322" s="4" t="s">
        <v>26</v>
      </c>
      <c r="D322" s="4" t="s">
        <v>24</v>
      </c>
      <c r="E322" s="4" t="s">
        <v>7</v>
      </c>
      <c r="F322" s="4">
        <v>8</v>
      </c>
      <c r="G322" s="4">
        <v>5619</v>
      </c>
      <c r="H322" s="4">
        <v>7</v>
      </c>
      <c r="I322" s="7">
        <v>46107</v>
      </c>
      <c r="J322" s="7">
        <v>46109</v>
      </c>
      <c r="K322" s="4" t="s">
        <v>81</v>
      </c>
    </row>
    <row r="323" spans="1:11" x14ac:dyDescent="0.3">
      <c r="A323" s="9">
        <v>1322</v>
      </c>
      <c r="B323" s="9" t="s">
        <v>29</v>
      </c>
      <c r="C323" s="4" t="s">
        <v>19</v>
      </c>
      <c r="D323" s="4" t="s">
        <v>24</v>
      </c>
      <c r="E323" s="4" t="s">
        <v>10</v>
      </c>
      <c r="F323" s="4">
        <v>14</v>
      </c>
      <c r="G323" s="4">
        <v>9081</v>
      </c>
      <c r="H323" s="4">
        <v>15</v>
      </c>
      <c r="I323" s="7">
        <v>46141</v>
      </c>
      <c r="J323" s="7">
        <v>46146</v>
      </c>
      <c r="K323" s="4" t="s">
        <v>78</v>
      </c>
    </row>
    <row r="324" spans="1:11" x14ac:dyDescent="0.3">
      <c r="A324" s="9">
        <v>1323</v>
      </c>
      <c r="B324" s="9" t="s">
        <v>54</v>
      </c>
      <c r="C324" s="4" t="s">
        <v>38</v>
      </c>
      <c r="D324" s="4" t="s">
        <v>34</v>
      </c>
      <c r="E324" s="4" t="s">
        <v>12</v>
      </c>
      <c r="F324" s="4">
        <v>2</v>
      </c>
      <c r="G324" s="4">
        <v>32074</v>
      </c>
      <c r="H324" s="4">
        <v>10</v>
      </c>
      <c r="I324" s="7">
        <v>46073</v>
      </c>
      <c r="J324" s="7">
        <v>46078</v>
      </c>
      <c r="K324" s="4" t="s">
        <v>78</v>
      </c>
    </row>
    <row r="325" spans="1:11" x14ac:dyDescent="0.3">
      <c r="A325" s="9">
        <v>1324</v>
      </c>
      <c r="B325" s="9" t="s">
        <v>32</v>
      </c>
      <c r="C325" s="4" t="s">
        <v>26</v>
      </c>
      <c r="D325" s="4" t="s">
        <v>24</v>
      </c>
      <c r="E325" s="4" t="s">
        <v>7</v>
      </c>
      <c r="F325" s="4">
        <v>1</v>
      </c>
      <c r="G325" s="4">
        <v>4286</v>
      </c>
      <c r="H325" s="4">
        <v>15</v>
      </c>
      <c r="I325" s="7">
        <v>46053</v>
      </c>
      <c r="J325" s="7">
        <v>46056</v>
      </c>
      <c r="K325" s="4" t="s">
        <v>79</v>
      </c>
    </row>
    <row r="326" spans="1:11" x14ac:dyDescent="0.3">
      <c r="A326" s="9">
        <v>1325</v>
      </c>
      <c r="B326" s="9" t="s">
        <v>46</v>
      </c>
      <c r="C326" s="4" t="s">
        <v>42</v>
      </c>
      <c r="D326" s="4" t="s">
        <v>34</v>
      </c>
      <c r="E326" s="4" t="s">
        <v>5</v>
      </c>
      <c r="F326" s="4">
        <v>9</v>
      </c>
      <c r="G326" s="4">
        <v>58442</v>
      </c>
      <c r="H326" s="4">
        <v>12</v>
      </c>
      <c r="I326" s="7">
        <v>46076</v>
      </c>
      <c r="J326" s="7">
        <v>46085</v>
      </c>
      <c r="K326" s="4" t="s">
        <v>79</v>
      </c>
    </row>
    <row r="327" spans="1:11" x14ac:dyDescent="0.3">
      <c r="A327" s="9">
        <v>1326</v>
      </c>
      <c r="B327" s="9" t="s">
        <v>28</v>
      </c>
      <c r="C327" s="4" t="s">
        <v>23</v>
      </c>
      <c r="D327" s="4" t="s">
        <v>24</v>
      </c>
      <c r="E327" s="4" t="s">
        <v>43</v>
      </c>
      <c r="F327" s="4">
        <v>18</v>
      </c>
      <c r="G327" s="4">
        <v>1830</v>
      </c>
      <c r="H327" s="4">
        <v>10</v>
      </c>
      <c r="I327" s="7">
        <v>46165</v>
      </c>
      <c r="J327" s="7">
        <v>46172</v>
      </c>
      <c r="K327" s="4" t="s">
        <v>78</v>
      </c>
    </row>
    <row r="328" spans="1:11" x14ac:dyDescent="0.3">
      <c r="A328" s="9">
        <v>1327</v>
      </c>
      <c r="B328" s="9" t="s">
        <v>46</v>
      </c>
      <c r="C328" s="4" t="s">
        <v>19</v>
      </c>
      <c r="D328" s="4" t="s">
        <v>20</v>
      </c>
      <c r="E328" s="4" t="s">
        <v>51</v>
      </c>
      <c r="F328" s="4">
        <v>15</v>
      </c>
      <c r="G328" s="4">
        <v>449</v>
      </c>
      <c r="H328" s="4">
        <v>5</v>
      </c>
      <c r="I328" s="7">
        <v>46152</v>
      </c>
      <c r="J328" s="7">
        <v>46153</v>
      </c>
      <c r="K328" s="4" t="s">
        <v>78</v>
      </c>
    </row>
    <row r="329" spans="1:11" x14ac:dyDescent="0.3">
      <c r="A329" s="9">
        <v>1328</v>
      </c>
      <c r="B329" s="9" t="s">
        <v>22</v>
      </c>
      <c r="C329" s="4" t="s">
        <v>38</v>
      </c>
      <c r="D329" s="4" t="s">
        <v>20</v>
      </c>
      <c r="E329" s="4" t="s">
        <v>36</v>
      </c>
      <c r="F329" s="4">
        <v>4</v>
      </c>
      <c r="G329" s="4">
        <v>132</v>
      </c>
      <c r="H329" s="4">
        <v>0</v>
      </c>
      <c r="I329" s="7">
        <v>46109</v>
      </c>
      <c r="J329" s="7">
        <v>46114</v>
      </c>
      <c r="K329" s="4" t="s">
        <v>49</v>
      </c>
    </row>
    <row r="330" spans="1:11" x14ac:dyDescent="0.3">
      <c r="A330" s="9">
        <v>1329</v>
      </c>
      <c r="B330" s="9" t="s">
        <v>30</v>
      </c>
      <c r="C330" s="4" t="s">
        <v>42</v>
      </c>
      <c r="D330" s="4" t="s">
        <v>20</v>
      </c>
      <c r="E330" s="4" t="s">
        <v>51</v>
      </c>
      <c r="F330" s="4">
        <v>18</v>
      </c>
      <c r="G330" s="4">
        <v>227</v>
      </c>
      <c r="H330" s="4">
        <v>5</v>
      </c>
      <c r="I330" s="7">
        <v>46126</v>
      </c>
      <c r="J330" s="7">
        <v>46136</v>
      </c>
      <c r="K330" s="4" t="s">
        <v>49</v>
      </c>
    </row>
    <row r="331" spans="1:11" x14ac:dyDescent="0.3">
      <c r="A331" s="9">
        <v>1330</v>
      </c>
      <c r="B331" s="9" t="s">
        <v>47</v>
      </c>
      <c r="C331" s="4" t="s">
        <v>23</v>
      </c>
      <c r="D331" s="4" t="s">
        <v>24</v>
      </c>
      <c r="E331" s="4" t="s">
        <v>7</v>
      </c>
      <c r="F331" s="4">
        <v>13</v>
      </c>
      <c r="G331" s="4">
        <v>12071</v>
      </c>
      <c r="H331" s="4">
        <v>0</v>
      </c>
      <c r="I331" s="7">
        <v>46032</v>
      </c>
      <c r="J331" s="7">
        <v>46036</v>
      </c>
      <c r="K331" s="4" t="s">
        <v>81</v>
      </c>
    </row>
    <row r="332" spans="1:11" x14ac:dyDescent="0.3">
      <c r="A332" s="9">
        <v>1331</v>
      </c>
      <c r="B332" s="9" t="s">
        <v>25</v>
      </c>
      <c r="C332" s="4" t="s">
        <v>27</v>
      </c>
      <c r="D332" s="4" t="s">
        <v>34</v>
      </c>
      <c r="E332" s="4" t="s">
        <v>12</v>
      </c>
      <c r="F332" s="4">
        <v>2</v>
      </c>
      <c r="G332" s="4">
        <v>43557</v>
      </c>
      <c r="H332" s="4">
        <v>2</v>
      </c>
      <c r="I332" s="7">
        <v>46190</v>
      </c>
      <c r="J332" s="7">
        <v>46200</v>
      </c>
      <c r="K332" s="4" t="s">
        <v>78</v>
      </c>
    </row>
    <row r="333" spans="1:11" x14ac:dyDescent="0.3">
      <c r="A333" s="9">
        <v>1332</v>
      </c>
      <c r="B333" s="9" t="s">
        <v>49</v>
      </c>
      <c r="C333" s="4" t="s">
        <v>42</v>
      </c>
      <c r="D333" s="4" t="s">
        <v>20</v>
      </c>
      <c r="E333" s="4" t="s">
        <v>48</v>
      </c>
      <c r="F333" s="4">
        <v>7</v>
      </c>
      <c r="G333" s="4">
        <v>439</v>
      </c>
      <c r="H333" s="4">
        <v>2</v>
      </c>
      <c r="I333" s="7">
        <v>46154</v>
      </c>
      <c r="J333" s="7">
        <v>46157</v>
      </c>
      <c r="K333" s="4" t="s">
        <v>78</v>
      </c>
    </row>
    <row r="334" spans="1:11" x14ac:dyDescent="0.3">
      <c r="A334" s="9">
        <v>1333</v>
      </c>
      <c r="B334" s="9" t="s">
        <v>49</v>
      </c>
      <c r="C334" s="4" t="s">
        <v>38</v>
      </c>
      <c r="D334" s="4" t="s">
        <v>20</v>
      </c>
      <c r="E334" s="4" t="s">
        <v>51</v>
      </c>
      <c r="F334" s="4">
        <v>20</v>
      </c>
      <c r="G334" s="4">
        <v>416</v>
      </c>
      <c r="H334" s="4">
        <v>12</v>
      </c>
      <c r="I334" s="7">
        <v>46145</v>
      </c>
      <c r="J334" s="7">
        <v>46146</v>
      </c>
      <c r="K334" s="4" t="s">
        <v>81</v>
      </c>
    </row>
    <row r="335" spans="1:11" x14ac:dyDescent="0.3">
      <c r="A335" s="9">
        <v>1334</v>
      </c>
      <c r="B335" s="9" t="s">
        <v>39</v>
      </c>
      <c r="C335" s="4" t="s">
        <v>19</v>
      </c>
      <c r="D335" s="4" t="s">
        <v>34</v>
      </c>
      <c r="E335" s="4" t="s">
        <v>40</v>
      </c>
      <c r="F335" s="4">
        <v>15</v>
      </c>
      <c r="G335" s="4">
        <v>39853</v>
      </c>
      <c r="H335" s="4">
        <v>7</v>
      </c>
      <c r="I335" s="7">
        <v>46038</v>
      </c>
      <c r="J335" s="7">
        <v>46047</v>
      </c>
      <c r="K335" s="4" t="s">
        <v>81</v>
      </c>
    </row>
    <row r="336" spans="1:11" x14ac:dyDescent="0.3">
      <c r="A336" s="9">
        <v>1335</v>
      </c>
      <c r="B336" s="9" t="s">
        <v>45</v>
      </c>
      <c r="C336" s="4" t="s">
        <v>23</v>
      </c>
      <c r="D336" s="4" t="s">
        <v>24</v>
      </c>
      <c r="E336" s="4" t="s">
        <v>7</v>
      </c>
      <c r="F336" s="4">
        <v>9</v>
      </c>
      <c r="G336" s="4">
        <v>1495</v>
      </c>
      <c r="H336" s="4">
        <v>12</v>
      </c>
      <c r="I336" s="7">
        <v>46168</v>
      </c>
      <c r="J336" s="7">
        <v>46173</v>
      </c>
      <c r="K336" s="4" t="s">
        <v>78</v>
      </c>
    </row>
    <row r="337" spans="1:11" x14ac:dyDescent="0.3">
      <c r="A337" s="9">
        <v>1336</v>
      </c>
      <c r="B337" s="9" t="s">
        <v>22</v>
      </c>
      <c r="C337" s="4" t="s">
        <v>27</v>
      </c>
      <c r="D337" s="4" t="s">
        <v>24</v>
      </c>
      <c r="E337" s="4" t="s">
        <v>11</v>
      </c>
      <c r="F337" s="4">
        <v>10</v>
      </c>
      <c r="G337" s="4">
        <v>5624</v>
      </c>
      <c r="H337" s="4">
        <v>0</v>
      </c>
      <c r="I337" s="7">
        <v>46086</v>
      </c>
      <c r="J337" s="7">
        <v>46092</v>
      </c>
      <c r="K337" s="4" t="s">
        <v>49</v>
      </c>
    </row>
    <row r="338" spans="1:11" x14ac:dyDescent="0.3">
      <c r="A338" s="9">
        <v>1337</v>
      </c>
      <c r="B338" s="9" t="s">
        <v>22</v>
      </c>
      <c r="C338" s="4" t="s">
        <v>19</v>
      </c>
      <c r="D338" s="4" t="s">
        <v>20</v>
      </c>
      <c r="E338" s="4" t="s">
        <v>51</v>
      </c>
      <c r="F338" s="4">
        <v>14</v>
      </c>
      <c r="G338" s="4">
        <v>373</v>
      </c>
      <c r="H338" s="4">
        <v>10</v>
      </c>
      <c r="I338" s="7">
        <v>46074</v>
      </c>
      <c r="J338" s="7">
        <v>46080</v>
      </c>
      <c r="K338" s="4" t="s">
        <v>49</v>
      </c>
    </row>
    <row r="339" spans="1:11" x14ac:dyDescent="0.3">
      <c r="A339" s="9">
        <v>1338</v>
      </c>
      <c r="B339" s="9" t="s">
        <v>56</v>
      </c>
      <c r="C339" s="4" t="s">
        <v>27</v>
      </c>
      <c r="D339" s="4" t="s">
        <v>34</v>
      </c>
      <c r="E339" s="4" t="s">
        <v>9</v>
      </c>
      <c r="F339" s="4">
        <v>10</v>
      </c>
      <c r="G339" s="4">
        <v>16719</v>
      </c>
      <c r="H339" s="4">
        <v>5</v>
      </c>
      <c r="I339" s="7">
        <v>46177</v>
      </c>
      <c r="J339" s="7">
        <v>46179</v>
      </c>
      <c r="K339" s="4" t="s">
        <v>78</v>
      </c>
    </row>
    <row r="340" spans="1:11" x14ac:dyDescent="0.3">
      <c r="A340" s="9">
        <v>1339</v>
      </c>
      <c r="B340" s="9" t="s">
        <v>32</v>
      </c>
      <c r="C340" s="4" t="s">
        <v>27</v>
      </c>
      <c r="D340" s="4" t="s">
        <v>20</v>
      </c>
      <c r="E340" s="4" t="s">
        <v>21</v>
      </c>
      <c r="F340" s="4">
        <v>6</v>
      </c>
      <c r="G340" s="4">
        <v>302</v>
      </c>
      <c r="H340" s="4">
        <v>5</v>
      </c>
      <c r="I340" s="7">
        <v>46142</v>
      </c>
      <c r="J340" s="7">
        <v>46148</v>
      </c>
      <c r="K340" s="4" t="s">
        <v>79</v>
      </c>
    </row>
    <row r="341" spans="1:11" x14ac:dyDescent="0.3">
      <c r="A341" s="9">
        <v>1340</v>
      </c>
      <c r="B341" s="9" t="s">
        <v>46</v>
      </c>
      <c r="C341" s="4" t="s">
        <v>23</v>
      </c>
      <c r="D341" s="4" t="s">
        <v>24</v>
      </c>
      <c r="E341" s="4" t="s">
        <v>7</v>
      </c>
      <c r="F341" s="4">
        <v>12</v>
      </c>
      <c r="G341" s="4">
        <v>3857</v>
      </c>
      <c r="H341" s="4">
        <v>12</v>
      </c>
      <c r="I341" s="7">
        <v>46196</v>
      </c>
      <c r="J341" s="7">
        <v>46198</v>
      </c>
      <c r="K341" s="4" t="s">
        <v>81</v>
      </c>
    </row>
    <row r="342" spans="1:11" x14ac:dyDescent="0.3">
      <c r="A342" s="9">
        <v>1341</v>
      </c>
      <c r="B342" s="9" t="s">
        <v>54</v>
      </c>
      <c r="C342" s="4" t="s">
        <v>38</v>
      </c>
      <c r="D342" s="4" t="s">
        <v>24</v>
      </c>
      <c r="E342" s="4" t="s">
        <v>7</v>
      </c>
      <c r="F342" s="4">
        <v>19</v>
      </c>
      <c r="G342" s="4">
        <v>6488</v>
      </c>
      <c r="H342" s="4">
        <v>15</v>
      </c>
      <c r="I342" s="7">
        <v>46026</v>
      </c>
      <c r="J342" s="7">
        <v>46030</v>
      </c>
      <c r="K342" s="4" t="s">
        <v>79</v>
      </c>
    </row>
    <row r="343" spans="1:11" x14ac:dyDescent="0.3">
      <c r="A343" s="9">
        <v>1342</v>
      </c>
      <c r="B343" s="9" t="s">
        <v>56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7">
        <v>46132</v>
      </c>
      <c r="J343" s="7">
        <v>46139</v>
      </c>
      <c r="K343" s="4" t="s">
        <v>49</v>
      </c>
    </row>
    <row r="344" spans="1:11" x14ac:dyDescent="0.3">
      <c r="A344" s="9">
        <v>1343</v>
      </c>
      <c r="B344" s="9" t="s">
        <v>56</v>
      </c>
      <c r="C344" s="4" t="s">
        <v>31</v>
      </c>
      <c r="D344" s="4" t="s">
        <v>34</v>
      </c>
      <c r="E344" s="4" t="s">
        <v>5</v>
      </c>
      <c r="F344" s="4">
        <v>14</v>
      </c>
      <c r="G344" s="4">
        <v>32719</v>
      </c>
      <c r="H344" s="4">
        <v>15</v>
      </c>
      <c r="I344" s="7">
        <v>46174</v>
      </c>
      <c r="J344" s="7">
        <v>46179</v>
      </c>
      <c r="K344" s="4" t="s">
        <v>78</v>
      </c>
    </row>
    <row r="345" spans="1:11" x14ac:dyDescent="0.3">
      <c r="A345" s="9">
        <v>1344</v>
      </c>
      <c r="B345" s="9" t="s">
        <v>30</v>
      </c>
      <c r="C345" s="4" t="s">
        <v>23</v>
      </c>
      <c r="D345" s="4" t="s">
        <v>20</v>
      </c>
      <c r="E345" s="4" t="s">
        <v>51</v>
      </c>
      <c r="F345" s="4">
        <v>18</v>
      </c>
      <c r="G345" s="4">
        <v>240</v>
      </c>
      <c r="H345" s="4">
        <v>10</v>
      </c>
      <c r="I345" s="7">
        <v>46155</v>
      </c>
      <c r="J345" s="7">
        <v>46156</v>
      </c>
      <c r="K345" s="4" t="s">
        <v>80</v>
      </c>
    </row>
    <row r="346" spans="1:11" x14ac:dyDescent="0.3">
      <c r="A346" s="9">
        <v>1345</v>
      </c>
      <c r="B346" s="9" t="s">
        <v>32</v>
      </c>
      <c r="C346" s="4" t="s">
        <v>19</v>
      </c>
      <c r="D346" s="4" t="s">
        <v>34</v>
      </c>
      <c r="E346" s="4" t="s">
        <v>6</v>
      </c>
      <c r="F346" s="4">
        <v>12</v>
      </c>
      <c r="G346" s="4">
        <v>50544</v>
      </c>
      <c r="H346" s="4">
        <v>10</v>
      </c>
      <c r="I346" s="7">
        <v>46095</v>
      </c>
      <c r="J346" s="7">
        <v>46097</v>
      </c>
      <c r="K346" s="4" t="s">
        <v>49</v>
      </c>
    </row>
    <row r="347" spans="1:11" x14ac:dyDescent="0.3">
      <c r="A347" s="9">
        <v>1346</v>
      </c>
      <c r="B347" s="9" t="s">
        <v>32</v>
      </c>
      <c r="C347" s="4" t="s">
        <v>26</v>
      </c>
      <c r="D347" s="4" t="s">
        <v>24</v>
      </c>
      <c r="E347" s="4" t="s">
        <v>7</v>
      </c>
      <c r="F347" s="4">
        <v>16</v>
      </c>
      <c r="G347" s="4">
        <v>6910</v>
      </c>
      <c r="H347" s="4">
        <v>15</v>
      </c>
      <c r="I347" s="7">
        <v>46140</v>
      </c>
      <c r="J347" s="7">
        <v>46142</v>
      </c>
      <c r="K347" s="4" t="s">
        <v>49</v>
      </c>
    </row>
    <row r="348" spans="1:11" x14ac:dyDescent="0.3">
      <c r="A348" s="9">
        <v>1347</v>
      </c>
      <c r="B348" s="9" t="s">
        <v>49</v>
      </c>
      <c r="C348" s="4" t="s">
        <v>26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7">
        <v>46037</v>
      </c>
      <c r="J348" s="7">
        <v>46044</v>
      </c>
      <c r="K348" s="4" t="s">
        <v>80</v>
      </c>
    </row>
    <row r="349" spans="1:11" x14ac:dyDescent="0.3">
      <c r="A349" s="9">
        <v>1348</v>
      </c>
      <c r="B349" s="9" t="s">
        <v>18</v>
      </c>
      <c r="C349" s="4" t="s">
        <v>33</v>
      </c>
      <c r="D349" s="4" t="s">
        <v>20</v>
      </c>
      <c r="E349" s="4" t="s">
        <v>48</v>
      </c>
      <c r="F349" s="4">
        <v>12</v>
      </c>
      <c r="G349" s="4">
        <v>244</v>
      </c>
      <c r="H349" s="4">
        <v>7</v>
      </c>
      <c r="I349" s="7">
        <v>46048</v>
      </c>
      <c r="J349" s="7">
        <v>46053</v>
      </c>
      <c r="K349" s="4" t="s">
        <v>78</v>
      </c>
    </row>
    <row r="350" spans="1:11" x14ac:dyDescent="0.3">
      <c r="A350" s="9">
        <v>1349</v>
      </c>
      <c r="B350" s="9" t="s">
        <v>39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7">
        <v>46079</v>
      </c>
      <c r="J350" s="7">
        <v>46083</v>
      </c>
      <c r="K350" s="4" t="s">
        <v>79</v>
      </c>
    </row>
    <row r="351" spans="1:11" x14ac:dyDescent="0.3">
      <c r="A351" s="9">
        <v>1350</v>
      </c>
      <c r="B351" s="9" t="s">
        <v>28</v>
      </c>
      <c r="C351" s="4" t="s">
        <v>42</v>
      </c>
      <c r="D351" s="4" t="s">
        <v>24</v>
      </c>
      <c r="E351" s="4" t="s">
        <v>8</v>
      </c>
      <c r="F351" s="4">
        <v>16</v>
      </c>
      <c r="G351" s="4">
        <v>11790</v>
      </c>
      <c r="H351" s="4">
        <v>12</v>
      </c>
      <c r="I351" s="7">
        <v>46185</v>
      </c>
      <c r="J351" s="7">
        <v>46190</v>
      </c>
      <c r="K351" s="4" t="s">
        <v>49</v>
      </c>
    </row>
    <row r="352" spans="1:11" x14ac:dyDescent="0.3">
      <c r="A352" s="9">
        <v>1351</v>
      </c>
      <c r="B352" s="9" t="s">
        <v>41</v>
      </c>
      <c r="C352" s="4" t="s">
        <v>33</v>
      </c>
      <c r="D352" s="4" t="s">
        <v>34</v>
      </c>
      <c r="E352" s="4" t="s">
        <v>6</v>
      </c>
      <c r="F352" s="4">
        <v>12</v>
      </c>
      <c r="G352" s="4">
        <v>1272</v>
      </c>
      <c r="H352" s="4">
        <v>0</v>
      </c>
      <c r="I352" s="7">
        <v>46026</v>
      </c>
      <c r="J352" s="7">
        <v>46029</v>
      </c>
      <c r="K352" s="4" t="s">
        <v>78</v>
      </c>
    </row>
    <row r="353" spans="1:11" x14ac:dyDescent="0.3">
      <c r="A353" s="9">
        <v>1352</v>
      </c>
      <c r="B353" s="9" t="s">
        <v>52</v>
      </c>
      <c r="C353" s="4" t="s">
        <v>26</v>
      </c>
      <c r="D353" s="4" t="s">
        <v>20</v>
      </c>
      <c r="E353" s="4" t="s">
        <v>21</v>
      </c>
      <c r="F353" s="4">
        <v>12</v>
      </c>
      <c r="G353" s="4">
        <v>203</v>
      </c>
      <c r="H353" s="4">
        <v>5</v>
      </c>
      <c r="I353" s="7">
        <v>46024</v>
      </c>
      <c r="J353" s="7">
        <v>46033</v>
      </c>
      <c r="K353" s="4" t="s">
        <v>78</v>
      </c>
    </row>
    <row r="354" spans="1:11" x14ac:dyDescent="0.3">
      <c r="A354" s="9">
        <v>1353</v>
      </c>
      <c r="B354" s="9" t="s">
        <v>45</v>
      </c>
      <c r="C354" s="4" t="s">
        <v>42</v>
      </c>
      <c r="D354" s="4" t="s">
        <v>20</v>
      </c>
      <c r="E354" s="4" t="s">
        <v>21</v>
      </c>
      <c r="F354" s="4">
        <v>6</v>
      </c>
      <c r="G354" s="4">
        <v>495</v>
      </c>
      <c r="H354" s="4">
        <v>2</v>
      </c>
      <c r="I354" s="7">
        <v>46194</v>
      </c>
      <c r="J354" s="7">
        <v>46200</v>
      </c>
      <c r="K354" s="4" t="s">
        <v>80</v>
      </c>
    </row>
    <row r="355" spans="1:11" x14ac:dyDescent="0.3">
      <c r="A355" s="9">
        <v>1354</v>
      </c>
      <c r="B355" s="9" t="s">
        <v>45</v>
      </c>
      <c r="C355" s="4" t="s">
        <v>42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7">
        <v>46118</v>
      </c>
      <c r="J355" s="7">
        <v>46120</v>
      </c>
      <c r="K355" s="4" t="s">
        <v>81</v>
      </c>
    </row>
    <row r="356" spans="1:11" x14ac:dyDescent="0.3">
      <c r="A356" s="9">
        <v>1355</v>
      </c>
      <c r="B356" s="9" t="s">
        <v>29</v>
      </c>
      <c r="C356" s="4" t="s">
        <v>19</v>
      </c>
      <c r="D356" s="4" t="s">
        <v>34</v>
      </c>
      <c r="E356" s="4" t="s">
        <v>9</v>
      </c>
      <c r="F356" s="4">
        <v>18</v>
      </c>
      <c r="G356" s="4">
        <v>35997</v>
      </c>
      <c r="H356" s="4">
        <v>2</v>
      </c>
      <c r="I356" s="7">
        <v>46024</v>
      </c>
      <c r="J356" s="7">
        <v>46031</v>
      </c>
      <c r="K356" s="4" t="s">
        <v>81</v>
      </c>
    </row>
    <row r="357" spans="1:11" x14ac:dyDescent="0.3">
      <c r="A357" s="9">
        <v>1356</v>
      </c>
      <c r="B357" s="9" t="s">
        <v>28</v>
      </c>
      <c r="C357" s="4" t="s">
        <v>38</v>
      </c>
      <c r="D357" s="4" t="s">
        <v>34</v>
      </c>
      <c r="E357" s="4" t="s">
        <v>9</v>
      </c>
      <c r="F357" s="4">
        <v>16</v>
      </c>
      <c r="G357" s="4">
        <v>53457</v>
      </c>
      <c r="H357" s="4">
        <v>10</v>
      </c>
      <c r="I357" s="7">
        <v>46201</v>
      </c>
      <c r="J357" s="7">
        <v>46204</v>
      </c>
      <c r="K357" s="4" t="s">
        <v>78</v>
      </c>
    </row>
    <row r="358" spans="1:11" x14ac:dyDescent="0.3">
      <c r="A358" s="9">
        <v>1357</v>
      </c>
      <c r="B358" s="9" t="s">
        <v>56</v>
      </c>
      <c r="C358" s="4" t="s">
        <v>27</v>
      </c>
      <c r="D358" s="4" t="s">
        <v>20</v>
      </c>
      <c r="E358" s="4" t="s">
        <v>37</v>
      </c>
      <c r="F358" s="4">
        <v>6</v>
      </c>
      <c r="G358" s="4">
        <v>365</v>
      </c>
      <c r="H358" s="4">
        <v>7</v>
      </c>
      <c r="I358" s="7">
        <v>46133</v>
      </c>
      <c r="J358" s="7">
        <v>46140</v>
      </c>
      <c r="K358" s="4" t="s">
        <v>81</v>
      </c>
    </row>
    <row r="359" spans="1:11" x14ac:dyDescent="0.3">
      <c r="A359" s="9">
        <v>1358</v>
      </c>
      <c r="B359" s="9" t="s">
        <v>39</v>
      </c>
      <c r="C359" s="4" t="s">
        <v>38</v>
      </c>
      <c r="D359" s="4" t="s">
        <v>24</v>
      </c>
      <c r="E359" s="4" t="s">
        <v>7</v>
      </c>
      <c r="F359" s="4">
        <v>7</v>
      </c>
      <c r="G359" s="4">
        <v>6618</v>
      </c>
      <c r="H359" s="4">
        <v>0</v>
      </c>
      <c r="I359" s="7">
        <v>46127</v>
      </c>
      <c r="J359" s="7">
        <v>46129</v>
      </c>
      <c r="K359" s="4" t="s">
        <v>79</v>
      </c>
    </row>
    <row r="360" spans="1:11" x14ac:dyDescent="0.3">
      <c r="A360" s="9">
        <v>1359</v>
      </c>
      <c r="B360" s="9" t="s">
        <v>52</v>
      </c>
      <c r="C360" s="4" t="s">
        <v>19</v>
      </c>
      <c r="D360" s="4" t="s">
        <v>34</v>
      </c>
      <c r="E360" s="4" t="s">
        <v>12</v>
      </c>
      <c r="F360" s="4">
        <v>9</v>
      </c>
      <c r="G360" s="4">
        <v>38179</v>
      </c>
      <c r="H360" s="4">
        <v>0</v>
      </c>
      <c r="I360" s="7">
        <v>46096</v>
      </c>
      <c r="J360" s="7">
        <v>46099</v>
      </c>
      <c r="K360" s="4" t="s">
        <v>78</v>
      </c>
    </row>
    <row r="361" spans="1:11" x14ac:dyDescent="0.3">
      <c r="A361" s="9">
        <v>1360</v>
      </c>
      <c r="B361" s="9" t="s">
        <v>18</v>
      </c>
      <c r="C361" s="4" t="s">
        <v>42</v>
      </c>
      <c r="D361" s="4" t="s">
        <v>24</v>
      </c>
      <c r="E361" s="4" t="s">
        <v>10</v>
      </c>
      <c r="F361" s="4">
        <v>19</v>
      </c>
      <c r="G361" s="4">
        <v>6681</v>
      </c>
      <c r="H361" s="4">
        <v>2</v>
      </c>
      <c r="I361" s="7">
        <v>46146</v>
      </c>
      <c r="J361" s="7">
        <v>46150</v>
      </c>
      <c r="K361" s="4" t="s">
        <v>78</v>
      </c>
    </row>
    <row r="362" spans="1:11" x14ac:dyDescent="0.3">
      <c r="A362" s="9">
        <v>1361</v>
      </c>
      <c r="B362" s="9" t="s">
        <v>41</v>
      </c>
      <c r="C362" s="4" t="s">
        <v>23</v>
      </c>
      <c r="D362" s="4" t="s">
        <v>24</v>
      </c>
      <c r="E362" s="4" t="s">
        <v>10</v>
      </c>
      <c r="F362" s="4">
        <v>2</v>
      </c>
      <c r="G362" s="4">
        <v>1822</v>
      </c>
      <c r="H362" s="4">
        <v>5</v>
      </c>
      <c r="I362" s="7">
        <v>46141</v>
      </c>
      <c r="J362" s="7">
        <v>46145</v>
      </c>
      <c r="K362" s="4" t="s">
        <v>79</v>
      </c>
    </row>
    <row r="363" spans="1:11" x14ac:dyDescent="0.3">
      <c r="A363" s="9">
        <v>1362</v>
      </c>
      <c r="B363" s="9" t="s">
        <v>22</v>
      </c>
      <c r="C363" s="4" t="s">
        <v>19</v>
      </c>
      <c r="D363" s="4" t="s">
        <v>24</v>
      </c>
      <c r="E363" s="4" t="s">
        <v>8</v>
      </c>
      <c r="F363" s="4">
        <v>1</v>
      </c>
      <c r="G363" s="4">
        <v>10474</v>
      </c>
      <c r="H363" s="4">
        <v>0</v>
      </c>
      <c r="I363" s="7">
        <v>46094</v>
      </c>
      <c r="J363" s="7">
        <v>46096</v>
      </c>
      <c r="K363" s="4" t="s">
        <v>49</v>
      </c>
    </row>
    <row r="364" spans="1:11" x14ac:dyDescent="0.3">
      <c r="A364" s="9">
        <v>1363</v>
      </c>
      <c r="B364" s="9" t="s">
        <v>29</v>
      </c>
      <c r="C364" s="4" t="s">
        <v>27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7">
        <v>46122</v>
      </c>
      <c r="J364" s="7">
        <v>46128</v>
      </c>
      <c r="K364" s="4" t="s">
        <v>78</v>
      </c>
    </row>
    <row r="365" spans="1:11" x14ac:dyDescent="0.3">
      <c r="A365" s="9">
        <v>1364</v>
      </c>
      <c r="B365" s="9" t="s">
        <v>30</v>
      </c>
      <c r="C365" s="4" t="s">
        <v>26</v>
      </c>
      <c r="D365" s="4" t="s">
        <v>24</v>
      </c>
      <c r="E365" s="4" t="s">
        <v>11</v>
      </c>
      <c r="F365" s="4">
        <v>16</v>
      </c>
      <c r="G365" s="4">
        <v>1744</v>
      </c>
      <c r="H365" s="4">
        <v>15</v>
      </c>
      <c r="I365" s="7">
        <v>46031</v>
      </c>
      <c r="J365" s="7">
        <v>46033</v>
      </c>
      <c r="K365" s="4" t="s">
        <v>81</v>
      </c>
    </row>
    <row r="366" spans="1:11" x14ac:dyDescent="0.3">
      <c r="A366" s="9">
        <v>1365</v>
      </c>
      <c r="B366" s="9" t="s">
        <v>44</v>
      </c>
      <c r="C366" s="4" t="s">
        <v>33</v>
      </c>
      <c r="D366" s="4" t="s">
        <v>20</v>
      </c>
      <c r="E366" s="4" t="s">
        <v>48</v>
      </c>
      <c r="F366" s="4">
        <v>17</v>
      </c>
      <c r="G366" s="4">
        <v>119</v>
      </c>
      <c r="H366" s="4">
        <v>7</v>
      </c>
      <c r="I366" s="7">
        <v>46070</v>
      </c>
      <c r="J366" s="7">
        <v>46072</v>
      </c>
      <c r="K366" s="4" t="s">
        <v>79</v>
      </c>
    </row>
    <row r="367" spans="1:11" x14ac:dyDescent="0.3">
      <c r="A367" s="9">
        <v>1366</v>
      </c>
      <c r="B367" s="9" t="s">
        <v>28</v>
      </c>
      <c r="C367" s="4" t="s">
        <v>23</v>
      </c>
      <c r="D367" s="4" t="s">
        <v>34</v>
      </c>
      <c r="E367" s="4" t="s">
        <v>12</v>
      </c>
      <c r="F367" s="4">
        <v>20</v>
      </c>
      <c r="G367" s="4">
        <v>44312</v>
      </c>
      <c r="H367" s="4">
        <v>10</v>
      </c>
      <c r="I367" s="7">
        <v>46047</v>
      </c>
      <c r="J367" s="7">
        <v>46054</v>
      </c>
      <c r="K367" s="4" t="s">
        <v>49</v>
      </c>
    </row>
    <row r="368" spans="1:11" x14ac:dyDescent="0.3">
      <c r="A368" s="9">
        <v>1367</v>
      </c>
      <c r="B368" s="9" t="s">
        <v>52</v>
      </c>
      <c r="C368" s="4" t="s">
        <v>27</v>
      </c>
      <c r="D368" s="4" t="s">
        <v>20</v>
      </c>
      <c r="E368" s="4" t="s">
        <v>51</v>
      </c>
      <c r="F368" s="4">
        <v>1</v>
      </c>
      <c r="G368" s="4">
        <v>371</v>
      </c>
      <c r="H368" s="4">
        <v>5</v>
      </c>
      <c r="I368" s="7">
        <v>46158</v>
      </c>
      <c r="J368" s="7">
        <v>46168</v>
      </c>
      <c r="K368" s="4" t="s">
        <v>49</v>
      </c>
    </row>
    <row r="369" spans="1:11" x14ac:dyDescent="0.3">
      <c r="A369" s="9">
        <v>1368</v>
      </c>
      <c r="B369" s="9" t="s">
        <v>53</v>
      </c>
      <c r="C369" s="4" t="s">
        <v>38</v>
      </c>
      <c r="D369" s="4" t="s">
        <v>20</v>
      </c>
      <c r="E369" s="4" t="s">
        <v>36</v>
      </c>
      <c r="F369" s="4">
        <v>9</v>
      </c>
      <c r="G369" s="4">
        <v>115</v>
      </c>
      <c r="H369" s="4">
        <v>0</v>
      </c>
      <c r="I369" s="7">
        <v>46036</v>
      </c>
      <c r="J369" s="7">
        <v>46045</v>
      </c>
      <c r="K369" s="4" t="s">
        <v>80</v>
      </c>
    </row>
    <row r="370" spans="1:11" x14ac:dyDescent="0.3">
      <c r="A370" s="9">
        <v>1369</v>
      </c>
      <c r="B370" s="9" t="s">
        <v>54</v>
      </c>
      <c r="C370" s="4" t="s">
        <v>27</v>
      </c>
      <c r="D370" s="4" t="s">
        <v>24</v>
      </c>
      <c r="E370" s="4" t="s">
        <v>7</v>
      </c>
      <c r="F370" s="4">
        <v>19</v>
      </c>
      <c r="G370" s="4">
        <v>5840</v>
      </c>
      <c r="H370" s="4">
        <v>5</v>
      </c>
      <c r="I370" s="7">
        <v>46062</v>
      </c>
      <c r="J370" s="7">
        <v>46067</v>
      </c>
      <c r="K370" s="4" t="s">
        <v>78</v>
      </c>
    </row>
    <row r="371" spans="1:11" x14ac:dyDescent="0.3">
      <c r="A371" s="9">
        <v>1370</v>
      </c>
      <c r="B371" s="9" t="s">
        <v>56</v>
      </c>
      <c r="C371" s="4" t="s">
        <v>38</v>
      </c>
      <c r="D371" s="4" t="s">
        <v>20</v>
      </c>
      <c r="E371" s="4" t="s">
        <v>51</v>
      </c>
      <c r="F371" s="4">
        <v>13</v>
      </c>
      <c r="G371" s="4">
        <v>337</v>
      </c>
      <c r="H371" s="4">
        <v>7</v>
      </c>
      <c r="I371" s="7">
        <v>46184</v>
      </c>
      <c r="J371" s="7">
        <v>46188</v>
      </c>
      <c r="K371" s="4" t="s">
        <v>78</v>
      </c>
    </row>
    <row r="372" spans="1:11" x14ac:dyDescent="0.3">
      <c r="A372" s="9">
        <v>1371</v>
      </c>
      <c r="B372" s="9" t="s">
        <v>46</v>
      </c>
      <c r="C372" s="4" t="s">
        <v>38</v>
      </c>
      <c r="D372" s="4" t="s">
        <v>24</v>
      </c>
      <c r="E372" s="4" t="s">
        <v>7</v>
      </c>
      <c r="F372" s="4">
        <v>19</v>
      </c>
      <c r="G372" s="4">
        <v>1087</v>
      </c>
      <c r="H372" s="4">
        <v>15</v>
      </c>
      <c r="I372" s="7">
        <v>46072</v>
      </c>
      <c r="J372" s="7">
        <v>46082</v>
      </c>
      <c r="K372" s="4" t="s">
        <v>79</v>
      </c>
    </row>
    <row r="373" spans="1:11" x14ac:dyDescent="0.3">
      <c r="A373" s="9">
        <v>1372</v>
      </c>
      <c r="B373" s="9" t="s">
        <v>46</v>
      </c>
      <c r="C373" s="4" t="s">
        <v>23</v>
      </c>
      <c r="D373" s="4" t="s">
        <v>34</v>
      </c>
      <c r="E373" s="4" t="s">
        <v>5</v>
      </c>
      <c r="F373" s="4">
        <v>9</v>
      </c>
      <c r="G373" s="4">
        <v>9551</v>
      </c>
      <c r="H373" s="4">
        <v>10</v>
      </c>
      <c r="I373" s="7">
        <v>46161</v>
      </c>
      <c r="J373" s="7">
        <v>46168</v>
      </c>
      <c r="K373" s="4" t="s">
        <v>78</v>
      </c>
    </row>
    <row r="374" spans="1:11" x14ac:dyDescent="0.3">
      <c r="A374" s="9">
        <v>1373</v>
      </c>
      <c r="B374" s="9" t="s">
        <v>52</v>
      </c>
      <c r="C374" s="4" t="s">
        <v>27</v>
      </c>
      <c r="D374" s="4" t="s">
        <v>34</v>
      </c>
      <c r="E374" s="4" t="s">
        <v>9</v>
      </c>
      <c r="F374" s="4">
        <v>11</v>
      </c>
      <c r="G374" s="4">
        <v>47930</v>
      </c>
      <c r="H374" s="4">
        <v>12</v>
      </c>
      <c r="I374" s="7">
        <v>46191</v>
      </c>
      <c r="J374" s="7">
        <v>46201</v>
      </c>
      <c r="K374" s="4" t="s">
        <v>79</v>
      </c>
    </row>
    <row r="375" spans="1:11" x14ac:dyDescent="0.3">
      <c r="A375" s="9">
        <v>1374</v>
      </c>
      <c r="B375" s="9" t="s">
        <v>54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7">
        <v>46063</v>
      </c>
      <c r="J375" s="7">
        <v>46066</v>
      </c>
      <c r="K375" s="4" t="s">
        <v>81</v>
      </c>
    </row>
    <row r="376" spans="1:11" x14ac:dyDescent="0.3">
      <c r="A376" s="9">
        <v>1375</v>
      </c>
      <c r="B376" s="9" t="s">
        <v>44</v>
      </c>
      <c r="C376" s="4" t="s">
        <v>42</v>
      </c>
      <c r="D376" s="4" t="s">
        <v>34</v>
      </c>
      <c r="E376" s="4" t="s">
        <v>6</v>
      </c>
      <c r="F376" s="4">
        <v>20</v>
      </c>
      <c r="G376" s="4">
        <v>56766</v>
      </c>
      <c r="H376" s="4">
        <v>0</v>
      </c>
      <c r="I376" s="7">
        <v>46052</v>
      </c>
      <c r="J376" s="7">
        <v>46061</v>
      </c>
      <c r="K376" s="4" t="s">
        <v>80</v>
      </c>
    </row>
    <row r="377" spans="1:11" x14ac:dyDescent="0.3">
      <c r="A377" s="9">
        <v>1376</v>
      </c>
      <c r="B377" s="9" t="s">
        <v>50</v>
      </c>
      <c r="C377" s="4" t="s">
        <v>31</v>
      </c>
      <c r="D377" s="4" t="s">
        <v>20</v>
      </c>
      <c r="E377" s="4" t="s">
        <v>48</v>
      </c>
      <c r="F377" s="4">
        <v>20</v>
      </c>
      <c r="G377" s="4">
        <v>429</v>
      </c>
      <c r="H377" s="4">
        <v>5</v>
      </c>
      <c r="I377" s="7">
        <v>46178</v>
      </c>
      <c r="J377" s="7">
        <v>46184</v>
      </c>
      <c r="K377" s="4" t="s">
        <v>79</v>
      </c>
    </row>
    <row r="378" spans="1:11" x14ac:dyDescent="0.3">
      <c r="A378" s="9">
        <v>1377</v>
      </c>
      <c r="B378" s="9" t="s">
        <v>32</v>
      </c>
      <c r="C378" s="4" t="s">
        <v>38</v>
      </c>
      <c r="D378" s="4" t="s">
        <v>24</v>
      </c>
      <c r="E378" s="4" t="s">
        <v>7</v>
      </c>
      <c r="F378" s="4">
        <v>3</v>
      </c>
      <c r="G378" s="4">
        <v>5480</v>
      </c>
      <c r="H378" s="4">
        <v>12</v>
      </c>
      <c r="I378" s="7">
        <v>46105</v>
      </c>
      <c r="J378" s="7">
        <v>46111</v>
      </c>
      <c r="K378" s="4" t="s">
        <v>80</v>
      </c>
    </row>
    <row r="379" spans="1:11" x14ac:dyDescent="0.3">
      <c r="A379" s="9">
        <v>1378</v>
      </c>
      <c r="B379" s="9" t="s">
        <v>53</v>
      </c>
      <c r="C379" s="4" t="s">
        <v>26</v>
      </c>
      <c r="D379" s="4" t="s">
        <v>34</v>
      </c>
      <c r="E379" s="4" t="s">
        <v>6</v>
      </c>
      <c r="F379" s="4">
        <v>15</v>
      </c>
      <c r="G379" s="4">
        <v>22693</v>
      </c>
      <c r="H379" s="4">
        <v>12</v>
      </c>
      <c r="I379" s="7">
        <v>46074</v>
      </c>
      <c r="J379" s="7">
        <v>46080</v>
      </c>
      <c r="K379" s="4" t="s">
        <v>81</v>
      </c>
    </row>
    <row r="380" spans="1:11" x14ac:dyDescent="0.3">
      <c r="A380" s="9">
        <v>1379</v>
      </c>
      <c r="B380" s="9" t="s">
        <v>45</v>
      </c>
      <c r="C380" s="4" t="s">
        <v>23</v>
      </c>
      <c r="D380" s="4" t="s">
        <v>20</v>
      </c>
      <c r="E380" s="4" t="s">
        <v>21</v>
      </c>
      <c r="F380" s="4">
        <v>11</v>
      </c>
      <c r="G380" s="4">
        <v>136</v>
      </c>
      <c r="H380" s="4">
        <v>15</v>
      </c>
      <c r="I380" s="7">
        <v>46106</v>
      </c>
      <c r="J380" s="7">
        <v>46107</v>
      </c>
      <c r="K380" s="4" t="s">
        <v>79</v>
      </c>
    </row>
    <row r="381" spans="1:11" x14ac:dyDescent="0.3">
      <c r="A381" s="9">
        <v>1380</v>
      </c>
      <c r="B381" s="9" t="s">
        <v>50</v>
      </c>
      <c r="C381" s="4" t="s">
        <v>42</v>
      </c>
      <c r="D381" s="4" t="s">
        <v>20</v>
      </c>
      <c r="E381" s="4" t="s">
        <v>51</v>
      </c>
      <c r="F381" s="4">
        <v>3</v>
      </c>
      <c r="G381" s="4">
        <v>412</v>
      </c>
      <c r="H381" s="4">
        <v>7</v>
      </c>
      <c r="I381" s="7">
        <v>46128</v>
      </c>
      <c r="J381" s="7">
        <v>46138</v>
      </c>
      <c r="K381" s="4" t="s">
        <v>80</v>
      </c>
    </row>
    <row r="382" spans="1:11" x14ac:dyDescent="0.3">
      <c r="A382" s="9">
        <v>1381</v>
      </c>
      <c r="B382" s="9" t="s">
        <v>53</v>
      </c>
      <c r="C382" s="4" t="s">
        <v>33</v>
      </c>
      <c r="D382" s="4" t="s">
        <v>24</v>
      </c>
      <c r="E382" s="4" t="s">
        <v>8</v>
      </c>
      <c r="F382" s="4">
        <v>5</v>
      </c>
      <c r="G382" s="4">
        <v>7484</v>
      </c>
      <c r="H382" s="4">
        <v>2</v>
      </c>
      <c r="I382" s="7">
        <v>46089</v>
      </c>
      <c r="J382" s="7">
        <v>46093</v>
      </c>
      <c r="K382" s="4" t="s">
        <v>79</v>
      </c>
    </row>
    <row r="383" spans="1:11" x14ac:dyDescent="0.3">
      <c r="A383" s="9">
        <v>1382</v>
      </c>
      <c r="B383" s="9" t="s">
        <v>47</v>
      </c>
      <c r="C383" s="4" t="s">
        <v>33</v>
      </c>
      <c r="D383" s="4" t="s">
        <v>34</v>
      </c>
      <c r="E383" s="4" t="s">
        <v>9</v>
      </c>
      <c r="F383" s="4">
        <v>11</v>
      </c>
      <c r="G383" s="4">
        <v>36198</v>
      </c>
      <c r="H383" s="4">
        <v>0</v>
      </c>
      <c r="I383" s="7">
        <v>46130</v>
      </c>
      <c r="J383" s="7">
        <v>46134</v>
      </c>
      <c r="K383" s="4" t="s">
        <v>78</v>
      </c>
    </row>
    <row r="384" spans="1:11" x14ac:dyDescent="0.3">
      <c r="A384" s="9">
        <v>1383</v>
      </c>
      <c r="B384" s="9" t="s">
        <v>32</v>
      </c>
      <c r="C384" s="4" t="s">
        <v>19</v>
      </c>
      <c r="D384" s="4" t="s">
        <v>20</v>
      </c>
      <c r="E384" s="4" t="s">
        <v>51</v>
      </c>
      <c r="F384" s="4">
        <v>14</v>
      </c>
      <c r="G384" s="4">
        <v>334</v>
      </c>
      <c r="H384" s="4">
        <v>10</v>
      </c>
      <c r="I384" s="7">
        <v>46196</v>
      </c>
      <c r="J384" s="7">
        <v>46203</v>
      </c>
      <c r="K384" s="4" t="s">
        <v>78</v>
      </c>
    </row>
    <row r="385" spans="1:11" x14ac:dyDescent="0.3">
      <c r="A385" s="9">
        <v>1384</v>
      </c>
      <c r="B385" s="9" t="s">
        <v>56</v>
      </c>
      <c r="C385" s="4" t="s">
        <v>19</v>
      </c>
      <c r="D385" s="4" t="s">
        <v>34</v>
      </c>
      <c r="E385" s="4" t="s">
        <v>5</v>
      </c>
      <c r="F385" s="4">
        <v>15</v>
      </c>
      <c r="G385" s="4">
        <v>38116</v>
      </c>
      <c r="H385" s="4">
        <v>0</v>
      </c>
      <c r="I385" s="7">
        <v>46074</v>
      </c>
      <c r="J385" s="7">
        <v>46078</v>
      </c>
      <c r="K385" s="4" t="s">
        <v>49</v>
      </c>
    </row>
    <row r="386" spans="1:11" x14ac:dyDescent="0.3">
      <c r="A386" s="9">
        <v>1385</v>
      </c>
      <c r="B386" s="9" t="s">
        <v>28</v>
      </c>
      <c r="C386" s="4" t="s">
        <v>33</v>
      </c>
      <c r="D386" s="4" t="s">
        <v>34</v>
      </c>
      <c r="E386" s="4" t="s">
        <v>5</v>
      </c>
      <c r="F386" s="4">
        <v>12</v>
      </c>
      <c r="G386" s="4">
        <v>61360</v>
      </c>
      <c r="H386" s="4">
        <v>10</v>
      </c>
      <c r="I386" s="7">
        <v>46048</v>
      </c>
      <c r="J386" s="7">
        <v>46053</v>
      </c>
      <c r="K386" s="4" t="s">
        <v>81</v>
      </c>
    </row>
    <row r="387" spans="1:11" x14ac:dyDescent="0.3">
      <c r="A387" s="9">
        <v>1386</v>
      </c>
      <c r="B387" s="9" t="s">
        <v>29</v>
      </c>
      <c r="C387" s="4" t="s">
        <v>31</v>
      </c>
      <c r="D387" s="4" t="s">
        <v>24</v>
      </c>
      <c r="E387" s="4" t="s">
        <v>8</v>
      </c>
      <c r="F387" s="4">
        <v>9</v>
      </c>
      <c r="G387" s="4">
        <v>7509</v>
      </c>
      <c r="H387" s="4">
        <v>5</v>
      </c>
      <c r="I387" s="7">
        <v>46162</v>
      </c>
      <c r="J387" s="7">
        <v>46171</v>
      </c>
      <c r="K387" s="4" t="s">
        <v>81</v>
      </c>
    </row>
    <row r="388" spans="1:11" x14ac:dyDescent="0.3">
      <c r="A388" s="9">
        <v>1387</v>
      </c>
      <c r="B388" s="9" t="s">
        <v>52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7">
        <v>46102</v>
      </c>
      <c r="J388" s="7">
        <v>46112</v>
      </c>
      <c r="K388" s="4" t="s">
        <v>80</v>
      </c>
    </row>
    <row r="389" spans="1:11" x14ac:dyDescent="0.3">
      <c r="A389" s="9">
        <v>1388</v>
      </c>
      <c r="B389" s="9" t="s">
        <v>53</v>
      </c>
      <c r="C389" s="4" t="s">
        <v>31</v>
      </c>
      <c r="D389" s="4" t="s">
        <v>24</v>
      </c>
      <c r="E389" s="4" t="s">
        <v>8</v>
      </c>
      <c r="F389" s="4">
        <v>12</v>
      </c>
      <c r="G389" s="4">
        <v>11662</v>
      </c>
      <c r="H389" s="4">
        <v>12</v>
      </c>
      <c r="I389" s="7">
        <v>46094</v>
      </c>
      <c r="J389" s="7">
        <v>46096</v>
      </c>
      <c r="K389" s="4" t="s">
        <v>79</v>
      </c>
    </row>
    <row r="390" spans="1:11" x14ac:dyDescent="0.3">
      <c r="A390" s="9">
        <v>1389</v>
      </c>
      <c r="B390" s="9" t="s">
        <v>32</v>
      </c>
      <c r="C390" s="4" t="s">
        <v>19</v>
      </c>
      <c r="D390" s="4" t="s">
        <v>34</v>
      </c>
      <c r="E390" s="4" t="s">
        <v>40</v>
      </c>
      <c r="F390" s="4">
        <v>3</v>
      </c>
      <c r="G390" s="4">
        <v>56380</v>
      </c>
      <c r="H390" s="4">
        <v>5</v>
      </c>
      <c r="I390" s="7">
        <v>46044</v>
      </c>
      <c r="J390" s="7">
        <v>46048</v>
      </c>
      <c r="K390" s="4" t="s">
        <v>81</v>
      </c>
    </row>
    <row r="391" spans="1:11" x14ac:dyDescent="0.3">
      <c r="A391" s="9">
        <v>1390</v>
      </c>
      <c r="B391" s="9" t="s">
        <v>55</v>
      </c>
      <c r="C391" s="4" t="s">
        <v>42</v>
      </c>
      <c r="D391" s="4" t="s">
        <v>24</v>
      </c>
      <c r="E391" s="4" t="s">
        <v>7</v>
      </c>
      <c r="F391" s="4">
        <v>9</v>
      </c>
      <c r="G391" s="4">
        <v>7670</v>
      </c>
      <c r="H391" s="4">
        <v>0</v>
      </c>
      <c r="I391" s="7">
        <v>46076</v>
      </c>
      <c r="J391" s="7">
        <v>46081</v>
      </c>
      <c r="K391" s="4" t="s">
        <v>81</v>
      </c>
    </row>
    <row r="392" spans="1:11" x14ac:dyDescent="0.3">
      <c r="A392" s="9">
        <v>1391</v>
      </c>
      <c r="B392" s="9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7">
        <v>46100</v>
      </c>
      <c r="J392" s="7">
        <v>46103</v>
      </c>
      <c r="K392" s="4" t="s">
        <v>80</v>
      </c>
    </row>
    <row r="393" spans="1:11" x14ac:dyDescent="0.3">
      <c r="A393" s="9">
        <v>1392</v>
      </c>
      <c r="B393" s="9" t="s">
        <v>49</v>
      </c>
      <c r="C393" s="4" t="s">
        <v>42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7">
        <v>46124</v>
      </c>
      <c r="J393" s="7">
        <v>46125</v>
      </c>
      <c r="K393" s="4" t="s">
        <v>49</v>
      </c>
    </row>
    <row r="394" spans="1:11" x14ac:dyDescent="0.3">
      <c r="A394" s="9">
        <v>1393</v>
      </c>
      <c r="B394" s="9" t="s">
        <v>30</v>
      </c>
      <c r="C394" s="4" t="s">
        <v>27</v>
      </c>
      <c r="D394" s="4" t="s">
        <v>34</v>
      </c>
      <c r="E394" s="4" t="s">
        <v>6</v>
      </c>
      <c r="F394" s="4">
        <v>17</v>
      </c>
      <c r="G394" s="4">
        <v>30351</v>
      </c>
      <c r="H394" s="4">
        <v>15</v>
      </c>
      <c r="I394" s="7">
        <v>46047</v>
      </c>
      <c r="J394" s="7">
        <v>46051</v>
      </c>
      <c r="K394" s="4" t="s">
        <v>81</v>
      </c>
    </row>
    <row r="395" spans="1:11" x14ac:dyDescent="0.3">
      <c r="A395" s="9">
        <v>1394</v>
      </c>
      <c r="B395" s="9" t="s">
        <v>52</v>
      </c>
      <c r="C395" s="4" t="s">
        <v>19</v>
      </c>
      <c r="D395" s="4" t="s">
        <v>20</v>
      </c>
      <c r="E395" s="4" t="s">
        <v>21</v>
      </c>
      <c r="F395" s="4">
        <v>10</v>
      </c>
      <c r="G395" s="4">
        <v>138</v>
      </c>
      <c r="H395" s="4">
        <v>2</v>
      </c>
      <c r="I395" s="7">
        <v>46056</v>
      </c>
      <c r="J395" s="7">
        <v>46057</v>
      </c>
      <c r="K395" s="4" t="s">
        <v>78</v>
      </c>
    </row>
    <row r="396" spans="1:11" x14ac:dyDescent="0.3">
      <c r="A396" s="9">
        <v>1395</v>
      </c>
      <c r="B396" s="9" t="s">
        <v>52</v>
      </c>
      <c r="C396" s="4" t="s">
        <v>33</v>
      </c>
      <c r="D396" s="4" t="s">
        <v>24</v>
      </c>
      <c r="E396" s="4" t="s">
        <v>43</v>
      </c>
      <c r="F396" s="4">
        <v>18</v>
      </c>
      <c r="G396" s="4">
        <v>10402</v>
      </c>
      <c r="H396" s="4">
        <v>15</v>
      </c>
      <c r="I396" s="7">
        <v>46062</v>
      </c>
      <c r="J396" s="7">
        <v>46067</v>
      </c>
      <c r="K396" s="4" t="s">
        <v>49</v>
      </c>
    </row>
    <row r="397" spans="1:11" x14ac:dyDescent="0.3">
      <c r="A397" s="9">
        <v>1396</v>
      </c>
      <c r="B397" s="9" t="s">
        <v>25</v>
      </c>
      <c r="C397" s="4" t="s">
        <v>38</v>
      </c>
      <c r="D397" s="4" t="s">
        <v>20</v>
      </c>
      <c r="E397" s="4" t="s">
        <v>51</v>
      </c>
      <c r="F397" s="4">
        <v>8</v>
      </c>
      <c r="G397" s="4">
        <v>54</v>
      </c>
      <c r="H397" s="4">
        <v>15</v>
      </c>
      <c r="I397" s="7">
        <v>46031</v>
      </c>
      <c r="J397" s="7">
        <v>46035</v>
      </c>
      <c r="K397" s="4" t="s">
        <v>78</v>
      </c>
    </row>
    <row r="398" spans="1:11" x14ac:dyDescent="0.3">
      <c r="A398" s="9">
        <v>1397</v>
      </c>
      <c r="B398" s="9" t="s">
        <v>25</v>
      </c>
      <c r="C398" s="4" t="s">
        <v>33</v>
      </c>
      <c r="D398" s="4" t="s">
        <v>24</v>
      </c>
      <c r="E398" s="4" t="s">
        <v>10</v>
      </c>
      <c r="F398" s="4">
        <v>1</v>
      </c>
      <c r="G398" s="4">
        <v>8948</v>
      </c>
      <c r="H398" s="4">
        <v>5</v>
      </c>
      <c r="I398" s="7">
        <v>46194</v>
      </c>
      <c r="J398" s="7">
        <v>46201</v>
      </c>
      <c r="K398" s="4" t="s">
        <v>81</v>
      </c>
    </row>
    <row r="399" spans="1:11" x14ac:dyDescent="0.3">
      <c r="A399" s="9">
        <v>1398</v>
      </c>
      <c r="B399" s="9" t="s">
        <v>55</v>
      </c>
      <c r="C399" s="4" t="s">
        <v>42</v>
      </c>
      <c r="D399" s="4" t="s">
        <v>34</v>
      </c>
      <c r="E399" s="4" t="s">
        <v>5</v>
      </c>
      <c r="F399" s="4">
        <v>12</v>
      </c>
      <c r="G399" s="4">
        <v>10668</v>
      </c>
      <c r="H399" s="4">
        <v>0</v>
      </c>
      <c r="I399" s="7">
        <v>46170</v>
      </c>
      <c r="J399" s="7">
        <v>46176</v>
      </c>
      <c r="K399" s="4" t="s">
        <v>78</v>
      </c>
    </row>
    <row r="400" spans="1:11" x14ac:dyDescent="0.3">
      <c r="A400" s="9">
        <v>1399</v>
      </c>
      <c r="B400" s="9" t="s">
        <v>46</v>
      </c>
      <c r="C400" s="4" t="s">
        <v>31</v>
      </c>
      <c r="D400" s="4" t="s">
        <v>20</v>
      </c>
      <c r="E400" s="4" t="s">
        <v>21</v>
      </c>
      <c r="F400" s="4">
        <v>15</v>
      </c>
      <c r="G400" s="4">
        <v>87</v>
      </c>
      <c r="H400" s="4">
        <v>15</v>
      </c>
      <c r="I400" s="7">
        <v>46089</v>
      </c>
      <c r="J400" s="7">
        <v>46093</v>
      </c>
      <c r="K400" s="4" t="s">
        <v>79</v>
      </c>
    </row>
    <row r="401" spans="1:11" x14ac:dyDescent="0.3">
      <c r="A401" s="9">
        <v>1400</v>
      </c>
      <c r="B401" s="9" t="s">
        <v>39</v>
      </c>
      <c r="C401" s="4" t="s">
        <v>26</v>
      </c>
      <c r="D401" s="4" t="s">
        <v>34</v>
      </c>
      <c r="E401" s="4" t="s">
        <v>35</v>
      </c>
      <c r="F401" s="4">
        <v>13</v>
      </c>
      <c r="G401" s="4">
        <v>52411</v>
      </c>
      <c r="H401" s="4">
        <v>15</v>
      </c>
      <c r="I401" s="7">
        <v>46090</v>
      </c>
      <c r="J401" s="7">
        <v>46092</v>
      </c>
      <c r="K401" s="4" t="s">
        <v>79</v>
      </c>
    </row>
  </sheetData>
  <sortState xmlns:xlrd2="http://schemas.microsoft.com/office/spreadsheetml/2017/richdata2" ref="A2:I101">
    <sortCondition ref="I4:I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37C6-9181-400C-89C5-A3C0A4009469}">
  <dimension ref="A1:K401"/>
  <sheetViews>
    <sheetView workbookViewId="0">
      <pane ySplit="1" topLeftCell="A2" activePane="bottomLeft" state="frozen"/>
      <selection pane="bottomLeft" sqref="A1:K1"/>
    </sheetView>
  </sheetViews>
  <sheetFormatPr defaultRowHeight="14.4" x14ac:dyDescent="0.3"/>
  <cols>
    <col min="1" max="1" width="8.5546875" bestFit="1" customWidth="1"/>
    <col min="2" max="2" width="9.10937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.33203125" bestFit="1" customWidth="1"/>
    <col min="7" max="7" width="9.6640625" bestFit="1" customWidth="1"/>
    <col min="8" max="8" width="10.77734375" bestFit="1" customWidth="1"/>
    <col min="9" max="9" width="10.6640625" bestFit="1" customWidth="1"/>
    <col min="10" max="10" width="12.6640625" bestFit="1" customWidth="1"/>
    <col min="11" max="11" width="11" bestFit="1" customWidth="1"/>
  </cols>
  <sheetData>
    <row r="1" spans="1:11" x14ac:dyDescent="0.3">
      <c r="A1" s="11" t="s">
        <v>0</v>
      </c>
      <c r="B1" s="11" t="s">
        <v>13</v>
      </c>
      <c r="C1" s="10" t="s">
        <v>14</v>
      </c>
      <c r="D1" s="10" t="s">
        <v>15</v>
      </c>
      <c r="E1" s="10" t="s">
        <v>1</v>
      </c>
      <c r="F1" s="10" t="s">
        <v>4</v>
      </c>
      <c r="G1" s="10" t="s">
        <v>16</v>
      </c>
      <c r="H1" s="10" t="s">
        <v>17</v>
      </c>
      <c r="I1" s="10" t="s">
        <v>2</v>
      </c>
      <c r="J1" s="10" t="s">
        <v>3</v>
      </c>
      <c r="K1" s="13" t="s">
        <v>77</v>
      </c>
    </row>
    <row r="2" spans="1:11" x14ac:dyDescent="0.3">
      <c r="A2" s="9">
        <v>1290</v>
      </c>
      <c r="B2" s="9" t="s">
        <v>28</v>
      </c>
      <c r="C2" s="4" t="s">
        <v>26</v>
      </c>
      <c r="D2" s="4" t="s">
        <v>34</v>
      </c>
      <c r="E2" s="4" t="s">
        <v>35</v>
      </c>
      <c r="F2" s="4">
        <v>3</v>
      </c>
      <c r="G2" s="4">
        <v>69793</v>
      </c>
      <c r="H2" s="4">
        <v>15</v>
      </c>
      <c r="I2" s="7">
        <v>46110</v>
      </c>
      <c r="J2" s="7">
        <v>46111</v>
      </c>
      <c r="K2" s="4" t="s">
        <v>49</v>
      </c>
    </row>
    <row r="3" spans="1:11" x14ac:dyDescent="0.3">
      <c r="A3" s="9">
        <v>1200</v>
      </c>
      <c r="B3" s="9" t="s">
        <v>49</v>
      </c>
      <c r="C3" s="4" t="s">
        <v>31</v>
      </c>
      <c r="D3" s="4" t="s">
        <v>34</v>
      </c>
      <c r="E3" s="4" t="s">
        <v>6</v>
      </c>
      <c r="F3" s="4">
        <v>13</v>
      </c>
      <c r="G3" s="4">
        <v>69422</v>
      </c>
      <c r="H3" s="4">
        <v>0</v>
      </c>
      <c r="I3" s="7">
        <v>46134</v>
      </c>
      <c r="J3" s="7">
        <v>46143</v>
      </c>
      <c r="K3" s="4" t="s">
        <v>49</v>
      </c>
    </row>
    <row r="4" spans="1:11" x14ac:dyDescent="0.3">
      <c r="A4" s="9">
        <v>1245</v>
      </c>
      <c r="B4" s="9" t="s">
        <v>53</v>
      </c>
      <c r="C4" s="4" t="s">
        <v>42</v>
      </c>
      <c r="D4" s="4" t="s">
        <v>34</v>
      </c>
      <c r="E4" s="4" t="s">
        <v>40</v>
      </c>
      <c r="F4" s="4">
        <v>19</v>
      </c>
      <c r="G4" s="4">
        <v>69029</v>
      </c>
      <c r="H4" s="4">
        <v>7</v>
      </c>
      <c r="I4" s="7">
        <v>46176</v>
      </c>
      <c r="J4" s="7">
        <v>46179</v>
      </c>
      <c r="K4" s="4" t="s">
        <v>49</v>
      </c>
    </row>
    <row r="5" spans="1:11" x14ac:dyDescent="0.3">
      <c r="A5" s="9">
        <v>1135</v>
      </c>
      <c r="B5" s="9" t="s">
        <v>47</v>
      </c>
      <c r="C5" s="4" t="s">
        <v>42</v>
      </c>
      <c r="D5" s="4" t="s">
        <v>34</v>
      </c>
      <c r="E5" s="4" t="s">
        <v>5</v>
      </c>
      <c r="F5" s="4">
        <v>14</v>
      </c>
      <c r="G5" s="4">
        <v>68534</v>
      </c>
      <c r="H5" s="4">
        <v>0</v>
      </c>
      <c r="I5" s="7">
        <v>46041</v>
      </c>
      <c r="J5" s="7">
        <v>46042</v>
      </c>
      <c r="K5" s="4" t="s">
        <v>78</v>
      </c>
    </row>
    <row r="6" spans="1:11" x14ac:dyDescent="0.3">
      <c r="A6" s="9">
        <v>1187</v>
      </c>
      <c r="B6" s="9" t="s">
        <v>52</v>
      </c>
      <c r="C6" s="4" t="s">
        <v>26</v>
      </c>
      <c r="D6" s="4" t="s">
        <v>34</v>
      </c>
      <c r="E6" s="4" t="s">
        <v>6</v>
      </c>
      <c r="F6" s="4">
        <v>18</v>
      </c>
      <c r="G6" s="4">
        <v>68527</v>
      </c>
      <c r="H6" s="4">
        <v>12</v>
      </c>
      <c r="I6" s="7">
        <v>46178</v>
      </c>
      <c r="J6" s="7">
        <v>46184</v>
      </c>
      <c r="K6" s="4" t="s">
        <v>81</v>
      </c>
    </row>
    <row r="7" spans="1:11" x14ac:dyDescent="0.3">
      <c r="A7" s="9">
        <v>1146</v>
      </c>
      <c r="B7" s="9" t="s">
        <v>22</v>
      </c>
      <c r="C7" s="4" t="s">
        <v>42</v>
      </c>
      <c r="D7" s="4" t="s">
        <v>34</v>
      </c>
      <c r="E7" s="4" t="s">
        <v>6</v>
      </c>
      <c r="F7" s="4">
        <v>7</v>
      </c>
      <c r="G7" s="4">
        <v>68217</v>
      </c>
      <c r="H7" s="4">
        <v>0</v>
      </c>
      <c r="I7" s="7">
        <v>46190</v>
      </c>
      <c r="J7" s="7">
        <v>46197</v>
      </c>
      <c r="K7" s="4" t="s">
        <v>49</v>
      </c>
    </row>
    <row r="8" spans="1:11" x14ac:dyDescent="0.3">
      <c r="A8" s="9">
        <v>1140</v>
      </c>
      <c r="B8" s="9" t="s">
        <v>54</v>
      </c>
      <c r="C8" s="4" t="s">
        <v>38</v>
      </c>
      <c r="D8" s="4" t="s">
        <v>34</v>
      </c>
      <c r="E8" s="4" t="s">
        <v>40</v>
      </c>
      <c r="F8" s="4">
        <v>5</v>
      </c>
      <c r="G8" s="4">
        <v>68012</v>
      </c>
      <c r="H8" s="4">
        <v>5</v>
      </c>
      <c r="I8" s="7">
        <v>46061</v>
      </c>
      <c r="J8" s="7">
        <v>46065</v>
      </c>
      <c r="K8" s="4" t="s">
        <v>78</v>
      </c>
    </row>
    <row r="9" spans="1:11" x14ac:dyDescent="0.3">
      <c r="A9" s="9">
        <v>1317</v>
      </c>
      <c r="B9" s="9" t="s">
        <v>56</v>
      </c>
      <c r="C9" s="4" t="s">
        <v>33</v>
      </c>
      <c r="D9" s="4" t="s">
        <v>34</v>
      </c>
      <c r="E9" s="4" t="s">
        <v>40</v>
      </c>
      <c r="F9" s="4">
        <v>7</v>
      </c>
      <c r="G9" s="4">
        <v>67339</v>
      </c>
      <c r="H9" s="4">
        <v>5</v>
      </c>
      <c r="I9" s="7">
        <v>46159</v>
      </c>
      <c r="J9" s="7">
        <v>46169</v>
      </c>
      <c r="K9" s="4" t="s">
        <v>81</v>
      </c>
    </row>
    <row r="10" spans="1:11" x14ac:dyDescent="0.3">
      <c r="A10" s="9">
        <v>1063</v>
      </c>
      <c r="B10" s="9" t="s">
        <v>52</v>
      </c>
      <c r="C10" s="4" t="s">
        <v>26</v>
      </c>
      <c r="D10" s="4" t="s">
        <v>34</v>
      </c>
      <c r="E10" s="4" t="s">
        <v>6</v>
      </c>
      <c r="F10" s="4">
        <v>7</v>
      </c>
      <c r="G10" s="4">
        <v>66744</v>
      </c>
      <c r="H10" s="4">
        <v>7</v>
      </c>
      <c r="I10" s="7">
        <v>46148</v>
      </c>
      <c r="J10" s="7">
        <v>46155</v>
      </c>
      <c r="K10" s="4" t="s">
        <v>78</v>
      </c>
    </row>
    <row r="11" spans="1:11" x14ac:dyDescent="0.3">
      <c r="A11" s="9">
        <v>1090</v>
      </c>
      <c r="B11" s="9" t="s">
        <v>47</v>
      </c>
      <c r="C11" s="4" t="s">
        <v>31</v>
      </c>
      <c r="D11" s="4" t="s">
        <v>34</v>
      </c>
      <c r="E11" s="4" t="s">
        <v>6</v>
      </c>
      <c r="F11" s="4">
        <v>19</v>
      </c>
      <c r="G11" s="4">
        <v>66139</v>
      </c>
      <c r="H11" s="4">
        <v>5</v>
      </c>
      <c r="I11" s="7">
        <v>46088</v>
      </c>
      <c r="J11" s="7">
        <v>46095</v>
      </c>
      <c r="K11" s="4" t="s">
        <v>80</v>
      </c>
    </row>
    <row r="12" spans="1:11" x14ac:dyDescent="0.3">
      <c r="A12" s="9">
        <v>1308</v>
      </c>
      <c r="B12" s="9" t="s">
        <v>30</v>
      </c>
      <c r="C12" s="4" t="s">
        <v>26</v>
      </c>
      <c r="D12" s="4" t="s">
        <v>34</v>
      </c>
      <c r="E12" s="4" t="s">
        <v>40</v>
      </c>
      <c r="F12" s="4">
        <v>12</v>
      </c>
      <c r="G12" s="4">
        <v>66075</v>
      </c>
      <c r="H12" s="4">
        <v>5</v>
      </c>
      <c r="I12" s="7">
        <v>46129</v>
      </c>
      <c r="J12" s="7">
        <v>46135</v>
      </c>
      <c r="K12" s="4" t="s">
        <v>79</v>
      </c>
    </row>
    <row r="13" spans="1:11" x14ac:dyDescent="0.3">
      <c r="A13" s="9">
        <v>1374</v>
      </c>
      <c r="B13" s="9" t="s">
        <v>54</v>
      </c>
      <c r="C13" s="4" t="s">
        <v>33</v>
      </c>
      <c r="D13" s="4" t="s">
        <v>34</v>
      </c>
      <c r="E13" s="4" t="s">
        <v>35</v>
      </c>
      <c r="F13" s="4">
        <v>12</v>
      </c>
      <c r="G13" s="4">
        <v>66052</v>
      </c>
      <c r="H13" s="4">
        <v>2</v>
      </c>
      <c r="I13" s="7">
        <v>46063</v>
      </c>
      <c r="J13" s="7">
        <v>46066</v>
      </c>
      <c r="K13" s="4" t="s">
        <v>81</v>
      </c>
    </row>
    <row r="14" spans="1:11" x14ac:dyDescent="0.3">
      <c r="A14" s="9">
        <v>1182</v>
      </c>
      <c r="B14" s="9" t="s">
        <v>41</v>
      </c>
      <c r="C14" s="4" t="s">
        <v>19</v>
      </c>
      <c r="D14" s="4" t="s">
        <v>34</v>
      </c>
      <c r="E14" s="4" t="s">
        <v>5</v>
      </c>
      <c r="F14" s="4">
        <v>8</v>
      </c>
      <c r="G14" s="4">
        <v>66022</v>
      </c>
      <c r="H14" s="4">
        <v>12</v>
      </c>
      <c r="I14" s="7">
        <v>46108</v>
      </c>
      <c r="J14" s="7">
        <v>46114</v>
      </c>
      <c r="K14" s="4" t="s">
        <v>80</v>
      </c>
    </row>
    <row r="15" spans="1:11" x14ac:dyDescent="0.3">
      <c r="A15" s="9">
        <v>1250</v>
      </c>
      <c r="B15" s="9" t="s">
        <v>18</v>
      </c>
      <c r="C15" s="4" t="s">
        <v>23</v>
      </c>
      <c r="D15" s="4" t="s">
        <v>34</v>
      </c>
      <c r="E15" s="4" t="s">
        <v>6</v>
      </c>
      <c r="F15" s="4">
        <v>2</v>
      </c>
      <c r="G15" s="4">
        <v>65953</v>
      </c>
      <c r="H15" s="4">
        <v>7</v>
      </c>
      <c r="I15" s="7">
        <v>46051</v>
      </c>
      <c r="J15" s="7">
        <v>46053</v>
      </c>
      <c r="K15" s="4" t="s">
        <v>49</v>
      </c>
    </row>
    <row r="16" spans="1:11" x14ac:dyDescent="0.3">
      <c r="A16" s="9">
        <v>1391</v>
      </c>
      <c r="B16" s="9" t="s">
        <v>30</v>
      </c>
      <c r="C16" s="4" t="s">
        <v>31</v>
      </c>
      <c r="D16" s="4" t="s">
        <v>34</v>
      </c>
      <c r="E16" s="4" t="s">
        <v>35</v>
      </c>
      <c r="F16" s="4">
        <v>5</v>
      </c>
      <c r="G16" s="4">
        <v>65270</v>
      </c>
      <c r="H16" s="4">
        <v>5</v>
      </c>
      <c r="I16" s="7">
        <v>46100</v>
      </c>
      <c r="J16" s="7">
        <v>46103</v>
      </c>
      <c r="K16" s="4" t="s">
        <v>80</v>
      </c>
    </row>
    <row r="17" spans="1:11" x14ac:dyDescent="0.3">
      <c r="A17" s="9">
        <v>1075</v>
      </c>
      <c r="B17" s="9" t="s">
        <v>41</v>
      </c>
      <c r="C17" s="4" t="s">
        <v>42</v>
      </c>
      <c r="D17" s="4" t="s">
        <v>34</v>
      </c>
      <c r="E17" s="4" t="s">
        <v>12</v>
      </c>
      <c r="F17" s="4">
        <v>4</v>
      </c>
      <c r="G17" s="4">
        <v>64773</v>
      </c>
      <c r="H17" s="4">
        <v>10</v>
      </c>
      <c r="I17" s="7">
        <v>46185</v>
      </c>
      <c r="J17" s="7">
        <v>46186</v>
      </c>
      <c r="K17" s="4" t="s">
        <v>81</v>
      </c>
    </row>
    <row r="18" spans="1:11" x14ac:dyDescent="0.3">
      <c r="A18" s="9">
        <v>1012</v>
      </c>
      <c r="B18" s="9" t="s">
        <v>28</v>
      </c>
      <c r="C18" s="4" t="s">
        <v>38</v>
      </c>
      <c r="D18" s="4" t="s">
        <v>34</v>
      </c>
      <c r="E18" s="4" t="s">
        <v>5</v>
      </c>
      <c r="F18" s="4">
        <v>3</v>
      </c>
      <c r="G18" s="4">
        <v>64615</v>
      </c>
      <c r="H18" s="4">
        <v>10</v>
      </c>
      <c r="I18" s="7">
        <v>46086</v>
      </c>
      <c r="J18" s="7">
        <v>46095</v>
      </c>
      <c r="K18" s="4" t="s">
        <v>49</v>
      </c>
    </row>
    <row r="19" spans="1:11" x14ac:dyDescent="0.3">
      <c r="A19" s="9">
        <v>1102</v>
      </c>
      <c r="B19" s="9" t="s">
        <v>52</v>
      </c>
      <c r="C19" s="4" t="s">
        <v>27</v>
      </c>
      <c r="D19" s="4" t="s">
        <v>34</v>
      </c>
      <c r="E19" s="4" t="s">
        <v>6</v>
      </c>
      <c r="F19" s="4">
        <v>12</v>
      </c>
      <c r="G19" s="4">
        <v>63402</v>
      </c>
      <c r="H19" s="4">
        <v>7</v>
      </c>
      <c r="I19" s="7">
        <v>46106</v>
      </c>
      <c r="J19" s="7">
        <v>46113</v>
      </c>
      <c r="K19" s="4" t="s">
        <v>81</v>
      </c>
    </row>
    <row r="20" spans="1:11" x14ac:dyDescent="0.3">
      <c r="A20" s="9">
        <v>1270</v>
      </c>
      <c r="B20" s="9" t="s">
        <v>47</v>
      </c>
      <c r="C20" s="4" t="s">
        <v>42</v>
      </c>
      <c r="D20" s="4" t="s">
        <v>34</v>
      </c>
      <c r="E20" s="4" t="s">
        <v>35</v>
      </c>
      <c r="F20" s="4">
        <v>16</v>
      </c>
      <c r="G20" s="4">
        <v>62941</v>
      </c>
      <c r="H20" s="4">
        <v>7</v>
      </c>
      <c r="I20" s="7">
        <v>46135</v>
      </c>
      <c r="J20" s="7">
        <v>46141</v>
      </c>
      <c r="K20" s="4" t="s">
        <v>81</v>
      </c>
    </row>
    <row r="21" spans="1:11" x14ac:dyDescent="0.3">
      <c r="A21" s="9">
        <v>1045</v>
      </c>
      <c r="B21" s="9" t="s">
        <v>32</v>
      </c>
      <c r="C21" s="4" t="s">
        <v>38</v>
      </c>
      <c r="D21" s="4" t="s">
        <v>34</v>
      </c>
      <c r="E21" s="4" t="s">
        <v>35</v>
      </c>
      <c r="F21" s="4">
        <v>3</v>
      </c>
      <c r="G21" s="4">
        <v>62762</v>
      </c>
      <c r="H21" s="4">
        <v>7</v>
      </c>
      <c r="I21" s="7">
        <v>46038</v>
      </c>
      <c r="J21" s="7">
        <v>46039</v>
      </c>
      <c r="K21" s="4" t="s">
        <v>49</v>
      </c>
    </row>
    <row r="22" spans="1:11" x14ac:dyDescent="0.3">
      <c r="A22" s="9">
        <v>1349</v>
      </c>
      <c r="B22" s="9" t="s">
        <v>39</v>
      </c>
      <c r="C22" s="4" t="s">
        <v>33</v>
      </c>
      <c r="D22" s="4" t="s">
        <v>34</v>
      </c>
      <c r="E22" s="4" t="s">
        <v>35</v>
      </c>
      <c r="F22" s="4">
        <v>20</v>
      </c>
      <c r="G22" s="4">
        <v>62721</v>
      </c>
      <c r="H22" s="4">
        <v>7</v>
      </c>
      <c r="I22" s="7">
        <v>46079</v>
      </c>
      <c r="J22" s="7">
        <v>46083</v>
      </c>
      <c r="K22" s="4" t="s">
        <v>79</v>
      </c>
    </row>
    <row r="23" spans="1:11" x14ac:dyDescent="0.3">
      <c r="A23" s="9">
        <v>1163</v>
      </c>
      <c r="B23" s="9" t="s">
        <v>49</v>
      </c>
      <c r="C23" s="4" t="s">
        <v>38</v>
      </c>
      <c r="D23" s="4" t="s">
        <v>34</v>
      </c>
      <c r="E23" s="4" t="s">
        <v>5</v>
      </c>
      <c r="F23" s="4">
        <v>9</v>
      </c>
      <c r="G23" s="4">
        <v>62440</v>
      </c>
      <c r="H23" s="4">
        <v>2</v>
      </c>
      <c r="I23" s="7">
        <v>46081</v>
      </c>
      <c r="J23" s="7">
        <v>46086</v>
      </c>
      <c r="K23" s="4" t="s">
        <v>49</v>
      </c>
    </row>
    <row r="24" spans="1:11" x14ac:dyDescent="0.3">
      <c r="A24" s="9">
        <v>1385</v>
      </c>
      <c r="B24" s="9" t="s">
        <v>28</v>
      </c>
      <c r="C24" s="4" t="s">
        <v>33</v>
      </c>
      <c r="D24" s="4" t="s">
        <v>34</v>
      </c>
      <c r="E24" s="4" t="s">
        <v>5</v>
      </c>
      <c r="F24" s="4">
        <v>12</v>
      </c>
      <c r="G24" s="4">
        <v>61360</v>
      </c>
      <c r="H24" s="4">
        <v>10</v>
      </c>
      <c r="I24" s="7">
        <v>46048</v>
      </c>
      <c r="J24" s="7">
        <v>46053</v>
      </c>
      <c r="K24" s="4" t="s">
        <v>81</v>
      </c>
    </row>
    <row r="25" spans="1:11" x14ac:dyDescent="0.3">
      <c r="A25" s="9">
        <v>1039</v>
      </c>
      <c r="B25" s="9" t="s">
        <v>46</v>
      </c>
      <c r="C25" s="4" t="s">
        <v>38</v>
      </c>
      <c r="D25" s="4" t="s">
        <v>34</v>
      </c>
      <c r="E25" s="4" t="s">
        <v>6</v>
      </c>
      <c r="F25" s="4">
        <v>5</v>
      </c>
      <c r="G25" s="4">
        <v>60236</v>
      </c>
      <c r="H25" s="4">
        <v>10</v>
      </c>
      <c r="I25" s="7">
        <v>46107</v>
      </c>
      <c r="J25" s="7">
        <v>46110</v>
      </c>
      <c r="K25" s="4" t="s">
        <v>79</v>
      </c>
    </row>
    <row r="26" spans="1:11" x14ac:dyDescent="0.3">
      <c r="A26" s="9">
        <v>1081</v>
      </c>
      <c r="B26" s="9" t="s">
        <v>45</v>
      </c>
      <c r="C26" s="4" t="s">
        <v>19</v>
      </c>
      <c r="D26" s="4" t="s">
        <v>34</v>
      </c>
      <c r="E26" s="4" t="s">
        <v>35</v>
      </c>
      <c r="F26" s="4">
        <v>15</v>
      </c>
      <c r="G26" s="4">
        <v>59912</v>
      </c>
      <c r="H26" s="4">
        <v>7</v>
      </c>
      <c r="I26" s="7">
        <v>46058</v>
      </c>
      <c r="J26" s="7">
        <v>46060</v>
      </c>
      <c r="K26" s="4" t="s">
        <v>81</v>
      </c>
    </row>
    <row r="27" spans="1:11" x14ac:dyDescent="0.3">
      <c r="A27" s="9">
        <v>1142</v>
      </c>
      <c r="B27" s="9" t="s">
        <v>39</v>
      </c>
      <c r="C27" s="4" t="s">
        <v>27</v>
      </c>
      <c r="D27" s="4" t="s">
        <v>34</v>
      </c>
      <c r="E27" s="4" t="s">
        <v>9</v>
      </c>
      <c r="F27" s="4">
        <v>9</v>
      </c>
      <c r="G27" s="4">
        <v>59788</v>
      </c>
      <c r="H27" s="4">
        <v>7</v>
      </c>
      <c r="I27" s="7">
        <v>46064</v>
      </c>
      <c r="J27" s="7">
        <v>46071</v>
      </c>
      <c r="K27" s="4" t="s">
        <v>49</v>
      </c>
    </row>
    <row r="28" spans="1:11" x14ac:dyDescent="0.3">
      <c r="A28" s="9">
        <v>1061</v>
      </c>
      <c r="B28" s="9" t="s">
        <v>54</v>
      </c>
      <c r="C28" s="4" t="s">
        <v>19</v>
      </c>
      <c r="D28" s="4" t="s">
        <v>34</v>
      </c>
      <c r="E28" s="4" t="s">
        <v>40</v>
      </c>
      <c r="F28" s="4">
        <v>16</v>
      </c>
      <c r="G28" s="4">
        <v>59084</v>
      </c>
      <c r="H28" s="4">
        <v>0</v>
      </c>
      <c r="I28" s="7">
        <v>46060</v>
      </c>
      <c r="J28" s="7">
        <v>46069</v>
      </c>
      <c r="K28" s="4" t="s">
        <v>79</v>
      </c>
    </row>
    <row r="29" spans="1:11" x14ac:dyDescent="0.3">
      <c r="A29" s="9">
        <v>1072</v>
      </c>
      <c r="B29" s="9" t="s">
        <v>22</v>
      </c>
      <c r="C29" s="4" t="s">
        <v>27</v>
      </c>
      <c r="D29" s="4" t="s">
        <v>34</v>
      </c>
      <c r="E29" s="4" t="s">
        <v>12</v>
      </c>
      <c r="F29" s="4">
        <v>20</v>
      </c>
      <c r="G29" s="4">
        <v>58779</v>
      </c>
      <c r="H29" s="4">
        <v>0</v>
      </c>
      <c r="I29" s="7">
        <v>46035</v>
      </c>
      <c r="J29" s="7">
        <v>46036</v>
      </c>
      <c r="K29" s="4" t="s">
        <v>80</v>
      </c>
    </row>
    <row r="30" spans="1:11" x14ac:dyDescent="0.3">
      <c r="A30" s="9">
        <v>1325</v>
      </c>
      <c r="B30" s="9" t="s">
        <v>46</v>
      </c>
      <c r="C30" s="4" t="s">
        <v>42</v>
      </c>
      <c r="D30" s="4" t="s">
        <v>34</v>
      </c>
      <c r="E30" s="4" t="s">
        <v>5</v>
      </c>
      <c r="F30" s="4">
        <v>9</v>
      </c>
      <c r="G30" s="4">
        <v>58442</v>
      </c>
      <c r="H30" s="4">
        <v>12</v>
      </c>
      <c r="I30" s="7">
        <v>46076</v>
      </c>
      <c r="J30" s="7">
        <v>46085</v>
      </c>
      <c r="K30" s="4" t="s">
        <v>79</v>
      </c>
    </row>
    <row r="31" spans="1:11" x14ac:dyDescent="0.3">
      <c r="A31" s="9">
        <v>1319</v>
      </c>
      <c r="B31" s="9" t="s">
        <v>25</v>
      </c>
      <c r="C31" s="4" t="s">
        <v>23</v>
      </c>
      <c r="D31" s="4" t="s">
        <v>34</v>
      </c>
      <c r="E31" s="4" t="s">
        <v>12</v>
      </c>
      <c r="F31" s="4">
        <v>17</v>
      </c>
      <c r="G31" s="4">
        <v>58407</v>
      </c>
      <c r="H31" s="4">
        <v>7</v>
      </c>
      <c r="I31" s="7">
        <v>46094</v>
      </c>
      <c r="J31" s="7">
        <v>46102</v>
      </c>
      <c r="K31" s="4" t="s">
        <v>78</v>
      </c>
    </row>
    <row r="32" spans="1:11" x14ac:dyDescent="0.3">
      <c r="A32" s="9">
        <v>1315</v>
      </c>
      <c r="B32" s="9" t="s">
        <v>47</v>
      </c>
      <c r="C32" s="4" t="s">
        <v>31</v>
      </c>
      <c r="D32" s="4" t="s">
        <v>34</v>
      </c>
      <c r="E32" s="4" t="s">
        <v>40</v>
      </c>
      <c r="F32" s="4">
        <v>14</v>
      </c>
      <c r="G32" s="4">
        <v>57670</v>
      </c>
      <c r="H32" s="4">
        <v>2</v>
      </c>
      <c r="I32" s="7">
        <v>46186</v>
      </c>
      <c r="J32" s="7">
        <v>46196</v>
      </c>
      <c r="K32" s="4" t="s">
        <v>78</v>
      </c>
    </row>
    <row r="33" spans="1:11" x14ac:dyDescent="0.3">
      <c r="A33" s="9">
        <v>1375</v>
      </c>
      <c r="B33" s="9" t="s">
        <v>44</v>
      </c>
      <c r="C33" s="4" t="s">
        <v>42</v>
      </c>
      <c r="D33" s="4" t="s">
        <v>34</v>
      </c>
      <c r="E33" s="4" t="s">
        <v>6</v>
      </c>
      <c r="F33" s="4">
        <v>20</v>
      </c>
      <c r="G33" s="4">
        <v>56766</v>
      </c>
      <c r="H33" s="4">
        <v>0</v>
      </c>
      <c r="I33" s="7">
        <v>46052</v>
      </c>
      <c r="J33" s="7">
        <v>46061</v>
      </c>
      <c r="K33" s="4" t="s">
        <v>80</v>
      </c>
    </row>
    <row r="34" spans="1:11" x14ac:dyDescent="0.3">
      <c r="A34" s="9">
        <v>1216</v>
      </c>
      <c r="B34" s="9" t="s">
        <v>39</v>
      </c>
      <c r="C34" s="4" t="s">
        <v>26</v>
      </c>
      <c r="D34" s="4" t="s">
        <v>34</v>
      </c>
      <c r="E34" s="4" t="s">
        <v>6</v>
      </c>
      <c r="F34" s="4">
        <v>10</v>
      </c>
      <c r="G34" s="4">
        <v>56709</v>
      </c>
      <c r="H34" s="4">
        <v>15</v>
      </c>
      <c r="I34" s="7">
        <v>46135</v>
      </c>
      <c r="J34" s="7">
        <v>46139</v>
      </c>
      <c r="K34" s="4" t="s">
        <v>49</v>
      </c>
    </row>
    <row r="35" spans="1:11" x14ac:dyDescent="0.3">
      <c r="A35" s="9">
        <v>1387</v>
      </c>
      <c r="B35" s="9" t="s">
        <v>52</v>
      </c>
      <c r="C35" s="4" t="s">
        <v>33</v>
      </c>
      <c r="D35" s="4" t="s">
        <v>34</v>
      </c>
      <c r="E35" s="4" t="s">
        <v>35</v>
      </c>
      <c r="F35" s="4">
        <v>11</v>
      </c>
      <c r="G35" s="4">
        <v>56515</v>
      </c>
      <c r="H35" s="4">
        <v>5</v>
      </c>
      <c r="I35" s="7">
        <v>46102</v>
      </c>
      <c r="J35" s="7">
        <v>46112</v>
      </c>
      <c r="K35" s="4" t="s">
        <v>80</v>
      </c>
    </row>
    <row r="36" spans="1:11" x14ac:dyDescent="0.3">
      <c r="A36" s="9">
        <v>1389</v>
      </c>
      <c r="B36" s="9" t="s">
        <v>32</v>
      </c>
      <c r="C36" s="4" t="s">
        <v>19</v>
      </c>
      <c r="D36" s="4" t="s">
        <v>34</v>
      </c>
      <c r="E36" s="4" t="s">
        <v>40</v>
      </c>
      <c r="F36" s="4">
        <v>3</v>
      </c>
      <c r="G36" s="4">
        <v>56380</v>
      </c>
      <c r="H36" s="4">
        <v>5</v>
      </c>
      <c r="I36" s="7">
        <v>46044</v>
      </c>
      <c r="J36" s="7">
        <v>46048</v>
      </c>
      <c r="K36" s="4" t="s">
        <v>81</v>
      </c>
    </row>
    <row r="37" spans="1:11" x14ac:dyDescent="0.3">
      <c r="A37" s="9">
        <v>1121</v>
      </c>
      <c r="B37" s="9" t="s">
        <v>49</v>
      </c>
      <c r="C37" s="4" t="s">
        <v>19</v>
      </c>
      <c r="D37" s="4" t="s">
        <v>34</v>
      </c>
      <c r="E37" s="4" t="s">
        <v>5</v>
      </c>
      <c r="F37" s="4">
        <v>4</v>
      </c>
      <c r="G37" s="4">
        <v>55809</v>
      </c>
      <c r="H37" s="4">
        <v>2</v>
      </c>
      <c r="I37" s="7">
        <v>46103</v>
      </c>
      <c r="J37" s="7">
        <v>46108</v>
      </c>
      <c r="K37" s="4" t="s">
        <v>49</v>
      </c>
    </row>
    <row r="38" spans="1:11" x14ac:dyDescent="0.3">
      <c r="A38" s="9">
        <v>1260</v>
      </c>
      <c r="B38" s="9" t="s">
        <v>52</v>
      </c>
      <c r="C38" s="4" t="s">
        <v>38</v>
      </c>
      <c r="D38" s="4" t="s">
        <v>34</v>
      </c>
      <c r="E38" s="4" t="s">
        <v>40</v>
      </c>
      <c r="F38" s="4">
        <v>19</v>
      </c>
      <c r="G38" s="4">
        <v>54981</v>
      </c>
      <c r="H38" s="4">
        <v>10</v>
      </c>
      <c r="I38" s="7">
        <v>46040</v>
      </c>
      <c r="J38" s="7">
        <v>46045</v>
      </c>
      <c r="K38" s="4" t="s">
        <v>49</v>
      </c>
    </row>
    <row r="39" spans="1:11" x14ac:dyDescent="0.3">
      <c r="A39" s="9">
        <v>1161</v>
      </c>
      <c r="B39" s="9" t="s">
        <v>29</v>
      </c>
      <c r="C39" s="4" t="s">
        <v>27</v>
      </c>
      <c r="D39" s="4" t="s">
        <v>34</v>
      </c>
      <c r="E39" s="4" t="s">
        <v>5</v>
      </c>
      <c r="F39" s="4">
        <v>4</v>
      </c>
      <c r="G39" s="4">
        <v>54659</v>
      </c>
      <c r="H39" s="4">
        <v>7</v>
      </c>
      <c r="I39" s="7">
        <v>46105</v>
      </c>
      <c r="J39" s="7">
        <v>46109</v>
      </c>
      <c r="K39" s="4" t="s">
        <v>79</v>
      </c>
    </row>
    <row r="40" spans="1:11" x14ac:dyDescent="0.3">
      <c r="A40" s="9">
        <v>1080</v>
      </c>
      <c r="B40" s="9" t="s">
        <v>25</v>
      </c>
      <c r="C40" s="4" t="s">
        <v>26</v>
      </c>
      <c r="D40" s="4" t="s">
        <v>34</v>
      </c>
      <c r="E40" s="4" t="s">
        <v>40</v>
      </c>
      <c r="F40" s="4">
        <v>12</v>
      </c>
      <c r="G40" s="4">
        <v>54161</v>
      </c>
      <c r="H40" s="4">
        <v>15</v>
      </c>
      <c r="I40" s="7">
        <v>46133</v>
      </c>
      <c r="J40" s="7">
        <v>46143</v>
      </c>
      <c r="K40" s="4" t="s">
        <v>80</v>
      </c>
    </row>
    <row r="41" spans="1:11" x14ac:dyDescent="0.3">
      <c r="A41" s="9">
        <v>1160</v>
      </c>
      <c r="B41" s="9" t="s">
        <v>56</v>
      </c>
      <c r="C41" s="4" t="s">
        <v>26</v>
      </c>
      <c r="D41" s="4" t="s">
        <v>34</v>
      </c>
      <c r="E41" s="4" t="s">
        <v>5</v>
      </c>
      <c r="F41" s="4">
        <v>7</v>
      </c>
      <c r="G41" s="4">
        <v>53986</v>
      </c>
      <c r="H41" s="4">
        <v>10</v>
      </c>
      <c r="I41" s="7">
        <v>46142</v>
      </c>
      <c r="J41" s="7">
        <v>46147</v>
      </c>
      <c r="K41" s="4" t="s">
        <v>81</v>
      </c>
    </row>
    <row r="42" spans="1:11" x14ac:dyDescent="0.3">
      <c r="A42" s="9">
        <v>1014</v>
      </c>
      <c r="B42" s="9" t="s">
        <v>39</v>
      </c>
      <c r="C42" s="4" t="s">
        <v>23</v>
      </c>
      <c r="D42" s="4" t="s">
        <v>34</v>
      </c>
      <c r="E42" s="4" t="s">
        <v>40</v>
      </c>
      <c r="F42" s="4">
        <v>19</v>
      </c>
      <c r="G42" s="4">
        <v>53683</v>
      </c>
      <c r="H42" s="4">
        <v>12</v>
      </c>
      <c r="I42" s="7">
        <v>46129</v>
      </c>
      <c r="J42" s="7">
        <v>46134</v>
      </c>
      <c r="K42" s="4" t="s">
        <v>49</v>
      </c>
    </row>
    <row r="43" spans="1:11" x14ac:dyDescent="0.3">
      <c r="A43" s="9">
        <v>1356</v>
      </c>
      <c r="B43" s="9" t="s">
        <v>28</v>
      </c>
      <c r="C43" s="4" t="s">
        <v>38</v>
      </c>
      <c r="D43" s="4" t="s">
        <v>34</v>
      </c>
      <c r="E43" s="4" t="s">
        <v>9</v>
      </c>
      <c r="F43" s="4">
        <v>16</v>
      </c>
      <c r="G43" s="4">
        <v>53457</v>
      </c>
      <c r="H43" s="4">
        <v>10</v>
      </c>
      <c r="I43" s="7">
        <v>46201</v>
      </c>
      <c r="J43" s="7">
        <v>46204</v>
      </c>
      <c r="K43" s="4" t="s">
        <v>78</v>
      </c>
    </row>
    <row r="44" spans="1:11" x14ac:dyDescent="0.3">
      <c r="A44" s="9">
        <v>1257</v>
      </c>
      <c r="B44" s="9" t="s">
        <v>52</v>
      </c>
      <c r="C44" s="4" t="s">
        <v>27</v>
      </c>
      <c r="D44" s="4" t="s">
        <v>34</v>
      </c>
      <c r="E44" s="4" t="s">
        <v>12</v>
      </c>
      <c r="F44" s="4">
        <v>7</v>
      </c>
      <c r="G44" s="4">
        <v>53243</v>
      </c>
      <c r="H44" s="4">
        <v>12</v>
      </c>
      <c r="I44" s="7">
        <v>46161</v>
      </c>
      <c r="J44" s="7">
        <v>46171</v>
      </c>
      <c r="K44" s="4" t="s">
        <v>78</v>
      </c>
    </row>
    <row r="45" spans="1:11" x14ac:dyDescent="0.3">
      <c r="A45" s="9">
        <v>1400</v>
      </c>
      <c r="B45" s="9" t="s">
        <v>39</v>
      </c>
      <c r="C45" s="4" t="s">
        <v>26</v>
      </c>
      <c r="D45" s="4" t="s">
        <v>34</v>
      </c>
      <c r="E45" s="4" t="s">
        <v>35</v>
      </c>
      <c r="F45" s="4">
        <v>13</v>
      </c>
      <c r="G45" s="4">
        <v>52411</v>
      </c>
      <c r="H45" s="4">
        <v>15</v>
      </c>
      <c r="I45" s="7">
        <v>46090</v>
      </c>
      <c r="J45" s="7">
        <v>46092</v>
      </c>
      <c r="K45" s="4" t="s">
        <v>79</v>
      </c>
    </row>
    <row r="46" spans="1:11" x14ac:dyDescent="0.3">
      <c r="A46" s="9">
        <v>1345</v>
      </c>
      <c r="B46" s="9" t="s">
        <v>32</v>
      </c>
      <c r="C46" s="4" t="s">
        <v>19</v>
      </c>
      <c r="D46" s="4" t="s">
        <v>34</v>
      </c>
      <c r="E46" s="4" t="s">
        <v>6</v>
      </c>
      <c r="F46" s="4">
        <v>12</v>
      </c>
      <c r="G46" s="4">
        <v>50544</v>
      </c>
      <c r="H46" s="4">
        <v>10</v>
      </c>
      <c r="I46" s="7">
        <v>46095</v>
      </c>
      <c r="J46" s="7">
        <v>46097</v>
      </c>
      <c r="K46" s="4" t="s">
        <v>49</v>
      </c>
    </row>
    <row r="47" spans="1:11" x14ac:dyDescent="0.3">
      <c r="A47" s="9">
        <v>1184</v>
      </c>
      <c r="B47" s="9" t="s">
        <v>39</v>
      </c>
      <c r="C47" s="4" t="s">
        <v>31</v>
      </c>
      <c r="D47" s="4" t="s">
        <v>34</v>
      </c>
      <c r="E47" s="4" t="s">
        <v>5</v>
      </c>
      <c r="F47" s="4">
        <v>12</v>
      </c>
      <c r="G47" s="4">
        <v>50517</v>
      </c>
      <c r="H47" s="4">
        <v>15</v>
      </c>
      <c r="I47" s="7">
        <v>46145</v>
      </c>
      <c r="J47" s="7">
        <v>46153</v>
      </c>
      <c r="K47" s="4" t="s">
        <v>49</v>
      </c>
    </row>
    <row r="48" spans="1:11" x14ac:dyDescent="0.3">
      <c r="A48" s="9">
        <v>1122</v>
      </c>
      <c r="B48" s="9" t="s">
        <v>39</v>
      </c>
      <c r="C48" s="4" t="s">
        <v>26</v>
      </c>
      <c r="D48" s="4" t="s">
        <v>34</v>
      </c>
      <c r="E48" s="4" t="s">
        <v>5</v>
      </c>
      <c r="F48" s="4">
        <v>14</v>
      </c>
      <c r="G48" s="4">
        <v>49990</v>
      </c>
      <c r="H48" s="4">
        <v>10</v>
      </c>
      <c r="I48" s="7">
        <v>46132</v>
      </c>
      <c r="J48" s="7">
        <v>46135</v>
      </c>
      <c r="K48" s="4" t="s">
        <v>49</v>
      </c>
    </row>
    <row r="49" spans="1:11" x14ac:dyDescent="0.3">
      <c r="A49" s="9">
        <v>1111</v>
      </c>
      <c r="B49" s="9" t="s">
        <v>45</v>
      </c>
      <c r="C49" s="4" t="s">
        <v>23</v>
      </c>
      <c r="D49" s="4" t="s">
        <v>34</v>
      </c>
      <c r="E49" s="4" t="s">
        <v>35</v>
      </c>
      <c r="F49" s="4">
        <v>5</v>
      </c>
      <c r="G49" s="4">
        <v>49945</v>
      </c>
      <c r="H49" s="4">
        <v>12</v>
      </c>
      <c r="I49" s="7">
        <v>46133</v>
      </c>
      <c r="J49" s="7">
        <v>46141</v>
      </c>
      <c r="K49" s="4" t="s">
        <v>49</v>
      </c>
    </row>
    <row r="50" spans="1:11" x14ac:dyDescent="0.3">
      <c r="A50" s="9">
        <v>1279</v>
      </c>
      <c r="B50" s="9" t="s">
        <v>53</v>
      </c>
      <c r="C50" s="4" t="s">
        <v>33</v>
      </c>
      <c r="D50" s="4" t="s">
        <v>34</v>
      </c>
      <c r="E50" s="4" t="s">
        <v>6</v>
      </c>
      <c r="F50" s="4">
        <v>20</v>
      </c>
      <c r="G50" s="4">
        <v>49042</v>
      </c>
      <c r="H50" s="4">
        <v>2</v>
      </c>
      <c r="I50" s="7">
        <v>46124</v>
      </c>
      <c r="J50" s="7">
        <v>46126</v>
      </c>
      <c r="K50" s="4" t="s">
        <v>78</v>
      </c>
    </row>
    <row r="51" spans="1:11" x14ac:dyDescent="0.3">
      <c r="A51" s="9">
        <v>1079</v>
      </c>
      <c r="B51" s="9" t="s">
        <v>28</v>
      </c>
      <c r="C51" s="4" t="s">
        <v>38</v>
      </c>
      <c r="D51" s="4" t="s">
        <v>34</v>
      </c>
      <c r="E51" s="4" t="s">
        <v>40</v>
      </c>
      <c r="F51" s="4">
        <v>19</v>
      </c>
      <c r="G51" s="4">
        <v>48956</v>
      </c>
      <c r="H51" s="4">
        <v>12</v>
      </c>
      <c r="I51" s="7">
        <v>46170</v>
      </c>
      <c r="J51" s="7">
        <v>46177</v>
      </c>
      <c r="K51" s="4" t="s">
        <v>81</v>
      </c>
    </row>
    <row r="52" spans="1:11" x14ac:dyDescent="0.3">
      <c r="A52" s="9">
        <v>1251</v>
      </c>
      <c r="B52" s="9" t="s">
        <v>53</v>
      </c>
      <c r="C52" s="4" t="s">
        <v>38</v>
      </c>
      <c r="D52" s="4" t="s">
        <v>34</v>
      </c>
      <c r="E52" s="4" t="s">
        <v>12</v>
      </c>
      <c r="F52" s="4">
        <v>19</v>
      </c>
      <c r="G52" s="4">
        <v>48548</v>
      </c>
      <c r="H52" s="4">
        <v>0</v>
      </c>
      <c r="I52" s="7">
        <v>46112</v>
      </c>
      <c r="J52" s="7">
        <v>46121</v>
      </c>
      <c r="K52" s="4" t="s">
        <v>81</v>
      </c>
    </row>
    <row r="53" spans="1:11" x14ac:dyDescent="0.3">
      <c r="A53" s="9">
        <v>1373</v>
      </c>
      <c r="B53" s="9" t="s">
        <v>52</v>
      </c>
      <c r="C53" s="4" t="s">
        <v>27</v>
      </c>
      <c r="D53" s="4" t="s">
        <v>34</v>
      </c>
      <c r="E53" s="4" t="s">
        <v>9</v>
      </c>
      <c r="F53" s="4">
        <v>11</v>
      </c>
      <c r="G53" s="4">
        <v>47930</v>
      </c>
      <c r="H53" s="4">
        <v>12</v>
      </c>
      <c r="I53" s="7">
        <v>46191</v>
      </c>
      <c r="J53" s="7">
        <v>46201</v>
      </c>
      <c r="K53" s="4" t="s">
        <v>79</v>
      </c>
    </row>
    <row r="54" spans="1:11" x14ac:dyDescent="0.3">
      <c r="A54" s="9">
        <v>1342</v>
      </c>
      <c r="B54" s="9" t="s">
        <v>56</v>
      </c>
      <c r="C54" s="4" t="s">
        <v>31</v>
      </c>
      <c r="D54" s="4" t="s">
        <v>34</v>
      </c>
      <c r="E54" s="4" t="s">
        <v>35</v>
      </c>
      <c r="F54" s="4">
        <v>13</v>
      </c>
      <c r="G54" s="4">
        <v>47881</v>
      </c>
      <c r="H54" s="4">
        <v>15</v>
      </c>
      <c r="I54" s="7">
        <v>46132</v>
      </c>
      <c r="J54" s="7">
        <v>46139</v>
      </c>
      <c r="K54" s="4" t="s">
        <v>49</v>
      </c>
    </row>
    <row r="55" spans="1:11" x14ac:dyDescent="0.3">
      <c r="A55" s="9">
        <v>1253</v>
      </c>
      <c r="B55" s="9" t="s">
        <v>25</v>
      </c>
      <c r="C55" s="4" t="s">
        <v>31</v>
      </c>
      <c r="D55" s="4" t="s">
        <v>34</v>
      </c>
      <c r="E55" s="4" t="s">
        <v>6</v>
      </c>
      <c r="F55" s="4">
        <v>20</v>
      </c>
      <c r="G55" s="4">
        <v>47880</v>
      </c>
      <c r="H55" s="4">
        <v>7</v>
      </c>
      <c r="I55" s="7">
        <v>46074</v>
      </c>
      <c r="J55" s="7">
        <v>46075</v>
      </c>
      <c r="K55" s="4" t="s">
        <v>49</v>
      </c>
    </row>
    <row r="56" spans="1:11" x14ac:dyDescent="0.3">
      <c r="A56" s="9">
        <v>1176</v>
      </c>
      <c r="B56" s="9" t="s">
        <v>55</v>
      </c>
      <c r="C56" s="4" t="s">
        <v>38</v>
      </c>
      <c r="D56" s="4" t="s">
        <v>34</v>
      </c>
      <c r="E56" s="4" t="s">
        <v>40</v>
      </c>
      <c r="F56" s="4">
        <v>17</v>
      </c>
      <c r="G56" s="4">
        <v>46937</v>
      </c>
      <c r="H56" s="4">
        <v>12</v>
      </c>
      <c r="I56" s="7">
        <v>46048</v>
      </c>
      <c r="J56" s="7">
        <v>46056</v>
      </c>
      <c r="K56" s="4" t="s">
        <v>49</v>
      </c>
    </row>
    <row r="57" spans="1:11" x14ac:dyDescent="0.3">
      <c r="A57" s="9">
        <v>1268</v>
      </c>
      <c r="B57" s="9" t="s">
        <v>41</v>
      </c>
      <c r="C57" s="4" t="s">
        <v>38</v>
      </c>
      <c r="D57" s="4" t="s">
        <v>34</v>
      </c>
      <c r="E57" s="4" t="s">
        <v>6</v>
      </c>
      <c r="F57" s="4">
        <v>10</v>
      </c>
      <c r="G57" s="4">
        <v>46291</v>
      </c>
      <c r="H57" s="4">
        <v>12</v>
      </c>
      <c r="I57" s="7">
        <v>46199</v>
      </c>
      <c r="J57" s="7">
        <v>46202</v>
      </c>
      <c r="K57" s="4" t="s">
        <v>79</v>
      </c>
    </row>
    <row r="58" spans="1:11" x14ac:dyDescent="0.3">
      <c r="A58" s="9">
        <v>1043</v>
      </c>
      <c r="B58" s="9" t="s">
        <v>47</v>
      </c>
      <c r="C58" s="4" t="s">
        <v>38</v>
      </c>
      <c r="D58" s="4" t="s">
        <v>34</v>
      </c>
      <c r="E58" s="4" t="s">
        <v>35</v>
      </c>
      <c r="F58" s="4">
        <v>20</v>
      </c>
      <c r="G58" s="4">
        <v>46093</v>
      </c>
      <c r="H58" s="4">
        <v>5</v>
      </c>
      <c r="I58" s="7">
        <v>46091</v>
      </c>
      <c r="J58" s="7">
        <v>46098</v>
      </c>
      <c r="K58" s="4" t="s">
        <v>49</v>
      </c>
    </row>
    <row r="59" spans="1:11" x14ac:dyDescent="0.3">
      <c r="A59" s="9">
        <v>1019</v>
      </c>
      <c r="B59" s="9" t="s">
        <v>18</v>
      </c>
      <c r="C59" s="4" t="s">
        <v>42</v>
      </c>
      <c r="D59" s="4" t="s">
        <v>34</v>
      </c>
      <c r="E59" s="4" t="s">
        <v>40</v>
      </c>
      <c r="F59" s="4">
        <v>18</v>
      </c>
      <c r="G59" s="4">
        <v>45652</v>
      </c>
      <c r="H59" s="4">
        <v>10</v>
      </c>
      <c r="I59" s="7">
        <v>46023</v>
      </c>
      <c r="J59" s="7">
        <v>46030</v>
      </c>
      <c r="K59" s="4" t="s">
        <v>79</v>
      </c>
    </row>
    <row r="60" spans="1:11" x14ac:dyDescent="0.3">
      <c r="A60" s="9">
        <v>1363</v>
      </c>
      <c r="B60" s="9" t="s">
        <v>29</v>
      </c>
      <c r="C60" s="4" t="s">
        <v>27</v>
      </c>
      <c r="D60" s="4" t="s">
        <v>34</v>
      </c>
      <c r="E60" s="4" t="s">
        <v>35</v>
      </c>
      <c r="F60" s="4">
        <v>7</v>
      </c>
      <c r="G60" s="4">
        <v>45381</v>
      </c>
      <c r="H60" s="4">
        <v>0</v>
      </c>
      <c r="I60" s="7">
        <v>46122</v>
      </c>
      <c r="J60" s="7">
        <v>46128</v>
      </c>
      <c r="K60" s="4" t="s">
        <v>78</v>
      </c>
    </row>
    <row r="61" spans="1:11" x14ac:dyDescent="0.3">
      <c r="A61" s="9">
        <v>1197</v>
      </c>
      <c r="B61" s="9" t="s">
        <v>50</v>
      </c>
      <c r="C61" s="4" t="s">
        <v>31</v>
      </c>
      <c r="D61" s="4" t="s">
        <v>34</v>
      </c>
      <c r="E61" s="4" t="s">
        <v>35</v>
      </c>
      <c r="F61" s="4">
        <v>5</v>
      </c>
      <c r="G61" s="4">
        <v>45352</v>
      </c>
      <c r="H61" s="4">
        <v>12</v>
      </c>
      <c r="I61" s="7">
        <v>46045</v>
      </c>
      <c r="J61" s="7">
        <v>46048</v>
      </c>
      <c r="K61" s="4" t="s">
        <v>78</v>
      </c>
    </row>
    <row r="62" spans="1:11" x14ac:dyDescent="0.3">
      <c r="A62" s="9">
        <v>1085</v>
      </c>
      <c r="B62" s="9" t="s">
        <v>32</v>
      </c>
      <c r="C62" s="4" t="s">
        <v>38</v>
      </c>
      <c r="D62" s="4" t="s">
        <v>34</v>
      </c>
      <c r="E62" s="4" t="s">
        <v>9</v>
      </c>
      <c r="F62" s="4">
        <v>19</v>
      </c>
      <c r="G62" s="4">
        <v>45307</v>
      </c>
      <c r="H62" s="4">
        <v>12</v>
      </c>
      <c r="I62" s="7">
        <v>46146</v>
      </c>
      <c r="J62" s="7">
        <v>46150</v>
      </c>
      <c r="K62" s="4" t="s">
        <v>80</v>
      </c>
    </row>
    <row r="63" spans="1:11" x14ac:dyDescent="0.3">
      <c r="A63" s="9">
        <v>1366</v>
      </c>
      <c r="B63" s="9" t="s">
        <v>28</v>
      </c>
      <c r="C63" s="4" t="s">
        <v>23</v>
      </c>
      <c r="D63" s="4" t="s">
        <v>34</v>
      </c>
      <c r="E63" s="4" t="s">
        <v>12</v>
      </c>
      <c r="F63" s="4">
        <v>20</v>
      </c>
      <c r="G63" s="4">
        <v>44312</v>
      </c>
      <c r="H63" s="4">
        <v>10</v>
      </c>
      <c r="I63" s="7">
        <v>46047</v>
      </c>
      <c r="J63" s="7">
        <v>46054</v>
      </c>
      <c r="K63" s="4" t="s">
        <v>49</v>
      </c>
    </row>
    <row r="64" spans="1:11" x14ac:dyDescent="0.3">
      <c r="A64" s="9">
        <v>1331</v>
      </c>
      <c r="B64" s="9" t="s">
        <v>25</v>
      </c>
      <c r="C64" s="4" t="s">
        <v>27</v>
      </c>
      <c r="D64" s="4" t="s">
        <v>34</v>
      </c>
      <c r="E64" s="4" t="s">
        <v>12</v>
      </c>
      <c r="F64" s="4">
        <v>2</v>
      </c>
      <c r="G64" s="4">
        <v>43557</v>
      </c>
      <c r="H64" s="4">
        <v>2</v>
      </c>
      <c r="I64" s="7">
        <v>46190</v>
      </c>
      <c r="J64" s="7">
        <v>46200</v>
      </c>
      <c r="K64" s="4" t="s">
        <v>78</v>
      </c>
    </row>
    <row r="65" spans="1:11" x14ac:dyDescent="0.3">
      <c r="A65" s="9">
        <v>1172</v>
      </c>
      <c r="B65" s="9" t="s">
        <v>22</v>
      </c>
      <c r="C65" s="4" t="s">
        <v>19</v>
      </c>
      <c r="D65" s="4" t="s">
        <v>34</v>
      </c>
      <c r="E65" s="4" t="s">
        <v>6</v>
      </c>
      <c r="F65" s="4">
        <v>13</v>
      </c>
      <c r="G65" s="4">
        <v>43163</v>
      </c>
      <c r="H65" s="4">
        <v>12</v>
      </c>
      <c r="I65" s="7">
        <v>46120</v>
      </c>
      <c r="J65" s="7">
        <v>46129</v>
      </c>
      <c r="K65" s="4" t="s">
        <v>80</v>
      </c>
    </row>
    <row r="66" spans="1:11" x14ac:dyDescent="0.3">
      <c r="A66" s="9">
        <v>1272</v>
      </c>
      <c r="B66" s="9" t="s">
        <v>50</v>
      </c>
      <c r="C66" s="4" t="s">
        <v>38</v>
      </c>
      <c r="D66" s="4" t="s">
        <v>34</v>
      </c>
      <c r="E66" s="4" t="s">
        <v>40</v>
      </c>
      <c r="F66" s="4">
        <v>13</v>
      </c>
      <c r="G66" s="4">
        <v>42179</v>
      </c>
      <c r="H66" s="4">
        <v>0</v>
      </c>
      <c r="I66" s="7">
        <v>46078</v>
      </c>
      <c r="J66" s="7">
        <v>46084</v>
      </c>
      <c r="K66" s="4" t="s">
        <v>79</v>
      </c>
    </row>
    <row r="67" spans="1:11" x14ac:dyDescent="0.3">
      <c r="A67" s="9">
        <v>1088</v>
      </c>
      <c r="B67" s="9" t="s">
        <v>39</v>
      </c>
      <c r="C67" s="4" t="s">
        <v>33</v>
      </c>
      <c r="D67" s="4" t="s">
        <v>34</v>
      </c>
      <c r="E67" s="4" t="s">
        <v>40</v>
      </c>
      <c r="F67" s="4">
        <v>20</v>
      </c>
      <c r="G67" s="4">
        <v>41165</v>
      </c>
      <c r="H67" s="4">
        <v>0</v>
      </c>
      <c r="I67" s="7">
        <v>46068</v>
      </c>
      <c r="J67" s="7">
        <v>46069</v>
      </c>
      <c r="K67" s="4" t="s">
        <v>79</v>
      </c>
    </row>
    <row r="68" spans="1:11" x14ac:dyDescent="0.3">
      <c r="A68" s="9">
        <v>1049</v>
      </c>
      <c r="B68" s="9" t="s">
        <v>50</v>
      </c>
      <c r="C68" s="4" t="s">
        <v>27</v>
      </c>
      <c r="D68" s="4" t="s">
        <v>34</v>
      </c>
      <c r="E68" s="4" t="s">
        <v>6</v>
      </c>
      <c r="F68" s="4">
        <v>2</v>
      </c>
      <c r="G68" s="4">
        <v>40789</v>
      </c>
      <c r="H68" s="4">
        <v>0</v>
      </c>
      <c r="I68" s="7">
        <v>46102</v>
      </c>
      <c r="J68" s="7">
        <v>46108</v>
      </c>
      <c r="K68" s="4" t="s">
        <v>80</v>
      </c>
    </row>
    <row r="69" spans="1:11" x14ac:dyDescent="0.3">
      <c r="A69" s="9">
        <v>1009</v>
      </c>
      <c r="B69" s="9" t="s">
        <v>32</v>
      </c>
      <c r="C69" s="4" t="s">
        <v>33</v>
      </c>
      <c r="D69" s="4" t="s">
        <v>34</v>
      </c>
      <c r="E69" s="4" t="s">
        <v>35</v>
      </c>
      <c r="F69" s="4">
        <v>10</v>
      </c>
      <c r="G69" s="4">
        <v>40671</v>
      </c>
      <c r="H69" s="4">
        <v>12</v>
      </c>
      <c r="I69" s="7">
        <v>46183</v>
      </c>
      <c r="J69" s="7">
        <v>46193</v>
      </c>
      <c r="K69" s="4" t="s">
        <v>80</v>
      </c>
    </row>
    <row r="70" spans="1:11" x14ac:dyDescent="0.3">
      <c r="A70" s="9">
        <v>1334</v>
      </c>
      <c r="B70" s="9" t="s">
        <v>39</v>
      </c>
      <c r="C70" s="4" t="s">
        <v>19</v>
      </c>
      <c r="D70" s="4" t="s">
        <v>34</v>
      </c>
      <c r="E70" s="4" t="s">
        <v>40</v>
      </c>
      <c r="F70" s="4">
        <v>15</v>
      </c>
      <c r="G70" s="4">
        <v>39853</v>
      </c>
      <c r="H70" s="4">
        <v>7</v>
      </c>
      <c r="I70" s="7">
        <v>46038</v>
      </c>
      <c r="J70" s="7">
        <v>46047</v>
      </c>
      <c r="K70" s="4" t="s">
        <v>81</v>
      </c>
    </row>
    <row r="71" spans="1:11" x14ac:dyDescent="0.3">
      <c r="A71" s="9">
        <v>1259</v>
      </c>
      <c r="B71" s="9" t="s">
        <v>41</v>
      </c>
      <c r="C71" s="4" t="s">
        <v>26</v>
      </c>
      <c r="D71" s="4" t="s">
        <v>34</v>
      </c>
      <c r="E71" s="4" t="s">
        <v>6</v>
      </c>
      <c r="F71" s="4">
        <v>10</v>
      </c>
      <c r="G71" s="4">
        <v>38771</v>
      </c>
      <c r="H71" s="4">
        <v>15</v>
      </c>
      <c r="I71" s="7">
        <v>46172</v>
      </c>
      <c r="J71" s="7">
        <v>46182</v>
      </c>
      <c r="K71" s="4" t="s">
        <v>78</v>
      </c>
    </row>
    <row r="72" spans="1:11" x14ac:dyDescent="0.3">
      <c r="A72" s="9">
        <v>1359</v>
      </c>
      <c r="B72" s="9" t="s">
        <v>52</v>
      </c>
      <c r="C72" s="4" t="s">
        <v>19</v>
      </c>
      <c r="D72" s="4" t="s">
        <v>34</v>
      </c>
      <c r="E72" s="4" t="s">
        <v>12</v>
      </c>
      <c r="F72" s="4">
        <v>9</v>
      </c>
      <c r="G72" s="4">
        <v>38179</v>
      </c>
      <c r="H72" s="4">
        <v>0</v>
      </c>
      <c r="I72" s="7">
        <v>46096</v>
      </c>
      <c r="J72" s="7">
        <v>46099</v>
      </c>
      <c r="K72" s="4" t="s">
        <v>78</v>
      </c>
    </row>
    <row r="73" spans="1:11" x14ac:dyDescent="0.3">
      <c r="A73" s="9">
        <v>1384</v>
      </c>
      <c r="B73" s="9" t="s">
        <v>56</v>
      </c>
      <c r="C73" s="4" t="s">
        <v>19</v>
      </c>
      <c r="D73" s="4" t="s">
        <v>34</v>
      </c>
      <c r="E73" s="4" t="s">
        <v>5</v>
      </c>
      <c r="F73" s="4">
        <v>15</v>
      </c>
      <c r="G73" s="4">
        <v>38116</v>
      </c>
      <c r="H73" s="4">
        <v>0</v>
      </c>
      <c r="I73" s="7">
        <v>46074</v>
      </c>
      <c r="J73" s="7">
        <v>46078</v>
      </c>
      <c r="K73" s="4" t="s">
        <v>49</v>
      </c>
    </row>
    <row r="74" spans="1:11" x14ac:dyDescent="0.3">
      <c r="A74" s="9">
        <v>1101</v>
      </c>
      <c r="B74" s="9" t="s">
        <v>29</v>
      </c>
      <c r="C74" s="4" t="s">
        <v>26</v>
      </c>
      <c r="D74" s="4" t="s">
        <v>34</v>
      </c>
      <c r="E74" s="4" t="s">
        <v>12</v>
      </c>
      <c r="F74" s="4">
        <v>9</v>
      </c>
      <c r="G74" s="4">
        <v>37361</v>
      </c>
      <c r="H74" s="4">
        <v>10</v>
      </c>
      <c r="I74" s="7">
        <v>46141</v>
      </c>
      <c r="J74" s="7">
        <v>46142</v>
      </c>
      <c r="K74" s="4" t="s">
        <v>80</v>
      </c>
    </row>
    <row r="75" spans="1:11" x14ac:dyDescent="0.3">
      <c r="A75" s="9">
        <v>1271</v>
      </c>
      <c r="B75" s="9" t="s">
        <v>39</v>
      </c>
      <c r="C75" s="4" t="s">
        <v>33</v>
      </c>
      <c r="D75" s="4" t="s">
        <v>34</v>
      </c>
      <c r="E75" s="4" t="s">
        <v>9</v>
      </c>
      <c r="F75" s="4">
        <v>20</v>
      </c>
      <c r="G75" s="4">
        <v>36941</v>
      </c>
      <c r="H75" s="4">
        <v>15</v>
      </c>
      <c r="I75" s="7">
        <v>46083</v>
      </c>
      <c r="J75" s="7">
        <v>46085</v>
      </c>
      <c r="K75" s="4" t="s">
        <v>49</v>
      </c>
    </row>
    <row r="76" spans="1:11" x14ac:dyDescent="0.3">
      <c r="A76" s="9">
        <v>1274</v>
      </c>
      <c r="B76" s="9" t="s">
        <v>28</v>
      </c>
      <c r="C76" s="4" t="s">
        <v>27</v>
      </c>
      <c r="D76" s="4" t="s">
        <v>34</v>
      </c>
      <c r="E76" s="4" t="s">
        <v>40</v>
      </c>
      <c r="F76" s="4">
        <v>13</v>
      </c>
      <c r="G76" s="4">
        <v>36652</v>
      </c>
      <c r="H76" s="4">
        <v>12</v>
      </c>
      <c r="I76" s="7">
        <v>46179</v>
      </c>
      <c r="J76" s="7">
        <v>46186</v>
      </c>
      <c r="K76" s="4" t="s">
        <v>79</v>
      </c>
    </row>
    <row r="77" spans="1:11" x14ac:dyDescent="0.3">
      <c r="A77" s="9">
        <v>1382</v>
      </c>
      <c r="B77" s="9" t="s">
        <v>47</v>
      </c>
      <c r="C77" s="4" t="s">
        <v>33</v>
      </c>
      <c r="D77" s="4" t="s">
        <v>34</v>
      </c>
      <c r="E77" s="4" t="s">
        <v>9</v>
      </c>
      <c r="F77" s="4">
        <v>11</v>
      </c>
      <c r="G77" s="4">
        <v>36198</v>
      </c>
      <c r="H77" s="4">
        <v>0</v>
      </c>
      <c r="I77" s="7">
        <v>46130</v>
      </c>
      <c r="J77" s="7">
        <v>46134</v>
      </c>
      <c r="K77" s="4" t="s">
        <v>78</v>
      </c>
    </row>
    <row r="78" spans="1:11" x14ac:dyDescent="0.3">
      <c r="A78" s="9">
        <v>1355</v>
      </c>
      <c r="B78" s="9" t="s">
        <v>29</v>
      </c>
      <c r="C78" s="4" t="s">
        <v>19</v>
      </c>
      <c r="D78" s="4" t="s">
        <v>34</v>
      </c>
      <c r="E78" s="4" t="s">
        <v>9</v>
      </c>
      <c r="F78" s="4">
        <v>18</v>
      </c>
      <c r="G78" s="4">
        <v>35997</v>
      </c>
      <c r="H78" s="4">
        <v>2</v>
      </c>
      <c r="I78" s="7">
        <v>46024</v>
      </c>
      <c r="J78" s="7">
        <v>46031</v>
      </c>
      <c r="K78" s="4" t="s">
        <v>81</v>
      </c>
    </row>
    <row r="79" spans="1:11" x14ac:dyDescent="0.3">
      <c r="A79" s="9">
        <v>1288</v>
      </c>
      <c r="B79" s="9" t="s">
        <v>52</v>
      </c>
      <c r="C79" s="4" t="s">
        <v>26</v>
      </c>
      <c r="D79" s="4" t="s">
        <v>34</v>
      </c>
      <c r="E79" s="4" t="s">
        <v>9</v>
      </c>
      <c r="F79" s="4">
        <v>14</v>
      </c>
      <c r="G79" s="4">
        <v>35601</v>
      </c>
      <c r="H79" s="4">
        <v>10</v>
      </c>
      <c r="I79" s="7">
        <v>46179</v>
      </c>
      <c r="J79" s="7">
        <v>46187</v>
      </c>
      <c r="K79" s="4" t="s">
        <v>49</v>
      </c>
    </row>
    <row r="80" spans="1:11" x14ac:dyDescent="0.3">
      <c r="A80" s="9">
        <v>1145</v>
      </c>
      <c r="B80" s="9" t="s">
        <v>41</v>
      </c>
      <c r="C80" s="4" t="s">
        <v>33</v>
      </c>
      <c r="D80" s="4" t="s">
        <v>34</v>
      </c>
      <c r="E80" s="4" t="s">
        <v>5</v>
      </c>
      <c r="F80" s="4">
        <v>2</v>
      </c>
      <c r="G80" s="4">
        <v>34429</v>
      </c>
      <c r="H80" s="4">
        <v>12</v>
      </c>
      <c r="I80" s="7">
        <v>46102</v>
      </c>
      <c r="J80" s="7">
        <v>46112</v>
      </c>
      <c r="K80" s="4" t="s">
        <v>80</v>
      </c>
    </row>
    <row r="81" spans="1:11" x14ac:dyDescent="0.3">
      <c r="A81" s="9">
        <v>1212</v>
      </c>
      <c r="B81" s="9" t="s">
        <v>56</v>
      </c>
      <c r="C81" s="4" t="s">
        <v>27</v>
      </c>
      <c r="D81" s="4" t="s">
        <v>34</v>
      </c>
      <c r="E81" s="4" t="s">
        <v>9</v>
      </c>
      <c r="F81" s="4">
        <v>10</v>
      </c>
      <c r="G81" s="4">
        <v>34380</v>
      </c>
      <c r="H81" s="4">
        <v>7</v>
      </c>
      <c r="I81" s="7">
        <v>46194</v>
      </c>
      <c r="J81" s="7">
        <v>46195</v>
      </c>
      <c r="K81" s="4" t="s">
        <v>49</v>
      </c>
    </row>
    <row r="82" spans="1:11" x14ac:dyDescent="0.3">
      <c r="A82" s="9">
        <v>1117</v>
      </c>
      <c r="B82" s="9" t="s">
        <v>53</v>
      </c>
      <c r="C82" s="4" t="s">
        <v>42</v>
      </c>
      <c r="D82" s="4" t="s">
        <v>34</v>
      </c>
      <c r="E82" s="4" t="s">
        <v>5</v>
      </c>
      <c r="F82" s="4">
        <v>16</v>
      </c>
      <c r="G82" s="4">
        <v>33162</v>
      </c>
      <c r="H82" s="4">
        <v>7</v>
      </c>
      <c r="I82" s="7">
        <v>46147</v>
      </c>
      <c r="J82" s="7">
        <v>46155</v>
      </c>
      <c r="K82" s="4" t="s">
        <v>49</v>
      </c>
    </row>
    <row r="83" spans="1:11" x14ac:dyDescent="0.3">
      <c r="A83" s="9">
        <v>1343</v>
      </c>
      <c r="B83" s="9" t="s">
        <v>56</v>
      </c>
      <c r="C83" s="4" t="s">
        <v>31</v>
      </c>
      <c r="D83" s="4" t="s">
        <v>34</v>
      </c>
      <c r="E83" s="4" t="s">
        <v>5</v>
      </c>
      <c r="F83" s="4">
        <v>14</v>
      </c>
      <c r="G83" s="4">
        <v>32719</v>
      </c>
      <c r="H83" s="4">
        <v>15</v>
      </c>
      <c r="I83" s="7">
        <v>46174</v>
      </c>
      <c r="J83" s="7">
        <v>46179</v>
      </c>
      <c r="K83" s="4" t="s">
        <v>78</v>
      </c>
    </row>
    <row r="84" spans="1:11" x14ac:dyDescent="0.3">
      <c r="A84" s="9">
        <v>1225</v>
      </c>
      <c r="B84" s="9" t="s">
        <v>41</v>
      </c>
      <c r="C84" s="4" t="s">
        <v>31</v>
      </c>
      <c r="D84" s="4" t="s">
        <v>34</v>
      </c>
      <c r="E84" s="4" t="s">
        <v>35</v>
      </c>
      <c r="F84" s="4">
        <v>16</v>
      </c>
      <c r="G84" s="4">
        <v>32262</v>
      </c>
      <c r="H84" s="4">
        <v>12</v>
      </c>
      <c r="I84" s="7">
        <v>46125</v>
      </c>
      <c r="J84" s="7">
        <v>46126</v>
      </c>
      <c r="K84" s="4" t="s">
        <v>79</v>
      </c>
    </row>
    <row r="85" spans="1:11" x14ac:dyDescent="0.3">
      <c r="A85" s="9">
        <v>1071</v>
      </c>
      <c r="B85" s="9" t="s">
        <v>56</v>
      </c>
      <c r="C85" s="4" t="s">
        <v>26</v>
      </c>
      <c r="D85" s="4" t="s">
        <v>34</v>
      </c>
      <c r="E85" s="4" t="s">
        <v>12</v>
      </c>
      <c r="F85" s="4">
        <v>18</v>
      </c>
      <c r="G85" s="4">
        <v>32197</v>
      </c>
      <c r="H85" s="4">
        <v>5</v>
      </c>
      <c r="I85" s="7">
        <v>46129</v>
      </c>
      <c r="J85" s="7">
        <v>46137</v>
      </c>
      <c r="K85" s="4" t="s">
        <v>79</v>
      </c>
    </row>
    <row r="86" spans="1:11" x14ac:dyDescent="0.3">
      <c r="A86" s="9">
        <v>1323</v>
      </c>
      <c r="B86" s="9" t="s">
        <v>54</v>
      </c>
      <c r="C86" s="4" t="s">
        <v>38</v>
      </c>
      <c r="D86" s="4" t="s">
        <v>34</v>
      </c>
      <c r="E86" s="4" t="s">
        <v>12</v>
      </c>
      <c r="F86" s="4">
        <v>2</v>
      </c>
      <c r="G86" s="4">
        <v>32074</v>
      </c>
      <c r="H86" s="4">
        <v>10</v>
      </c>
      <c r="I86" s="7">
        <v>46073</v>
      </c>
      <c r="J86" s="7">
        <v>46078</v>
      </c>
      <c r="K86" s="4" t="s">
        <v>78</v>
      </c>
    </row>
    <row r="87" spans="1:11" x14ac:dyDescent="0.3">
      <c r="A87" s="9">
        <v>1305</v>
      </c>
      <c r="B87" s="9" t="s">
        <v>55</v>
      </c>
      <c r="C87" s="4" t="s">
        <v>31</v>
      </c>
      <c r="D87" s="4" t="s">
        <v>34</v>
      </c>
      <c r="E87" s="4" t="s">
        <v>9</v>
      </c>
      <c r="F87" s="4">
        <v>20</v>
      </c>
      <c r="G87" s="4">
        <v>31406</v>
      </c>
      <c r="H87" s="4">
        <v>15</v>
      </c>
      <c r="I87" s="7">
        <v>46146</v>
      </c>
      <c r="J87" s="7">
        <v>46154</v>
      </c>
      <c r="K87" s="4" t="s">
        <v>81</v>
      </c>
    </row>
    <row r="88" spans="1:11" x14ac:dyDescent="0.3">
      <c r="A88" s="9">
        <v>1393</v>
      </c>
      <c r="B88" s="9" t="s">
        <v>30</v>
      </c>
      <c r="C88" s="4" t="s">
        <v>27</v>
      </c>
      <c r="D88" s="4" t="s">
        <v>34</v>
      </c>
      <c r="E88" s="4" t="s">
        <v>6</v>
      </c>
      <c r="F88" s="4">
        <v>17</v>
      </c>
      <c r="G88" s="4">
        <v>30351</v>
      </c>
      <c r="H88" s="4">
        <v>15</v>
      </c>
      <c r="I88" s="7">
        <v>46047</v>
      </c>
      <c r="J88" s="7">
        <v>46051</v>
      </c>
      <c r="K88" s="4" t="s">
        <v>81</v>
      </c>
    </row>
    <row r="89" spans="1:11" x14ac:dyDescent="0.3">
      <c r="A89" s="9">
        <v>1016</v>
      </c>
      <c r="B89" s="9" t="s">
        <v>32</v>
      </c>
      <c r="C89" s="4" t="s">
        <v>33</v>
      </c>
      <c r="D89" s="4" t="s">
        <v>34</v>
      </c>
      <c r="E89" s="4" t="s">
        <v>6</v>
      </c>
      <c r="F89" s="4">
        <v>16</v>
      </c>
      <c r="G89" s="4">
        <v>30234</v>
      </c>
      <c r="H89" s="4">
        <v>15</v>
      </c>
      <c r="I89" s="7">
        <v>46137</v>
      </c>
      <c r="J89" s="7">
        <v>46140</v>
      </c>
      <c r="K89" s="4" t="s">
        <v>80</v>
      </c>
    </row>
    <row r="90" spans="1:11" x14ac:dyDescent="0.3">
      <c r="A90" s="9">
        <v>1134</v>
      </c>
      <c r="B90" s="9" t="s">
        <v>54</v>
      </c>
      <c r="C90" s="4" t="s">
        <v>31</v>
      </c>
      <c r="D90" s="4" t="s">
        <v>34</v>
      </c>
      <c r="E90" s="4" t="s">
        <v>12</v>
      </c>
      <c r="F90" s="4">
        <v>10</v>
      </c>
      <c r="G90" s="4">
        <v>29217</v>
      </c>
      <c r="H90" s="4">
        <v>15</v>
      </c>
      <c r="I90" s="7">
        <v>46148</v>
      </c>
      <c r="J90" s="7">
        <v>46150</v>
      </c>
      <c r="K90" s="4" t="s">
        <v>80</v>
      </c>
    </row>
    <row r="91" spans="1:11" x14ac:dyDescent="0.3">
      <c r="A91" s="9">
        <v>1097</v>
      </c>
      <c r="B91" s="9" t="s">
        <v>50</v>
      </c>
      <c r="C91" s="4" t="s">
        <v>26</v>
      </c>
      <c r="D91" s="4" t="s">
        <v>34</v>
      </c>
      <c r="E91" s="4" t="s">
        <v>12</v>
      </c>
      <c r="F91" s="4">
        <v>10</v>
      </c>
      <c r="G91" s="4">
        <v>28980</v>
      </c>
      <c r="H91" s="4">
        <v>10</v>
      </c>
      <c r="I91" s="7">
        <v>46089</v>
      </c>
      <c r="J91" s="7">
        <v>46094</v>
      </c>
      <c r="K91" s="4" t="s">
        <v>80</v>
      </c>
    </row>
    <row r="92" spans="1:11" x14ac:dyDescent="0.3">
      <c r="A92" s="9">
        <v>1139</v>
      </c>
      <c r="B92" s="9" t="s">
        <v>53</v>
      </c>
      <c r="C92" s="4" t="s">
        <v>33</v>
      </c>
      <c r="D92" s="4" t="s">
        <v>34</v>
      </c>
      <c r="E92" s="4" t="s">
        <v>12</v>
      </c>
      <c r="F92" s="4">
        <v>17</v>
      </c>
      <c r="G92" s="4">
        <v>28839</v>
      </c>
      <c r="H92" s="4">
        <v>10</v>
      </c>
      <c r="I92" s="7">
        <v>46093</v>
      </c>
      <c r="J92" s="7">
        <v>46099</v>
      </c>
      <c r="K92" s="4" t="s">
        <v>78</v>
      </c>
    </row>
    <row r="93" spans="1:11" x14ac:dyDescent="0.3">
      <c r="A93" s="9">
        <v>1162</v>
      </c>
      <c r="B93" s="9" t="s">
        <v>54</v>
      </c>
      <c r="C93" s="4" t="s">
        <v>31</v>
      </c>
      <c r="D93" s="4" t="s">
        <v>34</v>
      </c>
      <c r="E93" s="4" t="s">
        <v>6</v>
      </c>
      <c r="F93" s="4">
        <v>2</v>
      </c>
      <c r="G93" s="4">
        <v>28176</v>
      </c>
      <c r="H93" s="4">
        <v>10</v>
      </c>
      <c r="I93" s="7">
        <v>46100</v>
      </c>
      <c r="J93" s="7">
        <v>46101</v>
      </c>
      <c r="K93" s="4" t="s">
        <v>79</v>
      </c>
    </row>
    <row r="94" spans="1:11" x14ac:dyDescent="0.3">
      <c r="A94" s="9">
        <v>1213</v>
      </c>
      <c r="B94" s="9" t="s">
        <v>32</v>
      </c>
      <c r="C94" s="4" t="s">
        <v>38</v>
      </c>
      <c r="D94" s="4" t="s">
        <v>34</v>
      </c>
      <c r="E94" s="4" t="s">
        <v>6</v>
      </c>
      <c r="F94" s="4">
        <v>16</v>
      </c>
      <c r="G94" s="4">
        <v>27741</v>
      </c>
      <c r="H94" s="4">
        <v>12</v>
      </c>
      <c r="I94" s="7">
        <v>46116</v>
      </c>
      <c r="J94" s="7">
        <v>46119</v>
      </c>
      <c r="K94" s="4" t="s">
        <v>78</v>
      </c>
    </row>
    <row r="95" spans="1:11" x14ac:dyDescent="0.3">
      <c r="A95" s="9">
        <v>1076</v>
      </c>
      <c r="B95" s="9" t="s">
        <v>49</v>
      </c>
      <c r="C95" s="4" t="s">
        <v>23</v>
      </c>
      <c r="D95" s="4" t="s">
        <v>34</v>
      </c>
      <c r="E95" s="4" t="s">
        <v>35</v>
      </c>
      <c r="F95" s="4">
        <v>19</v>
      </c>
      <c r="G95" s="4">
        <v>26714</v>
      </c>
      <c r="H95" s="4">
        <v>5</v>
      </c>
      <c r="I95" s="7">
        <v>46045</v>
      </c>
      <c r="J95" s="7">
        <v>46055</v>
      </c>
      <c r="K95" s="4" t="s">
        <v>49</v>
      </c>
    </row>
    <row r="96" spans="1:11" x14ac:dyDescent="0.3">
      <c r="A96" s="9">
        <v>1289</v>
      </c>
      <c r="B96" s="9" t="s">
        <v>28</v>
      </c>
      <c r="C96" s="4" t="s">
        <v>26</v>
      </c>
      <c r="D96" s="4" t="s">
        <v>34</v>
      </c>
      <c r="E96" s="4" t="s">
        <v>6</v>
      </c>
      <c r="F96" s="4">
        <v>19</v>
      </c>
      <c r="G96" s="4">
        <v>25336</v>
      </c>
      <c r="H96" s="4">
        <v>2</v>
      </c>
      <c r="I96" s="7">
        <v>46122</v>
      </c>
      <c r="J96" s="7">
        <v>46130</v>
      </c>
      <c r="K96" s="4" t="s">
        <v>80</v>
      </c>
    </row>
    <row r="97" spans="1:11" x14ac:dyDescent="0.3">
      <c r="A97" s="9">
        <v>1292</v>
      </c>
      <c r="B97" s="9" t="s">
        <v>52</v>
      </c>
      <c r="C97" s="4" t="s">
        <v>33</v>
      </c>
      <c r="D97" s="4" t="s">
        <v>34</v>
      </c>
      <c r="E97" s="4" t="s">
        <v>12</v>
      </c>
      <c r="F97" s="4">
        <v>11</v>
      </c>
      <c r="G97" s="4">
        <v>25158</v>
      </c>
      <c r="H97" s="4">
        <v>5</v>
      </c>
      <c r="I97" s="7">
        <v>46186</v>
      </c>
      <c r="J97" s="7">
        <v>46193</v>
      </c>
      <c r="K97" s="4" t="s">
        <v>79</v>
      </c>
    </row>
    <row r="98" spans="1:11" x14ac:dyDescent="0.3">
      <c r="A98" s="9">
        <v>1164</v>
      </c>
      <c r="B98" s="9" t="s">
        <v>39</v>
      </c>
      <c r="C98" s="4" t="s">
        <v>42</v>
      </c>
      <c r="D98" s="4" t="s">
        <v>34</v>
      </c>
      <c r="E98" s="4" t="s">
        <v>12</v>
      </c>
      <c r="F98" s="4">
        <v>7</v>
      </c>
      <c r="G98" s="4">
        <v>24615</v>
      </c>
      <c r="H98" s="4">
        <v>12</v>
      </c>
      <c r="I98" s="7">
        <v>46196</v>
      </c>
      <c r="J98" s="7">
        <v>46203</v>
      </c>
      <c r="K98" s="4" t="s">
        <v>81</v>
      </c>
    </row>
    <row r="99" spans="1:11" x14ac:dyDescent="0.3">
      <c r="A99" s="9">
        <v>1297</v>
      </c>
      <c r="B99" s="9" t="s">
        <v>52</v>
      </c>
      <c r="C99" s="4" t="s">
        <v>27</v>
      </c>
      <c r="D99" s="4" t="s">
        <v>34</v>
      </c>
      <c r="E99" s="4" t="s">
        <v>35</v>
      </c>
      <c r="F99" s="4">
        <v>14</v>
      </c>
      <c r="G99" s="4">
        <v>24524</v>
      </c>
      <c r="H99" s="4">
        <v>10</v>
      </c>
      <c r="I99" s="7">
        <v>46178</v>
      </c>
      <c r="J99" s="7">
        <v>46187</v>
      </c>
      <c r="K99" s="4" t="s">
        <v>49</v>
      </c>
    </row>
    <row r="100" spans="1:11" x14ac:dyDescent="0.3">
      <c r="A100" s="9">
        <v>1078</v>
      </c>
      <c r="B100" s="9" t="s">
        <v>50</v>
      </c>
      <c r="C100" s="4" t="s">
        <v>23</v>
      </c>
      <c r="D100" s="4" t="s">
        <v>34</v>
      </c>
      <c r="E100" s="4" t="s">
        <v>5</v>
      </c>
      <c r="F100" s="4">
        <v>11</v>
      </c>
      <c r="G100" s="4">
        <v>24278</v>
      </c>
      <c r="H100" s="4">
        <v>12</v>
      </c>
      <c r="I100" s="7">
        <v>46084</v>
      </c>
      <c r="J100" s="7">
        <v>46090</v>
      </c>
      <c r="K100" s="4" t="s">
        <v>49</v>
      </c>
    </row>
    <row r="101" spans="1:11" x14ac:dyDescent="0.3">
      <c r="A101" s="9">
        <v>1392</v>
      </c>
      <c r="B101" s="9" t="s">
        <v>49</v>
      </c>
      <c r="C101" s="4" t="s">
        <v>42</v>
      </c>
      <c r="D101" s="4" t="s">
        <v>34</v>
      </c>
      <c r="E101" s="4" t="s">
        <v>35</v>
      </c>
      <c r="F101" s="4">
        <v>13</v>
      </c>
      <c r="G101" s="4">
        <v>23903</v>
      </c>
      <c r="H101" s="4">
        <v>5</v>
      </c>
      <c r="I101" s="7">
        <v>46124</v>
      </c>
      <c r="J101" s="7">
        <v>46125</v>
      </c>
      <c r="K101" s="4" t="s">
        <v>49</v>
      </c>
    </row>
    <row r="102" spans="1:11" x14ac:dyDescent="0.3">
      <c r="A102" s="9">
        <v>1092</v>
      </c>
      <c r="B102" s="9" t="s">
        <v>25</v>
      </c>
      <c r="C102" s="4" t="s">
        <v>26</v>
      </c>
      <c r="D102" s="4" t="s">
        <v>34</v>
      </c>
      <c r="E102" s="4" t="s">
        <v>40</v>
      </c>
      <c r="F102" s="4">
        <v>9</v>
      </c>
      <c r="G102" s="4">
        <v>23438</v>
      </c>
      <c r="H102" s="4">
        <v>2</v>
      </c>
      <c r="I102" s="7">
        <v>46049</v>
      </c>
      <c r="J102" s="7">
        <v>46055</v>
      </c>
      <c r="K102" s="4" t="s">
        <v>49</v>
      </c>
    </row>
    <row r="103" spans="1:11" x14ac:dyDescent="0.3">
      <c r="A103" s="9">
        <v>1149</v>
      </c>
      <c r="B103" s="9" t="s">
        <v>28</v>
      </c>
      <c r="C103" s="4" t="s">
        <v>38</v>
      </c>
      <c r="D103" s="4" t="s">
        <v>34</v>
      </c>
      <c r="E103" s="4" t="s">
        <v>35</v>
      </c>
      <c r="F103" s="4">
        <v>10</v>
      </c>
      <c r="G103" s="4">
        <v>22853</v>
      </c>
      <c r="H103" s="4">
        <v>7</v>
      </c>
      <c r="I103" s="7">
        <v>46053</v>
      </c>
      <c r="J103" s="7">
        <v>46054</v>
      </c>
      <c r="K103" s="4" t="s">
        <v>49</v>
      </c>
    </row>
    <row r="104" spans="1:11" x14ac:dyDescent="0.3">
      <c r="A104" s="9">
        <v>1378</v>
      </c>
      <c r="B104" s="9" t="s">
        <v>53</v>
      </c>
      <c r="C104" s="4" t="s">
        <v>26</v>
      </c>
      <c r="D104" s="4" t="s">
        <v>34</v>
      </c>
      <c r="E104" s="4" t="s">
        <v>6</v>
      </c>
      <c r="F104" s="4">
        <v>15</v>
      </c>
      <c r="G104" s="4">
        <v>22693</v>
      </c>
      <c r="H104" s="4">
        <v>12</v>
      </c>
      <c r="I104" s="7">
        <v>46074</v>
      </c>
      <c r="J104" s="7">
        <v>46080</v>
      </c>
      <c r="K104" s="4" t="s">
        <v>81</v>
      </c>
    </row>
    <row r="105" spans="1:11" x14ac:dyDescent="0.3">
      <c r="A105" s="9">
        <v>1226</v>
      </c>
      <c r="B105" s="9" t="s">
        <v>49</v>
      </c>
      <c r="C105" s="4" t="s">
        <v>31</v>
      </c>
      <c r="D105" s="4" t="s">
        <v>34</v>
      </c>
      <c r="E105" s="4" t="s">
        <v>40</v>
      </c>
      <c r="F105" s="4">
        <v>13</v>
      </c>
      <c r="G105" s="4">
        <v>21332</v>
      </c>
      <c r="H105" s="4">
        <v>0</v>
      </c>
      <c r="I105" s="7">
        <v>46044</v>
      </c>
      <c r="J105" s="7">
        <v>46048</v>
      </c>
      <c r="K105" s="4" t="s">
        <v>49</v>
      </c>
    </row>
    <row r="106" spans="1:11" x14ac:dyDescent="0.3">
      <c r="A106" s="9">
        <v>1298</v>
      </c>
      <c r="B106" s="9" t="s">
        <v>25</v>
      </c>
      <c r="C106" s="4" t="s">
        <v>19</v>
      </c>
      <c r="D106" s="4" t="s">
        <v>34</v>
      </c>
      <c r="E106" s="4" t="s">
        <v>12</v>
      </c>
      <c r="F106" s="4">
        <v>19</v>
      </c>
      <c r="G106" s="4">
        <v>20745</v>
      </c>
      <c r="H106" s="4">
        <v>2</v>
      </c>
      <c r="I106" s="7">
        <v>46083</v>
      </c>
      <c r="J106" s="7">
        <v>46093</v>
      </c>
      <c r="K106" s="4" t="s">
        <v>80</v>
      </c>
    </row>
    <row r="107" spans="1:11" x14ac:dyDescent="0.3">
      <c r="A107" s="9">
        <v>1278</v>
      </c>
      <c r="B107" s="9" t="s">
        <v>45</v>
      </c>
      <c r="C107" s="4" t="s">
        <v>26</v>
      </c>
      <c r="D107" s="4" t="s">
        <v>34</v>
      </c>
      <c r="E107" s="4" t="s">
        <v>12</v>
      </c>
      <c r="F107" s="4">
        <v>4</v>
      </c>
      <c r="G107" s="4">
        <v>20639</v>
      </c>
      <c r="H107" s="4">
        <v>7</v>
      </c>
      <c r="I107" s="7">
        <v>46180</v>
      </c>
      <c r="J107" s="7">
        <v>46186</v>
      </c>
      <c r="K107" s="4" t="s">
        <v>79</v>
      </c>
    </row>
    <row r="108" spans="1:11" x14ac:dyDescent="0.3">
      <c r="A108" s="9">
        <v>1273</v>
      </c>
      <c r="B108" s="9" t="s">
        <v>44</v>
      </c>
      <c r="C108" s="4" t="s">
        <v>27</v>
      </c>
      <c r="D108" s="4" t="s">
        <v>34</v>
      </c>
      <c r="E108" s="4" t="s">
        <v>5</v>
      </c>
      <c r="F108" s="4">
        <v>12</v>
      </c>
      <c r="G108" s="4">
        <v>20618</v>
      </c>
      <c r="H108" s="4">
        <v>12</v>
      </c>
      <c r="I108" s="7">
        <v>46172</v>
      </c>
      <c r="J108" s="7">
        <v>46174</v>
      </c>
      <c r="K108" s="4" t="s">
        <v>79</v>
      </c>
    </row>
    <row r="109" spans="1:11" x14ac:dyDescent="0.3">
      <c r="A109" s="9">
        <v>1175</v>
      </c>
      <c r="B109" s="9" t="s">
        <v>28</v>
      </c>
      <c r="C109" s="4" t="s">
        <v>23</v>
      </c>
      <c r="D109" s="4" t="s">
        <v>34</v>
      </c>
      <c r="E109" s="4" t="s">
        <v>40</v>
      </c>
      <c r="F109" s="4">
        <v>10</v>
      </c>
      <c r="G109" s="4">
        <v>20339</v>
      </c>
      <c r="H109" s="4">
        <v>2</v>
      </c>
      <c r="I109" s="7">
        <v>46088</v>
      </c>
      <c r="J109" s="7">
        <v>46094</v>
      </c>
      <c r="K109" s="4" t="s">
        <v>79</v>
      </c>
    </row>
    <row r="110" spans="1:11" x14ac:dyDescent="0.3">
      <c r="A110" s="9">
        <v>1202</v>
      </c>
      <c r="B110" s="9" t="s">
        <v>54</v>
      </c>
      <c r="C110" s="4" t="s">
        <v>26</v>
      </c>
      <c r="D110" s="4" t="s">
        <v>34</v>
      </c>
      <c r="E110" s="4" t="s">
        <v>35</v>
      </c>
      <c r="F110" s="4">
        <v>2</v>
      </c>
      <c r="G110" s="4">
        <v>20312</v>
      </c>
      <c r="H110" s="4">
        <v>12</v>
      </c>
      <c r="I110" s="7">
        <v>46082</v>
      </c>
      <c r="J110" s="7">
        <v>46091</v>
      </c>
      <c r="K110" s="4" t="s">
        <v>78</v>
      </c>
    </row>
    <row r="111" spans="1:11" x14ac:dyDescent="0.3">
      <c r="A111" s="9">
        <v>1209</v>
      </c>
      <c r="B111" s="9" t="s">
        <v>46</v>
      </c>
      <c r="C111" s="4" t="s">
        <v>38</v>
      </c>
      <c r="D111" s="4" t="s">
        <v>34</v>
      </c>
      <c r="E111" s="4" t="s">
        <v>35</v>
      </c>
      <c r="F111" s="4">
        <v>19</v>
      </c>
      <c r="G111" s="4">
        <v>20284</v>
      </c>
      <c r="H111" s="4">
        <v>10</v>
      </c>
      <c r="I111" s="7">
        <v>46103</v>
      </c>
      <c r="J111" s="7">
        <v>46110</v>
      </c>
      <c r="K111" s="4" t="s">
        <v>79</v>
      </c>
    </row>
    <row r="112" spans="1:11" x14ac:dyDescent="0.3">
      <c r="A112" s="9">
        <v>1046</v>
      </c>
      <c r="B112" s="9" t="s">
        <v>54</v>
      </c>
      <c r="C112" s="4" t="s">
        <v>38</v>
      </c>
      <c r="D112" s="4" t="s">
        <v>34</v>
      </c>
      <c r="E112" s="4" t="s">
        <v>6</v>
      </c>
      <c r="F112" s="4">
        <v>3</v>
      </c>
      <c r="G112" s="4">
        <v>19443</v>
      </c>
      <c r="H112" s="4">
        <v>10</v>
      </c>
      <c r="I112" s="7">
        <v>46153</v>
      </c>
      <c r="J112" s="7">
        <v>46158</v>
      </c>
      <c r="K112" s="4" t="s">
        <v>49</v>
      </c>
    </row>
    <row r="113" spans="1:11" x14ac:dyDescent="0.3">
      <c r="A113" s="9">
        <v>1126</v>
      </c>
      <c r="B113" s="9" t="s">
        <v>44</v>
      </c>
      <c r="C113" s="4" t="s">
        <v>26</v>
      </c>
      <c r="D113" s="4" t="s">
        <v>34</v>
      </c>
      <c r="E113" s="4" t="s">
        <v>5</v>
      </c>
      <c r="F113" s="4">
        <v>17</v>
      </c>
      <c r="G113" s="4">
        <v>19390</v>
      </c>
      <c r="H113" s="4">
        <v>12</v>
      </c>
      <c r="I113" s="7">
        <v>46201</v>
      </c>
      <c r="J113" s="7">
        <v>46206</v>
      </c>
      <c r="K113" s="4" t="s">
        <v>49</v>
      </c>
    </row>
    <row r="114" spans="1:11" x14ac:dyDescent="0.3">
      <c r="A114" s="9">
        <v>1224</v>
      </c>
      <c r="B114" s="9" t="s">
        <v>30</v>
      </c>
      <c r="C114" s="4" t="s">
        <v>38</v>
      </c>
      <c r="D114" s="4" t="s">
        <v>34</v>
      </c>
      <c r="E114" s="4" t="s">
        <v>6</v>
      </c>
      <c r="F114" s="4">
        <v>16</v>
      </c>
      <c r="G114" s="4">
        <v>18378</v>
      </c>
      <c r="H114" s="4">
        <v>10</v>
      </c>
      <c r="I114" s="7">
        <v>46045</v>
      </c>
      <c r="J114" s="7">
        <v>46052</v>
      </c>
      <c r="K114" s="4" t="s">
        <v>80</v>
      </c>
    </row>
    <row r="115" spans="1:11" x14ac:dyDescent="0.3">
      <c r="A115" s="9">
        <v>1228</v>
      </c>
      <c r="B115" s="9" t="s">
        <v>49</v>
      </c>
      <c r="C115" s="4" t="s">
        <v>27</v>
      </c>
      <c r="D115" s="4" t="s">
        <v>34</v>
      </c>
      <c r="E115" s="4" t="s">
        <v>6</v>
      </c>
      <c r="F115" s="4">
        <v>16</v>
      </c>
      <c r="G115" s="4">
        <v>17477</v>
      </c>
      <c r="H115" s="4">
        <v>10</v>
      </c>
      <c r="I115" s="7">
        <v>46041</v>
      </c>
      <c r="J115" s="7">
        <v>46043</v>
      </c>
      <c r="K115" s="4" t="s">
        <v>80</v>
      </c>
    </row>
    <row r="116" spans="1:11" x14ac:dyDescent="0.3">
      <c r="A116" s="9">
        <v>1089</v>
      </c>
      <c r="B116" s="9" t="s">
        <v>44</v>
      </c>
      <c r="C116" s="4" t="s">
        <v>19</v>
      </c>
      <c r="D116" s="4" t="s">
        <v>34</v>
      </c>
      <c r="E116" s="4" t="s">
        <v>35</v>
      </c>
      <c r="F116" s="4">
        <v>10</v>
      </c>
      <c r="G116" s="4">
        <v>17041</v>
      </c>
      <c r="H116" s="4">
        <v>2</v>
      </c>
      <c r="I116" s="7">
        <v>46066</v>
      </c>
      <c r="J116" s="7">
        <v>46071</v>
      </c>
      <c r="K116" s="4" t="s">
        <v>80</v>
      </c>
    </row>
    <row r="117" spans="1:11" x14ac:dyDescent="0.3">
      <c r="A117" s="9">
        <v>1338</v>
      </c>
      <c r="B117" s="9" t="s">
        <v>56</v>
      </c>
      <c r="C117" s="4" t="s">
        <v>27</v>
      </c>
      <c r="D117" s="4" t="s">
        <v>34</v>
      </c>
      <c r="E117" s="4" t="s">
        <v>9</v>
      </c>
      <c r="F117" s="4">
        <v>10</v>
      </c>
      <c r="G117" s="4">
        <v>16719</v>
      </c>
      <c r="H117" s="4">
        <v>5</v>
      </c>
      <c r="I117" s="7">
        <v>46177</v>
      </c>
      <c r="J117" s="7">
        <v>46179</v>
      </c>
      <c r="K117" s="4" t="s">
        <v>78</v>
      </c>
    </row>
    <row r="118" spans="1:11" x14ac:dyDescent="0.3">
      <c r="A118" s="9">
        <v>1185</v>
      </c>
      <c r="B118" s="9" t="s">
        <v>55</v>
      </c>
      <c r="C118" s="4" t="s">
        <v>26</v>
      </c>
      <c r="D118" s="4" t="s">
        <v>34</v>
      </c>
      <c r="E118" s="4" t="s">
        <v>9</v>
      </c>
      <c r="F118" s="4">
        <v>16</v>
      </c>
      <c r="G118" s="4">
        <v>15536</v>
      </c>
      <c r="H118" s="4">
        <v>2</v>
      </c>
      <c r="I118" s="7">
        <v>46153</v>
      </c>
      <c r="J118" s="7">
        <v>46156</v>
      </c>
      <c r="K118" s="4" t="s">
        <v>78</v>
      </c>
    </row>
    <row r="119" spans="1:11" x14ac:dyDescent="0.3">
      <c r="A119" s="9">
        <v>1186</v>
      </c>
      <c r="B119" s="9" t="s">
        <v>22</v>
      </c>
      <c r="C119" s="4" t="s">
        <v>27</v>
      </c>
      <c r="D119" s="4" t="s">
        <v>24</v>
      </c>
      <c r="E119" s="4" t="s">
        <v>43</v>
      </c>
      <c r="F119" s="4">
        <v>10</v>
      </c>
      <c r="G119" s="4">
        <v>14951</v>
      </c>
      <c r="H119" s="4">
        <v>2</v>
      </c>
      <c r="I119" s="7">
        <v>46188</v>
      </c>
      <c r="J119" s="7">
        <v>46196</v>
      </c>
      <c r="K119" s="4" t="s">
        <v>80</v>
      </c>
    </row>
    <row r="120" spans="1:11" x14ac:dyDescent="0.3">
      <c r="A120" s="9">
        <v>1354</v>
      </c>
      <c r="B120" s="9" t="s">
        <v>45</v>
      </c>
      <c r="C120" s="4" t="s">
        <v>42</v>
      </c>
      <c r="D120" s="4" t="s">
        <v>34</v>
      </c>
      <c r="E120" s="4" t="s">
        <v>35</v>
      </c>
      <c r="F120" s="4">
        <v>15</v>
      </c>
      <c r="G120" s="4">
        <v>14927</v>
      </c>
      <c r="H120" s="4">
        <v>15</v>
      </c>
      <c r="I120" s="7">
        <v>46118</v>
      </c>
      <c r="J120" s="7">
        <v>46120</v>
      </c>
      <c r="K120" s="4" t="s">
        <v>81</v>
      </c>
    </row>
    <row r="121" spans="1:11" x14ac:dyDescent="0.3">
      <c r="A121" s="9">
        <v>1044</v>
      </c>
      <c r="B121" s="9" t="s">
        <v>46</v>
      </c>
      <c r="C121" s="4" t="s">
        <v>38</v>
      </c>
      <c r="D121" s="4" t="s">
        <v>24</v>
      </c>
      <c r="E121" s="4" t="s">
        <v>7</v>
      </c>
      <c r="F121" s="4">
        <v>4</v>
      </c>
      <c r="G121" s="4">
        <v>14731</v>
      </c>
      <c r="H121" s="4">
        <v>2</v>
      </c>
      <c r="I121" s="7">
        <v>46173</v>
      </c>
      <c r="J121" s="7">
        <v>46176</v>
      </c>
      <c r="K121" s="4" t="s">
        <v>79</v>
      </c>
    </row>
    <row r="122" spans="1:11" x14ac:dyDescent="0.3">
      <c r="A122" s="9">
        <v>1096</v>
      </c>
      <c r="B122" s="9" t="s">
        <v>47</v>
      </c>
      <c r="C122" s="4" t="s">
        <v>23</v>
      </c>
      <c r="D122" s="4" t="s">
        <v>24</v>
      </c>
      <c r="E122" s="4" t="s">
        <v>10</v>
      </c>
      <c r="F122" s="4">
        <v>15</v>
      </c>
      <c r="G122" s="4">
        <v>14724</v>
      </c>
      <c r="H122" s="4">
        <v>15</v>
      </c>
      <c r="I122" s="7">
        <v>46054</v>
      </c>
      <c r="J122" s="7">
        <v>46061</v>
      </c>
      <c r="K122" s="4" t="s">
        <v>79</v>
      </c>
    </row>
    <row r="123" spans="1:11" x14ac:dyDescent="0.3">
      <c r="A123" s="9">
        <v>1068</v>
      </c>
      <c r="B123" s="9" t="s">
        <v>50</v>
      </c>
      <c r="C123" s="4" t="s">
        <v>42</v>
      </c>
      <c r="D123" s="4" t="s">
        <v>34</v>
      </c>
      <c r="E123" s="4" t="s">
        <v>9</v>
      </c>
      <c r="F123" s="4">
        <v>15</v>
      </c>
      <c r="G123" s="4">
        <v>14534</v>
      </c>
      <c r="H123" s="4">
        <v>5</v>
      </c>
      <c r="I123" s="7">
        <v>46196</v>
      </c>
      <c r="J123" s="7">
        <v>46199</v>
      </c>
      <c r="K123" s="4" t="s">
        <v>49</v>
      </c>
    </row>
    <row r="124" spans="1:11" x14ac:dyDescent="0.3">
      <c r="A124" s="9">
        <v>1136</v>
      </c>
      <c r="B124" s="9" t="s">
        <v>29</v>
      </c>
      <c r="C124" s="4" t="s">
        <v>42</v>
      </c>
      <c r="D124" s="4" t="s">
        <v>24</v>
      </c>
      <c r="E124" s="4" t="s">
        <v>11</v>
      </c>
      <c r="F124" s="4">
        <v>19</v>
      </c>
      <c r="G124" s="4">
        <v>14528</v>
      </c>
      <c r="H124" s="4">
        <v>12</v>
      </c>
      <c r="I124" s="7">
        <v>46056</v>
      </c>
      <c r="J124" s="7">
        <v>46062</v>
      </c>
      <c r="K124" s="4" t="s">
        <v>80</v>
      </c>
    </row>
    <row r="125" spans="1:11" x14ac:dyDescent="0.3">
      <c r="A125" s="9">
        <v>1015</v>
      </c>
      <c r="B125" s="9" t="s">
        <v>41</v>
      </c>
      <c r="C125" s="4" t="s">
        <v>42</v>
      </c>
      <c r="D125" s="4" t="s">
        <v>24</v>
      </c>
      <c r="E125" s="4" t="s">
        <v>43</v>
      </c>
      <c r="F125" s="4">
        <v>11</v>
      </c>
      <c r="G125" s="4">
        <v>14511</v>
      </c>
      <c r="H125" s="4">
        <v>2</v>
      </c>
      <c r="I125" s="7">
        <v>46175</v>
      </c>
      <c r="J125" s="7">
        <v>46185</v>
      </c>
      <c r="K125" s="4" t="s">
        <v>79</v>
      </c>
    </row>
    <row r="126" spans="1:11" x14ac:dyDescent="0.3">
      <c r="A126" s="9">
        <v>1138</v>
      </c>
      <c r="B126" s="9" t="s">
        <v>53</v>
      </c>
      <c r="C126" s="4" t="s">
        <v>42</v>
      </c>
      <c r="D126" s="4" t="s">
        <v>24</v>
      </c>
      <c r="E126" s="4" t="s">
        <v>7</v>
      </c>
      <c r="F126" s="4">
        <v>5</v>
      </c>
      <c r="G126" s="4">
        <v>14466</v>
      </c>
      <c r="H126" s="4">
        <v>2</v>
      </c>
      <c r="I126" s="7">
        <v>46084</v>
      </c>
      <c r="J126" s="7">
        <v>46092</v>
      </c>
      <c r="K126" s="4" t="s">
        <v>81</v>
      </c>
    </row>
    <row r="127" spans="1:11" x14ac:dyDescent="0.3">
      <c r="A127" s="9">
        <v>1294</v>
      </c>
      <c r="B127" s="9" t="s">
        <v>25</v>
      </c>
      <c r="C127" s="4" t="s">
        <v>19</v>
      </c>
      <c r="D127" s="4" t="s">
        <v>24</v>
      </c>
      <c r="E127" s="4" t="s">
        <v>7</v>
      </c>
      <c r="F127" s="4">
        <v>8</v>
      </c>
      <c r="G127" s="4">
        <v>14448</v>
      </c>
      <c r="H127" s="4">
        <v>10</v>
      </c>
      <c r="I127" s="7">
        <v>46181</v>
      </c>
      <c r="J127" s="7">
        <v>46189</v>
      </c>
      <c r="K127" s="4" t="s">
        <v>78</v>
      </c>
    </row>
    <row r="128" spans="1:11" x14ac:dyDescent="0.3">
      <c r="A128" s="9">
        <v>1037</v>
      </c>
      <c r="B128" s="9" t="s">
        <v>44</v>
      </c>
      <c r="C128" s="4" t="s">
        <v>42</v>
      </c>
      <c r="D128" s="4" t="s">
        <v>24</v>
      </c>
      <c r="E128" s="4" t="s">
        <v>11</v>
      </c>
      <c r="F128" s="4">
        <v>6</v>
      </c>
      <c r="G128" s="4">
        <v>14385</v>
      </c>
      <c r="H128" s="4">
        <v>12</v>
      </c>
      <c r="I128" s="7">
        <v>46033</v>
      </c>
      <c r="J128" s="7">
        <v>46043</v>
      </c>
      <c r="K128" s="4" t="s">
        <v>80</v>
      </c>
    </row>
    <row r="129" spans="1:11" x14ac:dyDescent="0.3">
      <c r="A129" s="9">
        <v>1234</v>
      </c>
      <c r="B129" s="9" t="s">
        <v>18</v>
      </c>
      <c r="C129" s="4" t="s">
        <v>27</v>
      </c>
      <c r="D129" s="4" t="s">
        <v>24</v>
      </c>
      <c r="E129" s="4" t="s">
        <v>8</v>
      </c>
      <c r="F129" s="4">
        <v>1</v>
      </c>
      <c r="G129" s="4">
        <v>14320</v>
      </c>
      <c r="H129" s="4">
        <v>12</v>
      </c>
      <c r="I129" s="7">
        <v>46114</v>
      </c>
      <c r="J129" s="7">
        <v>46121</v>
      </c>
      <c r="K129" s="4" t="s">
        <v>81</v>
      </c>
    </row>
    <row r="130" spans="1:11" x14ac:dyDescent="0.3">
      <c r="A130" s="9">
        <v>1107</v>
      </c>
      <c r="B130" s="9" t="s">
        <v>50</v>
      </c>
      <c r="C130" s="4" t="s">
        <v>23</v>
      </c>
      <c r="D130" s="4" t="s">
        <v>34</v>
      </c>
      <c r="E130" s="4" t="s">
        <v>9</v>
      </c>
      <c r="F130" s="4">
        <v>4</v>
      </c>
      <c r="G130" s="4">
        <v>14291</v>
      </c>
      <c r="H130" s="4">
        <v>2</v>
      </c>
      <c r="I130" s="7">
        <v>46076</v>
      </c>
      <c r="J130" s="7">
        <v>46078</v>
      </c>
      <c r="K130" s="4" t="s">
        <v>78</v>
      </c>
    </row>
    <row r="131" spans="1:11" x14ac:dyDescent="0.3">
      <c r="A131" s="9">
        <v>1124</v>
      </c>
      <c r="B131" s="9" t="s">
        <v>29</v>
      </c>
      <c r="C131" s="4" t="s">
        <v>38</v>
      </c>
      <c r="D131" s="4" t="s">
        <v>24</v>
      </c>
      <c r="E131" s="4" t="s">
        <v>11</v>
      </c>
      <c r="F131" s="4">
        <v>4</v>
      </c>
      <c r="G131" s="4">
        <v>14195</v>
      </c>
      <c r="H131" s="4">
        <v>15</v>
      </c>
      <c r="I131" s="7">
        <v>46182</v>
      </c>
      <c r="J131" s="7">
        <v>46189</v>
      </c>
      <c r="K131" s="4" t="s">
        <v>81</v>
      </c>
    </row>
    <row r="132" spans="1:11" x14ac:dyDescent="0.3">
      <c r="A132" s="9">
        <v>1159</v>
      </c>
      <c r="B132" s="9" t="s">
        <v>32</v>
      </c>
      <c r="C132" s="4" t="s">
        <v>42</v>
      </c>
      <c r="D132" s="4" t="s">
        <v>24</v>
      </c>
      <c r="E132" s="4" t="s">
        <v>8</v>
      </c>
      <c r="F132" s="4">
        <v>20</v>
      </c>
      <c r="G132" s="4">
        <v>14000</v>
      </c>
      <c r="H132" s="4">
        <v>15</v>
      </c>
      <c r="I132" s="7">
        <v>46184</v>
      </c>
      <c r="J132" s="7">
        <v>46187</v>
      </c>
      <c r="K132" s="4" t="s">
        <v>78</v>
      </c>
    </row>
    <row r="133" spans="1:11" x14ac:dyDescent="0.3">
      <c r="A133" s="9">
        <v>1233</v>
      </c>
      <c r="B133" s="9" t="s">
        <v>55</v>
      </c>
      <c r="C133" s="4" t="s">
        <v>26</v>
      </c>
      <c r="D133" s="4" t="s">
        <v>24</v>
      </c>
      <c r="E133" s="4" t="s">
        <v>7</v>
      </c>
      <c r="F133" s="4">
        <v>20</v>
      </c>
      <c r="G133" s="4">
        <v>13941</v>
      </c>
      <c r="H133" s="4">
        <v>15</v>
      </c>
      <c r="I133" s="7">
        <v>46198</v>
      </c>
      <c r="J133" s="7">
        <v>46202</v>
      </c>
      <c r="K133" s="4" t="s">
        <v>80</v>
      </c>
    </row>
    <row r="134" spans="1:11" x14ac:dyDescent="0.3">
      <c r="A134" s="9">
        <v>1108</v>
      </c>
      <c r="B134" s="9" t="s">
        <v>41</v>
      </c>
      <c r="C134" s="4" t="s">
        <v>33</v>
      </c>
      <c r="D134" s="4" t="s">
        <v>24</v>
      </c>
      <c r="E134" s="4" t="s">
        <v>8</v>
      </c>
      <c r="F134" s="4">
        <v>15</v>
      </c>
      <c r="G134" s="4">
        <v>13843</v>
      </c>
      <c r="H134" s="4">
        <v>7</v>
      </c>
      <c r="I134" s="7">
        <v>46119</v>
      </c>
      <c r="J134" s="7">
        <v>46127</v>
      </c>
      <c r="K134" s="4" t="s">
        <v>79</v>
      </c>
    </row>
    <row r="135" spans="1:11" x14ac:dyDescent="0.3">
      <c r="A135" s="9">
        <v>1214</v>
      </c>
      <c r="B135" s="9" t="s">
        <v>41</v>
      </c>
      <c r="C135" s="4" t="s">
        <v>27</v>
      </c>
      <c r="D135" s="4" t="s">
        <v>24</v>
      </c>
      <c r="E135" s="4" t="s">
        <v>8</v>
      </c>
      <c r="F135" s="4">
        <v>19</v>
      </c>
      <c r="G135" s="4">
        <v>13832</v>
      </c>
      <c r="H135" s="4">
        <v>0</v>
      </c>
      <c r="I135" s="7">
        <v>46140</v>
      </c>
      <c r="J135" s="7">
        <v>46145</v>
      </c>
      <c r="K135" s="4" t="s">
        <v>81</v>
      </c>
    </row>
    <row r="136" spans="1:11" x14ac:dyDescent="0.3">
      <c r="A136" s="9">
        <v>1276</v>
      </c>
      <c r="B136" s="9" t="s">
        <v>39</v>
      </c>
      <c r="C136" s="4" t="s">
        <v>19</v>
      </c>
      <c r="D136" s="4" t="s">
        <v>24</v>
      </c>
      <c r="E136" s="4" t="s">
        <v>7</v>
      </c>
      <c r="F136" s="4">
        <v>1</v>
      </c>
      <c r="G136" s="4">
        <v>13437</v>
      </c>
      <c r="H136" s="4">
        <v>15</v>
      </c>
      <c r="I136" s="7">
        <v>46097</v>
      </c>
      <c r="J136" s="7">
        <v>46099</v>
      </c>
      <c r="K136" s="4" t="s">
        <v>80</v>
      </c>
    </row>
    <row r="137" spans="1:11" x14ac:dyDescent="0.3">
      <c r="A137" s="9">
        <v>1232</v>
      </c>
      <c r="B137" s="9" t="s">
        <v>25</v>
      </c>
      <c r="C137" s="4" t="s">
        <v>19</v>
      </c>
      <c r="D137" s="4" t="s">
        <v>34</v>
      </c>
      <c r="E137" s="4" t="s">
        <v>9</v>
      </c>
      <c r="F137" s="4">
        <v>3</v>
      </c>
      <c r="G137" s="4">
        <v>13272</v>
      </c>
      <c r="H137" s="4">
        <v>2</v>
      </c>
      <c r="I137" s="7">
        <v>46060</v>
      </c>
      <c r="J137" s="7">
        <v>46065</v>
      </c>
      <c r="K137" s="4" t="s">
        <v>78</v>
      </c>
    </row>
    <row r="138" spans="1:11" x14ac:dyDescent="0.3">
      <c r="A138" s="9">
        <v>1194</v>
      </c>
      <c r="B138" s="9" t="s">
        <v>54</v>
      </c>
      <c r="C138" s="4" t="s">
        <v>42</v>
      </c>
      <c r="D138" s="4" t="s">
        <v>24</v>
      </c>
      <c r="E138" s="4" t="s">
        <v>8</v>
      </c>
      <c r="F138" s="4">
        <v>13</v>
      </c>
      <c r="G138" s="4">
        <v>12856</v>
      </c>
      <c r="H138" s="4">
        <v>15</v>
      </c>
      <c r="I138" s="7">
        <v>46129</v>
      </c>
      <c r="J138" s="7">
        <v>46133</v>
      </c>
      <c r="K138" s="4" t="s">
        <v>81</v>
      </c>
    </row>
    <row r="139" spans="1:11" x14ac:dyDescent="0.3">
      <c r="A139" s="9">
        <v>1104</v>
      </c>
      <c r="B139" s="9" t="s">
        <v>22</v>
      </c>
      <c r="C139" s="4" t="s">
        <v>42</v>
      </c>
      <c r="D139" s="4" t="s">
        <v>24</v>
      </c>
      <c r="E139" s="4" t="s">
        <v>7</v>
      </c>
      <c r="F139" s="4">
        <v>10</v>
      </c>
      <c r="G139" s="4">
        <v>12848</v>
      </c>
      <c r="H139" s="4">
        <v>15</v>
      </c>
      <c r="I139" s="7">
        <v>46060</v>
      </c>
      <c r="J139" s="7">
        <v>46064</v>
      </c>
      <c r="K139" s="4" t="s">
        <v>49</v>
      </c>
    </row>
    <row r="140" spans="1:11" x14ac:dyDescent="0.3">
      <c r="A140" s="9">
        <v>1116</v>
      </c>
      <c r="B140" s="9" t="s">
        <v>22</v>
      </c>
      <c r="C140" s="4" t="s">
        <v>27</v>
      </c>
      <c r="D140" s="4" t="s">
        <v>24</v>
      </c>
      <c r="E140" s="4" t="s">
        <v>11</v>
      </c>
      <c r="F140" s="4">
        <v>2</v>
      </c>
      <c r="G140" s="4">
        <v>12692</v>
      </c>
      <c r="H140" s="4">
        <v>15</v>
      </c>
      <c r="I140" s="7">
        <v>46049</v>
      </c>
      <c r="J140" s="7">
        <v>46051</v>
      </c>
      <c r="K140" s="4" t="s">
        <v>78</v>
      </c>
    </row>
    <row r="141" spans="1:11" x14ac:dyDescent="0.3">
      <c r="A141" s="9">
        <v>1310</v>
      </c>
      <c r="B141" s="9" t="s">
        <v>47</v>
      </c>
      <c r="C141" s="4" t="s">
        <v>23</v>
      </c>
      <c r="D141" s="4" t="s">
        <v>24</v>
      </c>
      <c r="E141" s="4" t="s">
        <v>11</v>
      </c>
      <c r="F141" s="4">
        <v>19</v>
      </c>
      <c r="G141" s="4">
        <v>12691</v>
      </c>
      <c r="H141" s="4">
        <v>0</v>
      </c>
      <c r="I141" s="7">
        <v>46181</v>
      </c>
      <c r="J141" s="7">
        <v>46189</v>
      </c>
      <c r="K141" s="4" t="s">
        <v>49</v>
      </c>
    </row>
    <row r="142" spans="1:11" x14ac:dyDescent="0.3">
      <c r="A142" s="9">
        <v>1241</v>
      </c>
      <c r="B142" s="9" t="s">
        <v>44</v>
      </c>
      <c r="C142" s="4" t="s">
        <v>31</v>
      </c>
      <c r="D142" s="4" t="s">
        <v>24</v>
      </c>
      <c r="E142" s="4" t="s">
        <v>43</v>
      </c>
      <c r="F142" s="4">
        <v>1</v>
      </c>
      <c r="G142" s="4">
        <v>12537</v>
      </c>
      <c r="H142" s="4">
        <v>0</v>
      </c>
      <c r="I142" s="7">
        <v>46119</v>
      </c>
      <c r="J142" s="7">
        <v>46122</v>
      </c>
      <c r="K142" s="4" t="s">
        <v>78</v>
      </c>
    </row>
    <row r="143" spans="1:11" x14ac:dyDescent="0.3">
      <c r="A143" s="9">
        <v>1158</v>
      </c>
      <c r="B143" s="9" t="s">
        <v>28</v>
      </c>
      <c r="C143" s="4" t="s">
        <v>38</v>
      </c>
      <c r="D143" s="4" t="s">
        <v>34</v>
      </c>
      <c r="E143" s="4" t="s">
        <v>40</v>
      </c>
      <c r="F143" s="4">
        <v>13</v>
      </c>
      <c r="G143" s="4">
        <v>12518</v>
      </c>
      <c r="H143" s="4">
        <v>2</v>
      </c>
      <c r="I143" s="7">
        <v>46079</v>
      </c>
      <c r="J143" s="7">
        <v>46082</v>
      </c>
      <c r="K143" s="4" t="s">
        <v>81</v>
      </c>
    </row>
    <row r="144" spans="1:11" x14ac:dyDescent="0.3">
      <c r="A144" s="9">
        <v>1239</v>
      </c>
      <c r="B144" s="9" t="s">
        <v>46</v>
      </c>
      <c r="C144" s="4" t="s">
        <v>23</v>
      </c>
      <c r="D144" s="4" t="s">
        <v>24</v>
      </c>
      <c r="E144" s="4" t="s">
        <v>11</v>
      </c>
      <c r="F144" s="4">
        <v>2</v>
      </c>
      <c r="G144" s="4">
        <v>12330</v>
      </c>
      <c r="H144" s="4">
        <v>12</v>
      </c>
      <c r="I144" s="7">
        <v>46122</v>
      </c>
      <c r="J144" s="7">
        <v>46125</v>
      </c>
      <c r="K144" s="4" t="s">
        <v>78</v>
      </c>
    </row>
    <row r="145" spans="1:11" x14ac:dyDescent="0.3">
      <c r="A145" s="9">
        <v>1237</v>
      </c>
      <c r="B145" s="9" t="s">
        <v>44</v>
      </c>
      <c r="C145" s="4" t="s">
        <v>38</v>
      </c>
      <c r="D145" s="4" t="s">
        <v>24</v>
      </c>
      <c r="E145" s="4" t="s">
        <v>11</v>
      </c>
      <c r="F145" s="4">
        <v>8</v>
      </c>
      <c r="G145" s="4">
        <v>12123</v>
      </c>
      <c r="H145" s="4">
        <v>2</v>
      </c>
      <c r="I145" s="7">
        <v>46137</v>
      </c>
      <c r="J145" s="7">
        <v>46145</v>
      </c>
      <c r="K145" s="4" t="s">
        <v>78</v>
      </c>
    </row>
    <row r="146" spans="1:11" x14ac:dyDescent="0.3">
      <c r="A146" s="9">
        <v>1169</v>
      </c>
      <c r="B146" s="9" t="s">
        <v>45</v>
      </c>
      <c r="C146" s="4" t="s">
        <v>19</v>
      </c>
      <c r="D146" s="4" t="s">
        <v>24</v>
      </c>
      <c r="E146" s="4" t="s">
        <v>11</v>
      </c>
      <c r="F146" s="4">
        <v>12</v>
      </c>
      <c r="G146" s="4">
        <v>12104</v>
      </c>
      <c r="H146" s="4">
        <v>7</v>
      </c>
      <c r="I146" s="7">
        <v>46121</v>
      </c>
      <c r="J146" s="7">
        <v>46130</v>
      </c>
      <c r="K146" s="4" t="s">
        <v>80</v>
      </c>
    </row>
    <row r="147" spans="1:11" x14ac:dyDescent="0.3">
      <c r="A147" s="9">
        <v>1330</v>
      </c>
      <c r="B147" s="9" t="s">
        <v>47</v>
      </c>
      <c r="C147" s="4" t="s">
        <v>23</v>
      </c>
      <c r="D147" s="4" t="s">
        <v>24</v>
      </c>
      <c r="E147" s="4" t="s">
        <v>7</v>
      </c>
      <c r="F147" s="4">
        <v>13</v>
      </c>
      <c r="G147" s="4">
        <v>12071</v>
      </c>
      <c r="H147" s="4">
        <v>0</v>
      </c>
      <c r="I147" s="7">
        <v>46032</v>
      </c>
      <c r="J147" s="7">
        <v>46036</v>
      </c>
      <c r="K147" s="4" t="s">
        <v>81</v>
      </c>
    </row>
    <row r="148" spans="1:11" x14ac:dyDescent="0.3">
      <c r="A148" s="9">
        <v>1066</v>
      </c>
      <c r="B148" s="9" t="s">
        <v>45</v>
      </c>
      <c r="C148" s="4" t="s">
        <v>27</v>
      </c>
      <c r="D148" s="4" t="s">
        <v>24</v>
      </c>
      <c r="E148" s="4" t="s">
        <v>43</v>
      </c>
      <c r="F148" s="4">
        <v>15</v>
      </c>
      <c r="G148" s="4">
        <v>11987</v>
      </c>
      <c r="H148" s="4">
        <v>5</v>
      </c>
      <c r="I148" s="7">
        <v>46082</v>
      </c>
      <c r="J148" s="7">
        <v>46083</v>
      </c>
      <c r="K148" s="4" t="s">
        <v>78</v>
      </c>
    </row>
    <row r="149" spans="1:11" x14ac:dyDescent="0.3">
      <c r="A149" s="9">
        <v>1295</v>
      </c>
      <c r="B149" s="9" t="s">
        <v>50</v>
      </c>
      <c r="C149" s="4" t="s">
        <v>38</v>
      </c>
      <c r="D149" s="4" t="s">
        <v>24</v>
      </c>
      <c r="E149" s="4" t="s">
        <v>8</v>
      </c>
      <c r="F149" s="4">
        <v>16</v>
      </c>
      <c r="G149" s="4">
        <v>11935</v>
      </c>
      <c r="H149" s="4">
        <v>12</v>
      </c>
      <c r="I149" s="7">
        <v>46157</v>
      </c>
      <c r="J149" s="7">
        <v>46162</v>
      </c>
      <c r="K149" s="4" t="s">
        <v>78</v>
      </c>
    </row>
    <row r="150" spans="1:11" x14ac:dyDescent="0.3">
      <c r="A150" s="9">
        <v>1103</v>
      </c>
      <c r="B150" s="9" t="s">
        <v>22</v>
      </c>
      <c r="C150" s="4" t="s">
        <v>19</v>
      </c>
      <c r="D150" s="4" t="s">
        <v>24</v>
      </c>
      <c r="E150" s="4" t="s">
        <v>10</v>
      </c>
      <c r="F150" s="4">
        <v>7</v>
      </c>
      <c r="G150" s="4">
        <v>11925</v>
      </c>
      <c r="H150" s="4">
        <v>5</v>
      </c>
      <c r="I150" s="7">
        <v>46040</v>
      </c>
      <c r="J150" s="7">
        <v>46041</v>
      </c>
      <c r="K150" s="4" t="s">
        <v>49</v>
      </c>
    </row>
    <row r="151" spans="1:11" x14ac:dyDescent="0.3">
      <c r="A151" s="9">
        <v>1350</v>
      </c>
      <c r="B151" s="9" t="s">
        <v>28</v>
      </c>
      <c r="C151" s="4" t="s">
        <v>42</v>
      </c>
      <c r="D151" s="4" t="s">
        <v>24</v>
      </c>
      <c r="E151" s="4" t="s">
        <v>8</v>
      </c>
      <c r="F151" s="4">
        <v>16</v>
      </c>
      <c r="G151" s="4">
        <v>11790</v>
      </c>
      <c r="H151" s="4">
        <v>12</v>
      </c>
      <c r="I151" s="7">
        <v>46185</v>
      </c>
      <c r="J151" s="7">
        <v>46190</v>
      </c>
      <c r="K151" s="4" t="s">
        <v>49</v>
      </c>
    </row>
    <row r="152" spans="1:11" x14ac:dyDescent="0.3">
      <c r="A152" s="9">
        <v>1048</v>
      </c>
      <c r="B152" s="9" t="s">
        <v>56</v>
      </c>
      <c r="C152" s="4" t="s">
        <v>27</v>
      </c>
      <c r="D152" s="4" t="s">
        <v>34</v>
      </c>
      <c r="E152" s="4" t="s">
        <v>9</v>
      </c>
      <c r="F152" s="4">
        <v>14</v>
      </c>
      <c r="G152" s="4">
        <v>11762</v>
      </c>
      <c r="H152" s="4">
        <v>7</v>
      </c>
      <c r="I152" s="7">
        <v>46180</v>
      </c>
      <c r="J152" s="7">
        <v>46186</v>
      </c>
      <c r="K152" s="4" t="s">
        <v>80</v>
      </c>
    </row>
    <row r="153" spans="1:11" x14ac:dyDescent="0.3">
      <c r="A153" s="9">
        <v>1004</v>
      </c>
      <c r="B153" s="9" t="s">
        <v>22</v>
      </c>
      <c r="C153" s="4" t="s">
        <v>27</v>
      </c>
      <c r="D153" s="4" t="s">
        <v>24</v>
      </c>
      <c r="E153" s="4" t="s">
        <v>10</v>
      </c>
      <c r="F153" s="4">
        <v>16</v>
      </c>
      <c r="G153" s="4">
        <v>11739</v>
      </c>
      <c r="H153" s="4">
        <v>12</v>
      </c>
      <c r="I153" s="7">
        <v>46034</v>
      </c>
      <c r="J153" s="7">
        <v>46040</v>
      </c>
      <c r="K153" s="4" t="s">
        <v>79</v>
      </c>
    </row>
    <row r="154" spans="1:11" x14ac:dyDescent="0.3">
      <c r="A154" s="9">
        <v>1127</v>
      </c>
      <c r="B154" s="9" t="s">
        <v>28</v>
      </c>
      <c r="C154" s="4" t="s">
        <v>33</v>
      </c>
      <c r="D154" s="4" t="s">
        <v>24</v>
      </c>
      <c r="E154" s="4" t="s">
        <v>8</v>
      </c>
      <c r="F154" s="4">
        <v>15</v>
      </c>
      <c r="G154" s="4">
        <v>11694</v>
      </c>
      <c r="H154" s="4">
        <v>12</v>
      </c>
      <c r="I154" s="7">
        <v>46170</v>
      </c>
      <c r="J154" s="7">
        <v>46179</v>
      </c>
      <c r="K154" s="4" t="s">
        <v>49</v>
      </c>
    </row>
    <row r="155" spans="1:11" x14ac:dyDescent="0.3">
      <c r="A155" s="9">
        <v>1388</v>
      </c>
      <c r="B155" s="9" t="s">
        <v>53</v>
      </c>
      <c r="C155" s="4" t="s">
        <v>31</v>
      </c>
      <c r="D155" s="4" t="s">
        <v>24</v>
      </c>
      <c r="E155" s="4" t="s">
        <v>8</v>
      </c>
      <c r="F155" s="4">
        <v>12</v>
      </c>
      <c r="G155" s="4">
        <v>11662</v>
      </c>
      <c r="H155" s="4">
        <v>12</v>
      </c>
      <c r="I155" s="7">
        <v>46094</v>
      </c>
      <c r="J155" s="7">
        <v>46096</v>
      </c>
      <c r="K155" s="4" t="s">
        <v>79</v>
      </c>
    </row>
    <row r="156" spans="1:11" x14ac:dyDescent="0.3">
      <c r="A156" s="9">
        <v>1022</v>
      </c>
      <c r="B156" s="9" t="s">
        <v>28</v>
      </c>
      <c r="C156" s="4" t="s">
        <v>23</v>
      </c>
      <c r="D156" s="4" t="s">
        <v>34</v>
      </c>
      <c r="E156" s="4" t="s">
        <v>6</v>
      </c>
      <c r="F156" s="4">
        <v>15</v>
      </c>
      <c r="G156" s="4">
        <v>11596</v>
      </c>
      <c r="H156" s="4">
        <v>0</v>
      </c>
      <c r="I156" s="7">
        <v>46117</v>
      </c>
      <c r="J156" s="7">
        <v>46121</v>
      </c>
      <c r="K156" s="4" t="s">
        <v>49</v>
      </c>
    </row>
    <row r="157" spans="1:11" x14ac:dyDescent="0.3">
      <c r="A157" s="9">
        <v>1243</v>
      </c>
      <c r="B157" s="9" t="s">
        <v>30</v>
      </c>
      <c r="C157" s="4" t="s">
        <v>31</v>
      </c>
      <c r="D157" s="4" t="s">
        <v>34</v>
      </c>
      <c r="E157" s="4" t="s">
        <v>40</v>
      </c>
      <c r="F157" s="4">
        <v>5</v>
      </c>
      <c r="G157" s="4">
        <v>11570</v>
      </c>
      <c r="H157" s="4">
        <v>15</v>
      </c>
      <c r="I157" s="7">
        <v>46069</v>
      </c>
      <c r="J157" s="7">
        <v>46077</v>
      </c>
      <c r="K157" s="4" t="s">
        <v>80</v>
      </c>
    </row>
    <row r="158" spans="1:11" x14ac:dyDescent="0.3">
      <c r="A158" s="9">
        <v>1293</v>
      </c>
      <c r="B158" s="9" t="s">
        <v>47</v>
      </c>
      <c r="C158" s="4" t="s">
        <v>42</v>
      </c>
      <c r="D158" s="4" t="s">
        <v>24</v>
      </c>
      <c r="E158" s="4" t="s">
        <v>10</v>
      </c>
      <c r="F158" s="4">
        <v>7</v>
      </c>
      <c r="G158" s="4">
        <v>11481</v>
      </c>
      <c r="H158" s="4">
        <v>15</v>
      </c>
      <c r="I158" s="7">
        <v>46045</v>
      </c>
      <c r="J158" s="7">
        <v>46050</v>
      </c>
      <c r="K158" s="4" t="s">
        <v>79</v>
      </c>
    </row>
    <row r="159" spans="1:11" x14ac:dyDescent="0.3">
      <c r="A159" s="9">
        <v>1032</v>
      </c>
      <c r="B159" s="9" t="s">
        <v>52</v>
      </c>
      <c r="C159" s="4" t="s">
        <v>42</v>
      </c>
      <c r="D159" s="4" t="s">
        <v>34</v>
      </c>
      <c r="E159" s="4" t="s">
        <v>5</v>
      </c>
      <c r="F159" s="4">
        <v>20</v>
      </c>
      <c r="G159" s="4">
        <v>11305</v>
      </c>
      <c r="H159" s="4">
        <v>2</v>
      </c>
      <c r="I159" s="7">
        <v>46163</v>
      </c>
      <c r="J159" s="7">
        <v>46165</v>
      </c>
      <c r="K159" s="4" t="s">
        <v>49</v>
      </c>
    </row>
    <row r="160" spans="1:11" x14ac:dyDescent="0.3">
      <c r="A160" s="9">
        <v>1067</v>
      </c>
      <c r="B160" s="9" t="s">
        <v>32</v>
      </c>
      <c r="C160" s="4" t="s">
        <v>42</v>
      </c>
      <c r="D160" s="4" t="s">
        <v>24</v>
      </c>
      <c r="E160" s="4" t="s">
        <v>11</v>
      </c>
      <c r="F160" s="4">
        <v>14</v>
      </c>
      <c r="G160" s="4">
        <v>10869</v>
      </c>
      <c r="H160" s="4">
        <v>0</v>
      </c>
      <c r="I160" s="7">
        <v>46058</v>
      </c>
      <c r="J160" s="7">
        <v>46062</v>
      </c>
      <c r="K160" s="4" t="s">
        <v>49</v>
      </c>
    </row>
    <row r="161" spans="1:11" x14ac:dyDescent="0.3">
      <c r="A161" s="9">
        <v>1313</v>
      </c>
      <c r="B161" s="9" t="s">
        <v>56</v>
      </c>
      <c r="C161" s="4" t="s">
        <v>26</v>
      </c>
      <c r="D161" s="4" t="s">
        <v>24</v>
      </c>
      <c r="E161" s="4" t="s">
        <v>11</v>
      </c>
      <c r="F161" s="4">
        <v>6</v>
      </c>
      <c r="G161" s="4">
        <v>10864</v>
      </c>
      <c r="H161" s="4">
        <v>10</v>
      </c>
      <c r="I161" s="7">
        <v>46041</v>
      </c>
      <c r="J161" s="7">
        <v>46049</v>
      </c>
      <c r="K161" s="4" t="s">
        <v>78</v>
      </c>
    </row>
    <row r="162" spans="1:11" x14ac:dyDescent="0.3">
      <c r="A162" s="9">
        <v>1398</v>
      </c>
      <c r="B162" s="9" t="s">
        <v>55</v>
      </c>
      <c r="C162" s="4" t="s">
        <v>42</v>
      </c>
      <c r="D162" s="4" t="s">
        <v>34</v>
      </c>
      <c r="E162" s="4" t="s">
        <v>5</v>
      </c>
      <c r="F162" s="4">
        <v>12</v>
      </c>
      <c r="G162" s="4">
        <v>10668</v>
      </c>
      <c r="H162" s="4">
        <v>0</v>
      </c>
      <c r="I162" s="7">
        <v>46170</v>
      </c>
      <c r="J162" s="7">
        <v>46176</v>
      </c>
      <c r="K162" s="4" t="s">
        <v>78</v>
      </c>
    </row>
    <row r="163" spans="1:11" x14ac:dyDescent="0.3">
      <c r="A163" s="9">
        <v>1258</v>
      </c>
      <c r="B163" s="9" t="s">
        <v>32</v>
      </c>
      <c r="C163" s="4" t="s">
        <v>31</v>
      </c>
      <c r="D163" s="4" t="s">
        <v>34</v>
      </c>
      <c r="E163" s="4" t="s">
        <v>9</v>
      </c>
      <c r="F163" s="4">
        <v>1</v>
      </c>
      <c r="G163" s="4">
        <v>10600</v>
      </c>
      <c r="H163" s="4">
        <v>5</v>
      </c>
      <c r="I163" s="7">
        <v>46137</v>
      </c>
      <c r="J163" s="7">
        <v>46138</v>
      </c>
      <c r="K163" s="4" t="s">
        <v>49</v>
      </c>
    </row>
    <row r="164" spans="1:11" x14ac:dyDescent="0.3">
      <c r="A164" s="9">
        <v>1362</v>
      </c>
      <c r="B164" s="9" t="s">
        <v>22</v>
      </c>
      <c r="C164" s="4" t="s">
        <v>19</v>
      </c>
      <c r="D164" s="4" t="s">
        <v>24</v>
      </c>
      <c r="E164" s="4" t="s">
        <v>8</v>
      </c>
      <c r="F164" s="4">
        <v>1</v>
      </c>
      <c r="G164" s="4">
        <v>10474</v>
      </c>
      <c r="H164" s="4">
        <v>0</v>
      </c>
      <c r="I164" s="7">
        <v>46094</v>
      </c>
      <c r="J164" s="7">
        <v>46096</v>
      </c>
      <c r="K164" s="4" t="s">
        <v>49</v>
      </c>
    </row>
    <row r="165" spans="1:11" x14ac:dyDescent="0.3">
      <c r="A165" s="9">
        <v>1395</v>
      </c>
      <c r="B165" s="9" t="s">
        <v>52</v>
      </c>
      <c r="C165" s="4" t="s">
        <v>33</v>
      </c>
      <c r="D165" s="4" t="s">
        <v>24</v>
      </c>
      <c r="E165" s="4" t="s">
        <v>43</v>
      </c>
      <c r="F165" s="4">
        <v>18</v>
      </c>
      <c r="G165" s="4">
        <v>10402</v>
      </c>
      <c r="H165" s="4">
        <v>15</v>
      </c>
      <c r="I165" s="7">
        <v>46062</v>
      </c>
      <c r="J165" s="7">
        <v>46067</v>
      </c>
      <c r="K165" s="4" t="s">
        <v>49</v>
      </c>
    </row>
    <row r="166" spans="1:11" x14ac:dyDescent="0.3">
      <c r="A166" s="9">
        <v>1179</v>
      </c>
      <c r="B166" s="9" t="s">
        <v>45</v>
      </c>
      <c r="C166" s="4" t="s">
        <v>23</v>
      </c>
      <c r="D166" s="4" t="s">
        <v>34</v>
      </c>
      <c r="E166" s="4" t="s">
        <v>5</v>
      </c>
      <c r="F166" s="4">
        <v>6</v>
      </c>
      <c r="G166" s="4">
        <v>10400</v>
      </c>
      <c r="H166" s="4">
        <v>2</v>
      </c>
      <c r="I166" s="7">
        <v>46155</v>
      </c>
      <c r="J166" s="7">
        <v>46158</v>
      </c>
      <c r="K166" s="4" t="s">
        <v>78</v>
      </c>
    </row>
    <row r="167" spans="1:11" x14ac:dyDescent="0.3">
      <c r="A167" s="9">
        <v>1188</v>
      </c>
      <c r="B167" s="9" t="s">
        <v>49</v>
      </c>
      <c r="C167" s="4" t="s">
        <v>26</v>
      </c>
      <c r="D167" s="4" t="s">
        <v>24</v>
      </c>
      <c r="E167" s="4" t="s">
        <v>11</v>
      </c>
      <c r="F167" s="4">
        <v>6</v>
      </c>
      <c r="G167" s="4">
        <v>10368</v>
      </c>
      <c r="H167" s="4">
        <v>7</v>
      </c>
      <c r="I167" s="7">
        <v>46137</v>
      </c>
      <c r="J167" s="7">
        <v>46142</v>
      </c>
      <c r="K167" s="4" t="s">
        <v>78</v>
      </c>
    </row>
    <row r="168" spans="1:11" x14ac:dyDescent="0.3">
      <c r="A168" s="9">
        <v>1231</v>
      </c>
      <c r="B168" s="9" t="s">
        <v>46</v>
      </c>
      <c r="C168" s="4" t="s">
        <v>38</v>
      </c>
      <c r="D168" s="4" t="s">
        <v>24</v>
      </c>
      <c r="E168" s="4" t="s">
        <v>7</v>
      </c>
      <c r="F168" s="4">
        <v>13</v>
      </c>
      <c r="G168" s="4">
        <v>10297</v>
      </c>
      <c r="H168" s="4">
        <v>12</v>
      </c>
      <c r="I168" s="7">
        <v>46178</v>
      </c>
      <c r="J168" s="7">
        <v>46186</v>
      </c>
      <c r="K168" s="4" t="s">
        <v>79</v>
      </c>
    </row>
    <row r="169" spans="1:11" x14ac:dyDescent="0.3">
      <c r="A169" s="9">
        <v>1153</v>
      </c>
      <c r="B169" s="9" t="s">
        <v>41</v>
      </c>
      <c r="C169" s="4" t="s">
        <v>27</v>
      </c>
      <c r="D169" s="4" t="s">
        <v>24</v>
      </c>
      <c r="E169" s="4" t="s">
        <v>10</v>
      </c>
      <c r="F169" s="4">
        <v>19</v>
      </c>
      <c r="G169" s="4">
        <v>10273</v>
      </c>
      <c r="H169" s="4">
        <v>12</v>
      </c>
      <c r="I169" s="7">
        <v>46069</v>
      </c>
      <c r="J169" s="7">
        <v>46072</v>
      </c>
      <c r="K169" s="4" t="s">
        <v>49</v>
      </c>
    </row>
    <row r="170" spans="1:11" x14ac:dyDescent="0.3">
      <c r="A170" s="9">
        <v>1190</v>
      </c>
      <c r="B170" s="9" t="s">
        <v>54</v>
      </c>
      <c r="C170" s="4" t="s">
        <v>23</v>
      </c>
      <c r="D170" s="4" t="s">
        <v>24</v>
      </c>
      <c r="E170" s="4" t="s">
        <v>8</v>
      </c>
      <c r="F170" s="4">
        <v>4</v>
      </c>
      <c r="G170" s="4">
        <v>10154</v>
      </c>
      <c r="H170" s="4">
        <v>7</v>
      </c>
      <c r="I170" s="7">
        <v>46052</v>
      </c>
      <c r="J170" s="7">
        <v>46062</v>
      </c>
      <c r="K170" s="4" t="s">
        <v>79</v>
      </c>
    </row>
    <row r="171" spans="1:11" x14ac:dyDescent="0.3">
      <c r="A171" s="9">
        <v>1047</v>
      </c>
      <c r="B171" s="9" t="s">
        <v>55</v>
      </c>
      <c r="C171" s="4" t="s">
        <v>38</v>
      </c>
      <c r="D171" s="4" t="s">
        <v>24</v>
      </c>
      <c r="E171" s="4" t="s">
        <v>11</v>
      </c>
      <c r="F171" s="4">
        <v>11</v>
      </c>
      <c r="G171" s="4">
        <v>9976</v>
      </c>
      <c r="H171" s="4">
        <v>12</v>
      </c>
      <c r="I171" s="7">
        <v>46200</v>
      </c>
      <c r="J171" s="7">
        <v>46209</v>
      </c>
      <c r="K171" s="4" t="s">
        <v>78</v>
      </c>
    </row>
    <row r="172" spans="1:11" x14ac:dyDescent="0.3">
      <c r="A172" s="9">
        <v>1316</v>
      </c>
      <c r="B172" s="9" t="s">
        <v>44</v>
      </c>
      <c r="C172" s="4" t="s">
        <v>19</v>
      </c>
      <c r="D172" s="4" t="s">
        <v>24</v>
      </c>
      <c r="E172" s="4" t="s">
        <v>8</v>
      </c>
      <c r="F172" s="4">
        <v>7</v>
      </c>
      <c r="G172" s="4">
        <v>9838</v>
      </c>
      <c r="H172" s="4">
        <v>7</v>
      </c>
      <c r="I172" s="7">
        <v>46078</v>
      </c>
      <c r="J172" s="7">
        <v>46085</v>
      </c>
      <c r="K172" s="4" t="s">
        <v>79</v>
      </c>
    </row>
    <row r="173" spans="1:11" x14ac:dyDescent="0.3">
      <c r="A173" s="9">
        <v>1054</v>
      </c>
      <c r="B173" s="9" t="s">
        <v>28</v>
      </c>
      <c r="C173" s="4" t="s">
        <v>27</v>
      </c>
      <c r="D173" s="4" t="s">
        <v>24</v>
      </c>
      <c r="E173" s="4" t="s">
        <v>10</v>
      </c>
      <c r="F173" s="4">
        <v>8</v>
      </c>
      <c r="G173" s="4">
        <v>9798</v>
      </c>
      <c r="H173" s="4">
        <v>12</v>
      </c>
      <c r="I173" s="7">
        <v>46200</v>
      </c>
      <c r="J173" s="7">
        <v>46201</v>
      </c>
      <c r="K173" s="4" t="s">
        <v>81</v>
      </c>
    </row>
    <row r="174" spans="1:11" x14ac:dyDescent="0.3">
      <c r="A174" s="9">
        <v>1056</v>
      </c>
      <c r="B174" s="9" t="s">
        <v>18</v>
      </c>
      <c r="C174" s="4" t="s">
        <v>26</v>
      </c>
      <c r="D174" s="4" t="s">
        <v>24</v>
      </c>
      <c r="E174" s="4" t="s">
        <v>7</v>
      </c>
      <c r="F174" s="4">
        <v>3</v>
      </c>
      <c r="G174" s="4">
        <v>9771</v>
      </c>
      <c r="H174" s="4">
        <v>5</v>
      </c>
      <c r="I174" s="7">
        <v>46133</v>
      </c>
      <c r="J174" s="7">
        <v>46139</v>
      </c>
      <c r="K174" s="4" t="s">
        <v>80</v>
      </c>
    </row>
    <row r="175" spans="1:11" x14ac:dyDescent="0.3">
      <c r="A175" s="9">
        <v>1053</v>
      </c>
      <c r="B175" s="9" t="s">
        <v>22</v>
      </c>
      <c r="C175" s="4" t="s">
        <v>33</v>
      </c>
      <c r="D175" s="4" t="s">
        <v>24</v>
      </c>
      <c r="E175" s="4" t="s">
        <v>8</v>
      </c>
      <c r="F175" s="4">
        <v>1</v>
      </c>
      <c r="G175" s="4">
        <v>9749</v>
      </c>
      <c r="H175" s="4">
        <v>15</v>
      </c>
      <c r="I175" s="7">
        <v>46064</v>
      </c>
      <c r="J175" s="7">
        <v>46070</v>
      </c>
      <c r="K175" s="4" t="s">
        <v>80</v>
      </c>
    </row>
    <row r="176" spans="1:11" x14ac:dyDescent="0.3">
      <c r="A176" s="9">
        <v>1060</v>
      </c>
      <c r="B176" s="9" t="s">
        <v>47</v>
      </c>
      <c r="C176" s="4" t="s">
        <v>19</v>
      </c>
      <c r="D176" s="4" t="s">
        <v>24</v>
      </c>
      <c r="E176" s="4" t="s">
        <v>43</v>
      </c>
      <c r="F176" s="4">
        <v>9</v>
      </c>
      <c r="G176" s="4">
        <v>9727</v>
      </c>
      <c r="H176" s="4">
        <v>2</v>
      </c>
      <c r="I176" s="7">
        <v>46024</v>
      </c>
      <c r="J176" s="7">
        <v>46030</v>
      </c>
      <c r="K176" s="4" t="s">
        <v>79</v>
      </c>
    </row>
    <row r="177" spans="1:11" x14ac:dyDescent="0.3">
      <c r="A177" s="9">
        <v>1147</v>
      </c>
      <c r="B177" s="9" t="s">
        <v>18</v>
      </c>
      <c r="C177" s="4" t="s">
        <v>26</v>
      </c>
      <c r="D177" s="4" t="s">
        <v>24</v>
      </c>
      <c r="E177" s="4" t="s">
        <v>8</v>
      </c>
      <c r="F177" s="4">
        <v>7</v>
      </c>
      <c r="G177" s="4">
        <v>9581</v>
      </c>
      <c r="H177" s="4">
        <v>5</v>
      </c>
      <c r="I177" s="7">
        <v>46154</v>
      </c>
      <c r="J177" s="7">
        <v>46155</v>
      </c>
      <c r="K177" s="4" t="s">
        <v>79</v>
      </c>
    </row>
    <row r="178" spans="1:11" x14ac:dyDescent="0.3">
      <c r="A178" s="9">
        <v>1372</v>
      </c>
      <c r="B178" s="9" t="s">
        <v>46</v>
      </c>
      <c r="C178" s="4" t="s">
        <v>23</v>
      </c>
      <c r="D178" s="4" t="s">
        <v>34</v>
      </c>
      <c r="E178" s="4" t="s">
        <v>5</v>
      </c>
      <c r="F178" s="4">
        <v>9</v>
      </c>
      <c r="G178" s="4">
        <v>9551</v>
      </c>
      <c r="H178" s="4">
        <v>10</v>
      </c>
      <c r="I178" s="7">
        <v>46161</v>
      </c>
      <c r="J178" s="7">
        <v>46168</v>
      </c>
      <c r="K178" s="4" t="s">
        <v>78</v>
      </c>
    </row>
    <row r="179" spans="1:11" x14ac:dyDescent="0.3">
      <c r="A179" s="9">
        <v>1057</v>
      </c>
      <c r="B179" s="9" t="s">
        <v>56</v>
      </c>
      <c r="C179" s="4" t="s">
        <v>26</v>
      </c>
      <c r="D179" s="4" t="s">
        <v>24</v>
      </c>
      <c r="E179" s="4" t="s">
        <v>8</v>
      </c>
      <c r="F179" s="4">
        <v>2</v>
      </c>
      <c r="G179" s="4">
        <v>9531</v>
      </c>
      <c r="H179" s="4">
        <v>15</v>
      </c>
      <c r="I179" s="7">
        <v>46067</v>
      </c>
      <c r="J179" s="7">
        <v>46076</v>
      </c>
      <c r="K179" s="4" t="s">
        <v>81</v>
      </c>
    </row>
    <row r="180" spans="1:11" x14ac:dyDescent="0.3">
      <c r="A180" s="9">
        <v>1035</v>
      </c>
      <c r="B180" s="9" t="s">
        <v>47</v>
      </c>
      <c r="C180" s="4" t="s">
        <v>42</v>
      </c>
      <c r="D180" s="4" t="s">
        <v>24</v>
      </c>
      <c r="E180" s="4" t="s">
        <v>11</v>
      </c>
      <c r="F180" s="4">
        <v>3</v>
      </c>
      <c r="G180" s="4">
        <v>9149</v>
      </c>
      <c r="H180" s="4">
        <v>0</v>
      </c>
      <c r="I180" s="7">
        <v>46031</v>
      </c>
      <c r="J180" s="7">
        <v>46034</v>
      </c>
      <c r="K180" s="4" t="s">
        <v>80</v>
      </c>
    </row>
    <row r="181" spans="1:11" x14ac:dyDescent="0.3">
      <c r="A181" s="9">
        <v>1118</v>
      </c>
      <c r="B181" s="9" t="s">
        <v>25</v>
      </c>
      <c r="C181" s="4" t="s">
        <v>26</v>
      </c>
      <c r="D181" s="4" t="s">
        <v>24</v>
      </c>
      <c r="E181" s="4" t="s">
        <v>10</v>
      </c>
      <c r="F181" s="4">
        <v>18</v>
      </c>
      <c r="G181" s="4">
        <v>9118</v>
      </c>
      <c r="H181" s="4">
        <v>5</v>
      </c>
      <c r="I181" s="7">
        <v>46178</v>
      </c>
      <c r="J181" s="7">
        <v>46187</v>
      </c>
      <c r="K181" s="4" t="s">
        <v>49</v>
      </c>
    </row>
    <row r="182" spans="1:11" x14ac:dyDescent="0.3">
      <c r="A182" s="9">
        <v>1322</v>
      </c>
      <c r="B182" s="9" t="s">
        <v>29</v>
      </c>
      <c r="C182" s="4" t="s">
        <v>19</v>
      </c>
      <c r="D182" s="4" t="s">
        <v>24</v>
      </c>
      <c r="E182" s="4" t="s">
        <v>10</v>
      </c>
      <c r="F182" s="4">
        <v>14</v>
      </c>
      <c r="G182" s="4">
        <v>9081</v>
      </c>
      <c r="H182" s="4">
        <v>15</v>
      </c>
      <c r="I182" s="7">
        <v>46141</v>
      </c>
      <c r="J182" s="7">
        <v>46146</v>
      </c>
      <c r="K182" s="4" t="s">
        <v>78</v>
      </c>
    </row>
    <row r="183" spans="1:11" x14ac:dyDescent="0.3">
      <c r="A183" s="9">
        <v>1133</v>
      </c>
      <c r="B183" s="9" t="s">
        <v>18</v>
      </c>
      <c r="C183" s="4" t="s">
        <v>19</v>
      </c>
      <c r="D183" s="4" t="s">
        <v>24</v>
      </c>
      <c r="E183" s="4" t="s">
        <v>11</v>
      </c>
      <c r="F183" s="4">
        <v>6</v>
      </c>
      <c r="G183" s="4">
        <v>9037</v>
      </c>
      <c r="H183" s="4">
        <v>2</v>
      </c>
      <c r="I183" s="7">
        <v>46112</v>
      </c>
      <c r="J183" s="7">
        <v>46121</v>
      </c>
      <c r="K183" s="4" t="s">
        <v>81</v>
      </c>
    </row>
    <row r="184" spans="1:11" x14ac:dyDescent="0.3">
      <c r="A184" s="9">
        <v>1397</v>
      </c>
      <c r="B184" s="9" t="s">
        <v>25</v>
      </c>
      <c r="C184" s="4" t="s">
        <v>33</v>
      </c>
      <c r="D184" s="4" t="s">
        <v>24</v>
      </c>
      <c r="E184" s="4" t="s">
        <v>10</v>
      </c>
      <c r="F184" s="4">
        <v>1</v>
      </c>
      <c r="G184" s="4">
        <v>8948</v>
      </c>
      <c r="H184" s="4">
        <v>5</v>
      </c>
      <c r="I184" s="7">
        <v>46194</v>
      </c>
      <c r="J184" s="7">
        <v>46201</v>
      </c>
      <c r="K184" s="4" t="s">
        <v>81</v>
      </c>
    </row>
    <row r="185" spans="1:11" x14ac:dyDescent="0.3">
      <c r="A185" s="9">
        <v>1220</v>
      </c>
      <c r="B185" s="9" t="s">
        <v>18</v>
      </c>
      <c r="C185" s="4" t="s">
        <v>27</v>
      </c>
      <c r="D185" s="4" t="s">
        <v>24</v>
      </c>
      <c r="E185" s="4" t="s">
        <v>11</v>
      </c>
      <c r="F185" s="4">
        <v>2</v>
      </c>
      <c r="G185" s="4">
        <v>8861</v>
      </c>
      <c r="H185" s="4">
        <v>2</v>
      </c>
      <c r="I185" s="7">
        <v>46170</v>
      </c>
      <c r="J185" s="7">
        <v>46174</v>
      </c>
      <c r="K185" s="4" t="s">
        <v>80</v>
      </c>
    </row>
    <row r="186" spans="1:11" x14ac:dyDescent="0.3">
      <c r="A186" s="9">
        <v>1299</v>
      </c>
      <c r="B186" s="9" t="s">
        <v>28</v>
      </c>
      <c r="C186" s="4" t="s">
        <v>23</v>
      </c>
      <c r="D186" s="4" t="s">
        <v>24</v>
      </c>
      <c r="E186" s="4" t="s">
        <v>11</v>
      </c>
      <c r="F186" s="4">
        <v>8</v>
      </c>
      <c r="G186" s="4">
        <v>8783</v>
      </c>
      <c r="H186" s="4">
        <v>2</v>
      </c>
      <c r="I186" s="7">
        <v>46123</v>
      </c>
      <c r="J186" s="7">
        <v>46132</v>
      </c>
      <c r="K186" s="4" t="s">
        <v>78</v>
      </c>
    </row>
    <row r="187" spans="1:11" x14ac:dyDescent="0.3">
      <c r="A187" s="9">
        <v>1191</v>
      </c>
      <c r="B187" s="9" t="s">
        <v>50</v>
      </c>
      <c r="C187" s="4" t="s">
        <v>33</v>
      </c>
      <c r="D187" s="4" t="s">
        <v>24</v>
      </c>
      <c r="E187" s="4" t="s">
        <v>11</v>
      </c>
      <c r="F187" s="4">
        <v>9</v>
      </c>
      <c r="G187" s="4">
        <v>8631</v>
      </c>
      <c r="H187" s="4">
        <v>10</v>
      </c>
      <c r="I187" s="7">
        <v>46149</v>
      </c>
      <c r="J187" s="7">
        <v>46156</v>
      </c>
      <c r="K187" s="4" t="s">
        <v>79</v>
      </c>
    </row>
    <row r="188" spans="1:11" x14ac:dyDescent="0.3">
      <c r="A188" s="9">
        <v>1302</v>
      </c>
      <c r="B188" s="9" t="s">
        <v>54</v>
      </c>
      <c r="C188" s="4" t="s">
        <v>19</v>
      </c>
      <c r="D188" s="4" t="s">
        <v>34</v>
      </c>
      <c r="E188" s="4" t="s">
        <v>35</v>
      </c>
      <c r="F188" s="4">
        <v>9</v>
      </c>
      <c r="G188" s="4">
        <v>8500</v>
      </c>
      <c r="H188" s="4">
        <v>15</v>
      </c>
      <c r="I188" s="7">
        <v>46163</v>
      </c>
      <c r="J188" s="7">
        <v>46172</v>
      </c>
      <c r="K188" s="4" t="s">
        <v>80</v>
      </c>
    </row>
    <row r="189" spans="1:11" x14ac:dyDescent="0.3">
      <c r="A189" s="9">
        <v>1002</v>
      </c>
      <c r="B189" s="9" t="s">
        <v>22</v>
      </c>
      <c r="C189" s="4" t="s">
        <v>23</v>
      </c>
      <c r="D189" s="4" t="s">
        <v>24</v>
      </c>
      <c r="E189" s="4" t="s">
        <v>7</v>
      </c>
      <c r="F189" s="4">
        <v>7</v>
      </c>
      <c r="G189" s="4">
        <v>8448</v>
      </c>
      <c r="H189" s="4">
        <v>12</v>
      </c>
      <c r="I189" s="7">
        <v>46174</v>
      </c>
      <c r="J189" s="7">
        <v>46179</v>
      </c>
      <c r="K189" s="4" t="s">
        <v>79</v>
      </c>
    </row>
    <row r="190" spans="1:11" x14ac:dyDescent="0.3">
      <c r="A190" s="9">
        <v>1062</v>
      </c>
      <c r="B190" s="9" t="s">
        <v>39</v>
      </c>
      <c r="C190" s="4" t="s">
        <v>42</v>
      </c>
      <c r="D190" s="4" t="s">
        <v>24</v>
      </c>
      <c r="E190" s="4" t="s">
        <v>10</v>
      </c>
      <c r="F190" s="4">
        <v>8</v>
      </c>
      <c r="G190" s="4">
        <v>8360</v>
      </c>
      <c r="H190" s="4">
        <v>2</v>
      </c>
      <c r="I190" s="7">
        <v>46190</v>
      </c>
      <c r="J190" s="7">
        <v>46200</v>
      </c>
      <c r="K190" s="4" t="s">
        <v>81</v>
      </c>
    </row>
    <row r="191" spans="1:11" x14ac:dyDescent="0.3">
      <c r="A191" s="9">
        <v>1189</v>
      </c>
      <c r="B191" s="9" t="s">
        <v>47</v>
      </c>
      <c r="C191" s="4" t="s">
        <v>31</v>
      </c>
      <c r="D191" s="4" t="s">
        <v>24</v>
      </c>
      <c r="E191" s="4" t="s">
        <v>11</v>
      </c>
      <c r="F191" s="4">
        <v>12</v>
      </c>
      <c r="G191" s="4">
        <v>8327</v>
      </c>
      <c r="H191" s="4">
        <v>10</v>
      </c>
      <c r="I191" s="7">
        <v>46184</v>
      </c>
      <c r="J191" s="7">
        <v>46185</v>
      </c>
      <c r="K191" s="4" t="s">
        <v>49</v>
      </c>
    </row>
    <row r="192" spans="1:11" x14ac:dyDescent="0.3">
      <c r="A192" s="9">
        <v>1093</v>
      </c>
      <c r="B192" s="9" t="s">
        <v>45</v>
      </c>
      <c r="C192" s="4" t="s">
        <v>27</v>
      </c>
      <c r="D192" s="4" t="s">
        <v>24</v>
      </c>
      <c r="E192" s="4" t="s">
        <v>10</v>
      </c>
      <c r="F192" s="4">
        <v>6</v>
      </c>
      <c r="G192" s="4">
        <v>8224</v>
      </c>
      <c r="H192" s="4">
        <v>15</v>
      </c>
      <c r="I192" s="7">
        <v>46175</v>
      </c>
      <c r="J192" s="7">
        <v>46185</v>
      </c>
      <c r="K192" s="4" t="s">
        <v>81</v>
      </c>
    </row>
    <row r="193" spans="1:11" x14ac:dyDescent="0.3">
      <c r="A193" s="9">
        <v>1152</v>
      </c>
      <c r="B193" s="9" t="s">
        <v>29</v>
      </c>
      <c r="C193" s="4" t="s">
        <v>31</v>
      </c>
      <c r="D193" s="4" t="s">
        <v>34</v>
      </c>
      <c r="E193" s="4" t="s">
        <v>12</v>
      </c>
      <c r="F193" s="4">
        <v>14</v>
      </c>
      <c r="G193" s="4">
        <v>8150</v>
      </c>
      <c r="H193" s="4">
        <v>10</v>
      </c>
      <c r="I193" s="7">
        <v>46062</v>
      </c>
      <c r="J193" s="7">
        <v>46070</v>
      </c>
      <c r="K193" s="4" t="s">
        <v>78</v>
      </c>
    </row>
    <row r="194" spans="1:11" x14ac:dyDescent="0.3">
      <c r="A194" s="9">
        <v>1025</v>
      </c>
      <c r="B194" s="9" t="s">
        <v>25</v>
      </c>
      <c r="C194" s="4" t="s">
        <v>19</v>
      </c>
      <c r="D194" s="4" t="s">
        <v>24</v>
      </c>
      <c r="E194" s="4" t="s">
        <v>7</v>
      </c>
      <c r="F194" s="4">
        <v>18</v>
      </c>
      <c r="G194" s="4">
        <v>7924</v>
      </c>
      <c r="H194" s="4">
        <v>0</v>
      </c>
      <c r="I194" s="7">
        <v>46175</v>
      </c>
      <c r="J194" s="7">
        <v>46181</v>
      </c>
      <c r="K194" s="4" t="s">
        <v>78</v>
      </c>
    </row>
    <row r="195" spans="1:11" x14ac:dyDescent="0.3">
      <c r="A195" s="9">
        <v>1065</v>
      </c>
      <c r="B195" s="9" t="s">
        <v>41</v>
      </c>
      <c r="C195" s="4" t="s">
        <v>42</v>
      </c>
      <c r="D195" s="4" t="s">
        <v>24</v>
      </c>
      <c r="E195" s="4" t="s">
        <v>43</v>
      </c>
      <c r="F195" s="4">
        <v>1</v>
      </c>
      <c r="G195" s="4">
        <v>7730</v>
      </c>
      <c r="H195" s="4">
        <v>5</v>
      </c>
      <c r="I195" s="7">
        <v>46192</v>
      </c>
      <c r="J195" s="7">
        <v>46195</v>
      </c>
      <c r="K195" s="4" t="s">
        <v>81</v>
      </c>
    </row>
    <row r="196" spans="1:11" x14ac:dyDescent="0.3">
      <c r="A196" s="9">
        <v>1390</v>
      </c>
      <c r="B196" s="9" t="s">
        <v>55</v>
      </c>
      <c r="C196" s="4" t="s">
        <v>42</v>
      </c>
      <c r="D196" s="4" t="s">
        <v>24</v>
      </c>
      <c r="E196" s="4" t="s">
        <v>7</v>
      </c>
      <c r="F196" s="4">
        <v>9</v>
      </c>
      <c r="G196" s="4">
        <v>7670</v>
      </c>
      <c r="H196" s="4">
        <v>0</v>
      </c>
      <c r="I196" s="7">
        <v>46076</v>
      </c>
      <c r="J196" s="7">
        <v>46081</v>
      </c>
      <c r="K196" s="4" t="s">
        <v>81</v>
      </c>
    </row>
    <row r="197" spans="1:11" x14ac:dyDescent="0.3">
      <c r="A197" s="9">
        <v>1208</v>
      </c>
      <c r="B197" s="9" t="s">
        <v>52</v>
      </c>
      <c r="C197" s="4" t="s">
        <v>42</v>
      </c>
      <c r="D197" s="4" t="s">
        <v>24</v>
      </c>
      <c r="E197" s="4" t="s">
        <v>43</v>
      </c>
      <c r="F197" s="4">
        <v>6</v>
      </c>
      <c r="G197" s="4">
        <v>7627</v>
      </c>
      <c r="H197" s="4">
        <v>10</v>
      </c>
      <c r="I197" s="7">
        <v>46042</v>
      </c>
      <c r="J197" s="7">
        <v>46047</v>
      </c>
      <c r="K197" s="4" t="s">
        <v>79</v>
      </c>
    </row>
    <row r="198" spans="1:11" x14ac:dyDescent="0.3">
      <c r="A198" s="9">
        <v>1307</v>
      </c>
      <c r="B198" s="9" t="s">
        <v>54</v>
      </c>
      <c r="C198" s="4" t="s">
        <v>42</v>
      </c>
      <c r="D198" s="4" t="s">
        <v>34</v>
      </c>
      <c r="E198" s="4" t="s">
        <v>35</v>
      </c>
      <c r="F198" s="4">
        <v>18</v>
      </c>
      <c r="G198" s="4">
        <v>7541</v>
      </c>
      <c r="H198" s="4">
        <v>12</v>
      </c>
      <c r="I198" s="7">
        <v>46048</v>
      </c>
      <c r="J198" s="7">
        <v>46051</v>
      </c>
      <c r="K198" s="4" t="s">
        <v>81</v>
      </c>
    </row>
    <row r="199" spans="1:11" x14ac:dyDescent="0.3">
      <c r="A199" s="9">
        <v>1040</v>
      </c>
      <c r="B199" s="9" t="s">
        <v>47</v>
      </c>
      <c r="C199" s="4" t="s">
        <v>38</v>
      </c>
      <c r="D199" s="4" t="s">
        <v>24</v>
      </c>
      <c r="E199" s="4" t="s">
        <v>8</v>
      </c>
      <c r="F199" s="4">
        <v>10</v>
      </c>
      <c r="G199" s="4">
        <v>7531</v>
      </c>
      <c r="H199" s="4">
        <v>2</v>
      </c>
      <c r="I199" s="7">
        <v>46171</v>
      </c>
      <c r="J199" s="7">
        <v>46178</v>
      </c>
      <c r="K199" s="4" t="s">
        <v>80</v>
      </c>
    </row>
    <row r="200" spans="1:11" x14ac:dyDescent="0.3">
      <c r="A200" s="9">
        <v>1386</v>
      </c>
      <c r="B200" s="9" t="s">
        <v>29</v>
      </c>
      <c r="C200" s="4" t="s">
        <v>31</v>
      </c>
      <c r="D200" s="4" t="s">
        <v>24</v>
      </c>
      <c r="E200" s="4" t="s">
        <v>8</v>
      </c>
      <c r="F200" s="4">
        <v>9</v>
      </c>
      <c r="G200" s="4">
        <v>7509</v>
      </c>
      <c r="H200" s="4">
        <v>5</v>
      </c>
      <c r="I200" s="7">
        <v>46162</v>
      </c>
      <c r="J200" s="7">
        <v>46171</v>
      </c>
      <c r="K200" s="4" t="s">
        <v>81</v>
      </c>
    </row>
    <row r="201" spans="1:11" x14ac:dyDescent="0.3">
      <c r="A201" s="9">
        <v>1177</v>
      </c>
      <c r="B201" s="9" t="s">
        <v>49</v>
      </c>
      <c r="C201" s="4" t="s">
        <v>26</v>
      </c>
      <c r="D201" s="4" t="s">
        <v>24</v>
      </c>
      <c r="E201" s="4" t="s">
        <v>7</v>
      </c>
      <c r="F201" s="4">
        <v>14</v>
      </c>
      <c r="G201" s="4">
        <v>7501</v>
      </c>
      <c r="H201" s="4">
        <v>7</v>
      </c>
      <c r="I201" s="7">
        <v>46169</v>
      </c>
      <c r="J201" s="7">
        <v>46179</v>
      </c>
      <c r="K201" s="4" t="s">
        <v>79</v>
      </c>
    </row>
    <row r="202" spans="1:11" x14ac:dyDescent="0.3">
      <c r="A202" s="9">
        <v>1381</v>
      </c>
      <c r="B202" s="9" t="s">
        <v>53</v>
      </c>
      <c r="C202" s="4" t="s">
        <v>33</v>
      </c>
      <c r="D202" s="4" t="s">
        <v>24</v>
      </c>
      <c r="E202" s="4" t="s">
        <v>8</v>
      </c>
      <c r="F202" s="4">
        <v>5</v>
      </c>
      <c r="G202" s="4">
        <v>7484</v>
      </c>
      <c r="H202" s="4">
        <v>2</v>
      </c>
      <c r="I202" s="7">
        <v>46089</v>
      </c>
      <c r="J202" s="7">
        <v>46093</v>
      </c>
      <c r="K202" s="4" t="s">
        <v>79</v>
      </c>
    </row>
    <row r="203" spans="1:11" x14ac:dyDescent="0.3">
      <c r="A203" s="9">
        <v>1094</v>
      </c>
      <c r="B203" s="9" t="s">
        <v>45</v>
      </c>
      <c r="C203" s="4" t="s">
        <v>42</v>
      </c>
      <c r="D203" s="4" t="s">
        <v>34</v>
      </c>
      <c r="E203" s="4" t="s">
        <v>12</v>
      </c>
      <c r="F203" s="4">
        <v>4</v>
      </c>
      <c r="G203" s="4">
        <v>7073</v>
      </c>
      <c r="H203" s="4">
        <v>0</v>
      </c>
      <c r="I203" s="7">
        <v>46101</v>
      </c>
      <c r="J203" s="7">
        <v>46105</v>
      </c>
      <c r="K203" s="4" t="s">
        <v>49</v>
      </c>
    </row>
    <row r="204" spans="1:11" x14ac:dyDescent="0.3">
      <c r="A204" s="9">
        <v>1301</v>
      </c>
      <c r="B204" s="9" t="s">
        <v>52</v>
      </c>
      <c r="C204" s="4" t="s">
        <v>23</v>
      </c>
      <c r="D204" s="4" t="s">
        <v>24</v>
      </c>
      <c r="E204" s="4" t="s">
        <v>8</v>
      </c>
      <c r="F204" s="4">
        <v>3</v>
      </c>
      <c r="G204" s="4">
        <v>7020</v>
      </c>
      <c r="H204" s="4">
        <v>10</v>
      </c>
      <c r="I204" s="7">
        <v>46028</v>
      </c>
      <c r="J204" s="7">
        <v>46038</v>
      </c>
      <c r="K204" s="4" t="s">
        <v>80</v>
      </c>
    </row>
    <row r="205" spans="1:11" x14ac:dyDescent="0.3">
      <c r="A205" s="9">
        <v>1346</v>
      </c>
      <c r="B205" s="9" t="s">
        <v>32</v>
      </c>
      <c r="C205" s="4" t="s">
        <v>26</v>
      </c>
      <c r="D205" s="4" t="s">
        <v>24</v>
      </c>
      <c r="E205" s="4" t="s">
        <v>7</v>
      </c>
      <c r="F205" s="4">
        <v>16</v>
      </c>
      <c r="G205" s="4">
        <v>6910</v>
      </c>
      <c r="H205" s="4">
        <v>15</v>
      </c>
      <c r="I205" s="7">
        <v>46140</v>
      </c>
      <c r="J205" s="7">
        <v>46142</v>
      </c>
      <c r="K205" s="4" t="s">
        <v>49</v>
      </c>
    </row>
    <row r="206" spans="1:11" x14ac:dyDescent="0.3">
      <c r="A206" s="9">
        <v>1084</v>
      </c>
      <c r="B206" s="9" t="s">
        <v>47</v>
      </c>
      <c r="C206" s="4" t="s">
        <v>31</v>
      </c>
      <c r="D206" s="4" t="s">
        <v>24</v>
      </c>
      <c r="E206" s="4" t="s">
        <v>8</v>
      </c>
      <c r="F206" s="4">
        <v>4</v>
      </c>
      <c r="G206" s="4">
        <v>6901</v>
      </c>
      <c r="H206" s="4">
        <v>10</v>
      </c>
      <c r="I206" s="7">
        <v>46047</v>
      </c>
      <c r="J206" s="7">
        <v>46057</v>
      </c>
      <c r="K206" s="4" t="s">
        <v>79</v>
      </c>
    </row>
    <row r="207" spans="1:11" x14ac:dyDescent="0.3">
      <c r="A207" s="9">
        <v>1141</v>
      </c>
      <c r="B207" s="9" t="s">
        <v>18</v>
      </c>
      <c r="C207" s="4" t="s">
        <v>23</v>
      </c>
      <c r="D207" s="4" t="s">
        <v>24</v>
      </c>
      <c r="E207" s="4" t="s">
        <v>43</v>
      </c>
      <c r="F207" s="4">
        <v>20</v>
      </c>
      <c r="G207" s="4">
        <v>6835</v>
      </c>
      <c r="H207" s="4">
        <v>2</v>
      </c>
      <c r="I207" s="7">
        <v>46043</v>
      </c>
      <c r="J207" s="7">
        <v>46053</v>
      </c>
      <c r="K207" s="4" t="s">
        <v>78</v>
      </c>
    </row>
    <row r="208" spans="1:11" x14ac:dyDescent="0.3">
      <c r="A208" s="9">
        <v>1110</v>
      </c>
      <c r="B208" s="9" t="s">
        <v>47</v>
      </c>
      <c r="C208" s="4" t="s">
        <v>38</v>
      </c>
      <c r="D208" s="4" t="s">
        <v>24</v>
      </c>
      <c r="E208" s="4" t="s">
        <v>10</v>
      </c>
      <c r="F208" s="4">
        <v>14</v>
      </c>
      <c r="G208" s="4">
        <v>6793</v>
      </c>
      <c r="H208" s="4">
        <v>7</v>
      </c>
      <c r="I208" s="7">
        <v>46077</v>
      </c>
      <c r="J208" s="7">
        <v>46082</v>
      </c>
      <c r="K208" s="4" t="s">
        <v>49</v>
      </c>
    </row>
    <row r="209" spans="1:11" x14ac:dyDescent="0.3">
      <c r="A209" s="9">
        <v>1113</v>
      </c>
      <c r="B209" s="9" t="s">
        <v>28</v>
      </c>
      <c r="C209" s="4" t="s">
        <v>42</v>
      </c>
      <c r="D209" s="4" t="s">
        <v>24</v>
      </c>
      <c r="E209" s="4" t="s">
        <v>11</v>
      </c>
      <c r="F209" s="4">
        <v>13</v>
      </c>
      <c r="G209" s="4">
        <v>6719</v>
      </c>
      <c r="H209" s="4">
        <v>15</v>
      </c>
      <c r="I209" s="7">
        <v>46076</v>
      </c>
      <c r="J209" s="7">
        <v>46081</v>
      </c>
      <c r="K209" s="4" t="s">
        <v>80</v>
      </c>
    </row>
    <row r="210" spans="1:11" x14ac:dyDescent="0.3">
      <c r="A210" s="9">
        <v>1203</v>
      </c>
      <c r="B210" s="9" t="s">
        <v>39</v>
      </c>
      <c r="C210" s="4" t="s">
        <v>26</v>
      </c>
      <c r="D210" s="4" t="s">
        <v>24</v>
      </c>
      <c r="E210" s="4" t="s">
        <v>10</v>
      </c>
      <c r="F210" s="4">
        <v>17</v>
      </c>
      <c r="G210" s="4">
        <v>6695</v>
      </c>
      <c r="H210" s="4">
        <v>2</v>
      </c>
      <c r="I210" s="7">
        <v>46119</v>
      </c>
      <c r="J210" s="7">
        <v>46122</v>
      </c>
      <c r="K210" s="4" t="s">
        <v>81</v>
      </c>
    </row>
    <row r="211" spans="1:11" x14ac:dyDescent="0.3">
      <c r="A211" s="9">
        <v>1360</v>
      </c>
      <c r="B211" s="9" t="s">
        <v>18</v>
      </c>
      <c r="C211" s="4" t="s">
        <v>42</v>
      </c>
      <c r="D211" s="4" t="s">
        <v>24</v>
      </c>
      <c r="E211" s="4" t="s">
        <v>10</v>
      </c>
      <c r="F211" s="4">
        <v>19</v>
      </c>
      <c r="G211" s="4">
        <v>6681</v>
      </c>
      <c r="H211" s="4">
        <v>2</v>
      </c>
      <c r="I211" s="7">
        <v>46146</v>
      </c>
      <c r="J211" s="7">
        <v>46150</v>
      </c>
      <c r="K211" s="4" t="s">
        <v>78</v>
      </c>
    </row>
    <row r="212" spans="1:11" x14ac:dyDescent="0.3">
      <c r="A212" s="9">
        <v>1358</v>
      </c>
      <c r="B212" s="9" t="s">
        <v>39</v>
      </c>
      <c r="C212" s="4" t="s">
        <v>38</v>
      </c>
      <c r="D212" s="4" t="s">
        <v>24</v>
      </c>
      <c r="E212" s="4" t="s">
        <v>7</v>
      </c>
      <c r="F212" s="4">
        <v>7</v>
      </c>
      <c r="G212" s="4">
        <v>6618</v>
      </c>
      <c r="H212" s="4">
        <v>0</v>
      </c>
      <c r="I212" s="7">
        <v>46127</v>
      </c>
      <c r="J212" s="7">
        <v>46129</v>
      </c>
      <c r="K212" s="4" t="s">
        <v>79</v>
      </c>
    </row>
    <row r="213" spans="1:11" x14ac:dyDescent="0.3">
      <c r="A213" s="9">
        <v>1109</v>
      </c>
      <c r="B213" s="9" t="s">
        <v>25</v>
      </c>
      <c r="C213" s="4" t="s">
        <v>31</v>
      </c>
      <c r="D213" s="4" t="s">
        <v>24</v>
      </c>
      <c r="E213" s="4" t="s">
        <v>43</v>
      </c>
      <c r="F213" s="4">
        <v>19</v>
      </c>
      <c r="G213" s="4">
        <v>6512</v>
      </c>
      <c r="H213" s="4">
        <v>10</v>
      </c>
      <c r="I213" s="7">
        <v>46033</v>
      </c>
      <c r="J213" s="7">
        <v>46037</v>
      </c>
      <c r="K213" s="4" t="s">
        <v>79</v>
      </c>
    </row>
    <row r="214" spans="1:11" x14ac:dyDescent="0.3">
      <c r="A214" s="9">
        <v>1341</v>
      </c>
      <c r="B214" s="9" t="s">
        <v>54</v>
      </c>
      <c r="C214" s="4" t="s">
        <v>38</v>
      </c>
      <c r="D214" s="4" t="s">
        <v>24</v>
      </c>
      <c r="E214" s="4" t="s">
        <v>7</v>
      </c>
      <c r="F214" s="4">
        <v>19</v>
      </c>
      <c r="G214" s="4">
        <v>6488</v>
      </c>
      <c r="H214" s="4">
        <v>15</v>
      </c>
      <c r="I214" s="7">
        <v>46026</v>
      </c>
      <c r="J214" s="7">
        <v>46030</v>
      </c>
      <c r="K214" s="4" t="s">
        <v>79</v>
      </c>
    </row>
    <row r="215" spans="1:11" x14ac:dyDescent="0.3">
      <c r="A215" s="9">
        <v>1264</v>
      </c>
      <c r="B215" s="9" t="s">
        <v>18</v>
      </c>
      <c r="C215" s="4" t="s">
        <v>26</v>
      </c>
      <c r="D215" s="4" t="s">
        <v>24</v>
      </c>
      <c r="E215" s="4" t="s">
        <v>8</v>
      </c>
      <c r="F215" s="4">
        <v>15</v>
      </c>
      <c r="G215" s="4">
        <v>6365</v>
      </c>
      <c r="H215" s="4">
        <v>10</v>
      </c>
      <c r="I215" s="7">
        <v>46200</v>
      </c>
      <c r="J215" s="7">
        <v>46206</v>
      </c>
      <c r="K215" s="4" t="s">
        <v>79</v>
      </c>
    </row>
    <row r="216" spans="1:11" x14ac:dyDescent="0.3">
      <c r="A216" s="9">
        <v>1249</v>
      </c>
      <c r="B216" s="9" t="s">
        <v>22</v>
      </c>
      <c r="C216" s="4" t="s">
        <v>27</v>
      </c>
      <c r="D216" s="4" t="s">
        <v>34</v>
      </c>
      <c r="E216" s="4" t="s">
        <v>40</v>
      </c>
      <c r="F216" s="4">
        <v>18</v>
      </c>
      <c r="G216" s="4">
        <v>6360</v>
      </c>
      <c r="H216" s="4">
        <v>12</v>
      </c>
      <c r="I216" s="7">
        <v>46163</v>
      </c>
      <c r="J216" s="7">
        <v>46165</v>
      </c>
      <c r="K216" s="4" t="s">
        <v>79</v>
      </c>
    </row>
    <row r="217" spans="1:11" x14ac:dyDescent="0.3">
      <c r="A217" s="9">
        <v>1244</v>
      </c>
      <c r="B217" s="9" t="s">
        <v>54</v>
      </c>
      <c r="C217" s="4" t="s">
        <v>38</v>
      </c>
      <c r="D217" s="4" t="s">
        <v>24</v>
      </c>
      <c r="E217" s="4" t="s">
        <v>8</v>
      </c>
      <c r="F217" s="4">
        <v>10</v>
      </c>
      <c r="G217" s="4">
        <v>6339</v>
      </c>
      <c r="H217" s="4">
        <v>12</v>
      </c>
      <c r="I217" s="7">
        <v>46200</v>
      </c>
      <c r="J217" s="7">
        <v>46205</v>
      </c>
      <c r="K217" s="4" t="s">
        <v>78</v>
      </c>
    </row>
    <row r="218" spans="1:11" x14ac:dyDescent="0.3">
      <c r="A218" s="9">
        <v>1314</v>
      </c>
      <c r="B218" s="9" t="s">
        <v>50</v>
      </c>
      <c r="C218" s="4" t="s">
        <v>33</v>
      </c>
      <c r="D218" s="4" t="s">
        <v>24</v>
      </c>
      <c r="E218" s="4" t="s">
        <v>7</v>
      </c>
      <c r="F218" s="4">
        <v>10</v>
      </c>
      <c r="G218" s="4">
        <v>6328</v>
      </c>
      <c r="H218" s="4">
        <v>2</v>
      </c>
      <c r="I218" s="7">
        <v>46196</v>
      </c>
      <c r="J218" s="7">
        <v>46197</v>
      </c>
      <c r="K218" s="4" t="s">
        <v>49</v>
      </c>
    </row>
    <row r="219" spans="1:11" x14ac:dyDescent="0.3">
      <c r="A219" s="9">
        <v>1154</v>
      </c>
      <c r="B219" s="9" t="s">
        <v>32</v>
      </c>
      <c r="C219" s="4" t="s">
        <v>23</v>
      </c>
      <c r="D219" s="4" t="s">
        <v>24</v>
      </c>
      <c r="E219" s="4" t="s">
        <v>11</v>
      </c>
      <c r="F219" s="4">
        <v>15</v>
      </c>
      <c r="G219" s="4">
        <v>6101</v>
      </c>
      <c r="H219" s="4">
        <v>0</v>
      </c>
      <c r="I219" s="7">
        <v>46178</v>
      </c>
      <c r="J219" s="7">
        <v>46183</v>
      </c>
      <c r="K219" s="4" t="s">
        <v>81</v>
      </c>
    </row>
    <row r="220" spans="1:11" x14ac:dyDescent="0.3">
      <c r="A220" s="9">
        <v>1347</v>
      </c>
      <c r="B220" s="9" t="s">
        <v>49</v>
      </c>
      <c r="C220" s="4" t="s">
        <v>26</v>
      </c>
      <c r="D220" s="4" t="s">
        <v>34</v>
      </c>
      <c r="E220" s="4" t="s">
        <v>35</v>
      </c>
      <c r="F220" s="4">
        <v>16</v>
      </c>
      <c r="G220" s="4">
        <v>6034</v>
      </c>
      <c r="H220" s="4">
        <v>15</v>
      </c>
      <c r="I220" s="7">
        <v>46037</v>
      </c>
      <c r="J220" s="7">
        <v>46044</v>
      </c>
      <c r="K220" s="4" t="s">
        <v>80</v>
      </c>
    </row>
    <row r="221" spans="1:11" x14ac:dyDescent="0.3">
      <c r="A221" s="9">
        <v>1211</v>
      </c>
      <c r="B221" s="9" t="s">
        <v>46</v>
      </c>
      <c r="C221" s="4" t="s">
        <v>23</v>
      </c>
      <c r="D221" s="4" t="s">
        <v>34</v>
      </c>
      <c r="E221" s="4" t="s">
        <v>35</v>
      </c>
      <c r="F221" s="4">
        <v>3</v>
      </c>
      <c r="G221" s="4">
        <v>5962</v>
      </c>
      <c r="H221" s="4">
        <v>7</v>
      </c>
      <c r="I221" s="7">
        <v>46175</v>
      </c>
      <c r="J221" s="7">
        <v>46183</v>
      </c>
      <c r="K221" s="4" t="s">
        <v>78</v>
      </c>
    </row>
    <row r="222" spans="1:11" x14ac:dyDescent="0.3">
      <c r="A222" s="9">
        <v>1229</v>
      </c>
      <c r="B222" s="9" t="s">
        <v>54</v>
      </c>
      <c r="C222" s="4" t="s">
        <v>19</v>
      </c>
      <c r="D222" s="4" t="s">
        <v>24</v>
      </c>
      <c r="E222" s="4" t="s">
        <v>11</v>
      </c>
      <c r="F222" s="4">
        <v>14</v>
      </c>
      <c r="G222" s="4">
        <v>5859</v>
      </c>
      <c r="H222" s="4">
        <v>12</v>
      </c>
      <c r="I222" s="7">
        <v>46027</v>
      </c>
      <c r="J222" s="7">
        <v>46036</v>
      </c>
      <c r="K222" s="4" t="s">
        <v>79</v>
      </c>
    </row>
    <row r="223" spans="1:11" x14ac:dyDescent="0.3">
      <c r="A223" s="9">
        <v>1369</v>
      </c>
      <c r="B223" s="9" t="s">
        <v>54</v>
      </c>
      <c r="C223" s="4" t="s">
        <v>27</v>
      </c>
      <c r="D223" s="4" t="s">
        <v>24</v>
      </c>
      <c r="E223" s="4" t="s">
        <v>7</v>
      </c>
      <c r="F223" s="4">
        <v>19</v>
      </c>
      <c r="G223" s="4">
        <v>5840</v>
      </c>
      <c r="H223" s="4">
        <v>5</v>
      </c>
      <c r="I223" s="7">
        <v>46062</v>
      </c>
      <c r="J223" s="7">
        <v>46067</v>
      </c>
      <c r="K223" s="4" t="s">
        <v>78</v>
      </c>
    </row>
    <row r="224" spans="1:11" x14ac:dyDescent="0.3">
      <c r="A224" s="9">
        <v>1269</v>
      </c>
      <c r="B224" s="9" t="s">
        <v>50</v>
      </c>
      <c r="C224" s="4" t="s">
        <v>42</v>
      </c>
      <c r="D224" s="4" t="s">
        <v>24</v>
      </c>
      <c r="E224" s="4" t="s">
        <v>7</v>
      </c>
      <c r="F224" s="4">
        <v>14</v>
      </c>
      <c r="G224" s="4">
        <v>5704</v>
      </c>
      <c r="H224" s="4">
        <v>2</v>
      </c>
      <c r="I224" s="7">
        <v>46129</v>
      </c>
      <c r="J224" s="7">
        <v>46131</v>
      </c>
      <c r="K224" s="4" t="s">
        <v>78</v>
      </c>
    </row>
    <row r="225" spans="1:11" x14ac:dyDescent="0.3">
      <c r="A225" s="9">
        <v>1336</v>
      </c>
      <c r="B225" s="9" t="s">
        <v>22</v>
      </c>
      <c r="C225" s="4" t="s">
        <v>27</v>
      </c>
      <c r="D225" s="4" t="s">
        <v>24</v>
      </c>
      <c r="E225" s="4" t="s">
        <v>11</v>
      </c>
      <c r="F225" s="4">
        <v>10</v>
      </c>
      <c r="G225" s="4">
        <v>5624</v>
      </c>
      <c r="H225" s="4">
        <v>0</v>
      </c>
      <c r="I225" s="7">
        <v>46086</v>
      </c>
      <c r="J225" s="7">
        <v>46092</v>
      </c>
      <c r="K225" s="4" t="s">
        <v>49</v>
      </c>
    </row>
    <row r="226" spans="1:11" x14ac:dyDescent="0.3">
      <c r="A226" s="9">
        <v>1321</v>
      </c>
      <c r="B226" s="9" t="s">
        <v>32</v>
      </c>
      <c r="C226" s="4" t="s">
        <v>26</v>
      </c>
      <c r="D226" s="4" t="s">
        <v>24</v>
      </c>
      <c r="E226" s="4" t="s">
        <v>7</v>
      </c>
      <c r="F226" s="4">
        <v>8</v>
      </c>
      <c r="G226" s="4">
        <v>5619</v>
      </c>
      <c r="H226" s="4">
        <v>7</v>
      </c>
      <c r="I226" s="7">
        <v>46107</v>
      </c>
      <c r="J226" s="7">
        <v>46109</v>
      </c>
      <c r="K226" s="4" t="s">
        <v>81</v>
      </c>
    </row>
    <row r="227" spans="1:11" x14ac:dyDescent="0.3">
      <c r="A227" s="9">
        <v>1058</v>
      </c>
      <c r="B227" s="9" t="s">
        <v>50</v>
      </c>
      <c r="C227" s="4" t="s">
        <v>38</v>
      </c>
      <c r="D227" s="4" t="s">
        <v>24</v>
      </c>
      <c r="E227" s="4" t="s">
        <v>8</v>
      </c>
      <c r="F227" s="4">
        <v>10</v>
      </c>
      <c r="G227" s="4">
        <v>5532</v>
      </c>
      <c r="H227" s="4">
        <v>7</v>
      </c>
      <c r="I227" s="7">
        <v>46074</v>
      </c>
      <c r="J227" s="7">
        <v>46084</v>
      </c>
      <c r="K227" s="4" t="s">
        <v>80</v>
      </c>
    </row>
    <row r="228" spans="1:11" x14ac:dyDescent="0.3">
      <c r="A228" s="9">
        <v>1377</v>
      </c>
      <c r="B228" s="9" t="s">
        <v>32</v>
      </c>
      <c r="C228" s="4" t="s">
        <v>38</v>
      </c>
      <c r="D228" s="4" t="s">
        <v>24</v>
      </c>
      <c r="E228" s="4" t="s">
        <v>7</v>
      </c>
      <c r="F228" s="4">
        <v>3</v>
      </c>
      <c r="G228" s="4">
        <v>5480</v>
      </c>
      <c r="H228" s="4">
        <v>12</v>
      </c>
      <c r="I228" s="7">
        <v>46105</v>
      </c>
      <c r="J228" s="7">
        <v>46111</v>
      </c>
      <c r="K228" s="4" t="s">
        <v>80</v>
      </c>
    </row>
    <row r="229" spans="1:11" x14ac:dyDescent="0.3">
      <c r="A229" s="9">
        <v>1240</v>
      </c>
      <c r="B229" s="9" t="s">
        <v>53</v>
      </c>
      <c r="C229" s="4" t="s">
        <v>33</v>
      </c>
      <c r="D229" s="4" t="s">
        <v>24</v>
      </c>
      <c r="E229" s="4" t="s">
        <v>10</v>
      </c>
      <c r="F229" s="4">
        <v>2</v>
      </c>
      <c r="G229" s="4">
        <v>5475</v>
      </c>
      <c r="H229" s="4">
        <v>2</v>
      </c>
      <c r="I229" s="7">
        <v>46142</v>
      </c>
      <c r="J229" s="7">
        <v>46146</v>
      </c>
      <c r="K229" s="4" t="s">
        <v>49</v>
      </c>
    </row>
    <row r="230" spans="1:11" x14ac:dyDescent="0.3">
      <c r="A230" s="9">
        <v>1150</v>
      </c>
      <c r="B230" s="9" t="s">
        <v>41</v>
      </c>
      <c r="C230" s="4" t="s">
        <v>19</v>
      </c>
      <c r="D230" s="4" t="s">
        <v>24</v>
      </c>
      <c r="E230" s="4" t="s">
        <v>11</v>
      </c>
      <c r="F230" s="4">
        <v>10</v>
      </c>
      <c r="G230" s="4">
        <v>5323</v>
      </c>
      <c r="H230" s="4">
        <v>7</v>
      </c>
      <c r="I230" s="7">
        <v>46143</v>
      </c>
      <c r="J230" s="7">
        <v>46153</v>
      </c>
      <c r="K230" s="4" t="s">
        <v>80</v>
      </c>
    </row>
    <row r="231" spans="1:11" x14ac:dyDescent="0.3">
      <c r="A231" s="9">
        <v>1303</v>
      </c>
      <c r="B231" s="9" t="s">
        <v>54</v>
      </c>
      <c r="C231" s="4" t="s">
        <v>38</v>
      </c>
      <c r="D231" s="4" t="s">
        <v>34</v>
      </c>
      <c r="E231" s="4" t="s">
        <v>35</v>
      </c>
      <c r="F231" s="4">
        <v>13</v>
      </c>
      <c r="G231" s="4">
        <v>5170</v>
      </c>
      <c r="H231" s="4">
        <v>2</v>
      </c>
      <c r="I231" s="7">
        <v>46124</v>
      </c>
      <c r="J231" s="7">
        <v>46127</v>
      </c>
      <c r="K231" s="4" t="s">
        <v>78</v>
      </c>
    </row>
    <row r="232" spans="1:11" x14ac:dyDescent="0.3">
      <c r="A232" s="9">
        <v>1099</v>
      </c>
      <c r="B232" s="9" t="s">
        <v>28</v>
      </c>
      <c r="C232" s="4" t="s">
        <v>31</v>
      </c>
      <c r="D232" s="4" t="s">
        <v>24</v>
      </c>
      <c r="E232" s="4" t="s">
        <v>7</v>
      </c>
      <c r="F232" s="4">
        <v>1</v>
      </c>
      <c r="G232" s="4">
        <v>5165</v>
      </c>
      <c r="H232" s="4">
        <v>2</v>
      </c>
      <c r="I232" s="7">
        <v>46058</v>
      </c>
      <c r="J232" s="7">
        <v>46060</v>
      </c>
      <c r="K232" s="4" t="s">
        <v>78</v>
      </c>
    </row>
    <row r="233" spans="1:11" x14ac:dyDescent="0.3">
      <c r="A233" s="9">
        <v>1034</v>
      </c>
      <c r="B233" s="9" t="s">
        <v>53</v>
      </c>
      <c r="C233" s="4" t="s">
        <v>33</v>
      </c>
      <c r="D233" s="4" t="s">
        <v>24</v>
      </c>
      <c r="E233" s="4" t="s">
        <v>8</v>
      </c>
      <c r="F233" s="4">
        <v>17</v>
      </c>
      <c r="G233" s="4">
        <v>5104</v>
      </c>
      <c r="H233" s="4">
        <v>12</v>
      </c>
      <c r="I233" s="7">
        <v>46052</v>
      </c>
      <c r="J233" s="7">
        <v>46061</v>
      </c>
      <c r="K233" s="4" t="s">
        <v>81</v>
      </c>
    </row>
    <row r="234" spans="1:11" x14ac:dyDescent="0.3">
      <c r="A234" s="9">
        <v>1128</v>
      </c>
      <c r="B234" s="9" t="s">
        <v>30</v>
      </c>
      <c r="C234" s="4" t="s">
        <v>26</v>
      </c>
      <c r="D234" s="4" t="s">
        <v>34</v>
      </c>
      <c r="E234" s="4" t="s">
        <v>12</v>
      </c>
      <c r="F234" s="4">
        <v>6</v>
      </c>
      <c r="G234" s="4">
        <v>5001</v>
      </c>
      <c r="H234" s="4">
        <v>7</v>
      </c>
      <c r="I234" s="7">
        <v>46044</v>
      </c>
      <c r="J234" s="7">
        <v>46050</v>
      </c>
      <c r="K234" s="4" t="s">
        <v>49</v>
      </c>
    </row>
    <row r="235" spans="1:11" x14ac:dyDescent="0.3">
      <c r="A235" s="9">
        <v>1033</v>
      </c>
      <c r="B235" s="9" t="s">
        <v>18</v>
      </c>
      <c r="C235" s="4" t="s">
        <v>42</v>
      </c>
      <c r="D235" s="4" t="s">
        <v>24</v>
      </c>
      <c r="E235" s="4" t="s">
        <v>7</v>
      </c>
      <c r="F235" s="4">
        <v>9</v>
      </c>
      <c r="G235" s="4">
        <v>4895</v>
      </c>
      <c r="H235" s="4">
        <v>2</v>
      </c>
      <c r="I235" s="7">
        <v>46082</v>
      </c>
      <c r="J235" s="7">
        <v>46084</v>
      </c>
      <c r="K235" s="4" t="s">
        <v>49</v>
      </c>
    </row>
    <row r="236" spans="1:11" x14ac:dyDescent="0.3">
      <c r="A236" s="9">
        <v>1020</v>
      </c>
      <c r="B236" s="9" t="s">
        <v>44</v>
      </c>
      <c r="C236" s="4" t="s">
        <v>19</v>
      </c>
      <c r="D236" s="4" t="s">
        <v>24</v>
      </c>
      <c r="E236" s="4" t="s">
        <v>7</v>
      </c>
      <c r="F236" s="4">
        <v>5</v>
      </c>
      <c r="G236" s="4">
        <v>4582</v>
      </c>
      <c r="H236" s="4">
        <v>5</v>
      </c>
      <c r="I236" s="7">
        <v>46078</v>
      </c>
      <c r="J236" s="7">
        <v>46083</v>
      </c>
      <c r="K236" s="4" t="s">
        <v>78</v>
      </c>
    </row>
    <row r="237" spans="1:11" x14ac:dyDescent="0.3">
      <c r="A237" s="9">
        <v>1069</v>
      </c>
      <c r="B237" s="9" t="s">
        <v>50</v>
      </c>
      <c r="C237" s="4" t="s">
        <v>31</v>
      </c>
      <c r="D237" s="4" t="s">
        <v>24</v>
      </c>
      <c r="E237" s="4" t="s">
        <v>8</v>
      </c>
      <c r="F237" s="4">
        <v>9</v>
      </c>
      <c r="G237" s="4">
        <v>4415</v>
      </c>
      <c r="H237" s="4">
        <v>5</v>
      </c>
      <c r="I237" s="7">
        <v>46039</v>
      </c>
      <c r="J237" s="7">
        <v>46046</v>
      </c>
      <c r="K237" s="4" t="s">
        <v>78</v>
      </c>
    </row>
    <row r="238" spans="1:11" x14ac:dyDescent="0.3">
      <c r="A238" s="9">
        <v>1199</v>
      </c>
      <c r="B238" s="9" t="s">
        <v>18</v>
      </c>
      <c r="C238" s="4" t="s">
        <v>27</v>
      </c>
      <c r="D238" s="4" t="s">
        <v>34</v>
      </c>
      <c r="E238" s="4" t="s">
        <v>6</v>
      </c>
      <c r="F238" s="4">
        <v>2</v>
      </c>
      <c r="G238" s="4">
        <v>4375</v>
      </c>
      <c r="H238" s="4">
        <v>7</v>
      </c>
      <c r="I238" s="7">
        <v>46178</v>
      </c>
      <c r="J238" s="7">
        <v>46180</v>
      </c>
      <c r="K238" s="4" t="s">
        <v>80</v>
      </c>
    </row>
    <row r="239" spans="1:11" x14ac:dyDescent="0.3">
      <c r="A239" s="9">
        <v>1155</v>
      </c>
      <c r="B239" s="9" t="s">
        <v>18</v>
      </c>
      <c r="C239" s="4" t="s">
        <v>31</v>
      </c>
      <c r="D239" s="4" t="s">
        <v>24</v>
      </c>
      <c r="E239" s="4" t="s">
        <v>8</v>
      </c>
      <c r="F239" s="4">
        <v>13</v>
      </c>
      <c r="G239" s="4">
        <v>4341</v>
      </c>
      <c r="H239" s="4">
        <v>15</v>
      </c>
      <c r="I239" s="7">
        <v>46093</v>
      </c>
      <c r="J239" s="7">
        <v>46096</v>
      </c>
      <c r="K239" s="4" t="s">
        <v>80</v>
      </c>
    </row>
    <row r="240" spans="1:11" x14ac:dyDescent="0.3">
      <c r="A240" s="9">
        <v>1324</v>
      </c>
      <c r="B240" s="9" t="s">
        <v>32</v>
      </c>
      <c r="C240" s="4" t="s">
        <v>26</v>
      </c>
      <c r="D240" s="4" t="s">
        <v>24</v>
      </c>
      <c r="E240" s="4" t="s">
        <v>7</v>
      </c>
      <c r="F240" s="4">
        <v>1</v>
      </c>
      <c r="G240" s="4">
        <v>4286</v>
      </c>
      <c r="H240" s="4">
        <v>15</v>
      </c>
      <c r="I240" s="7">
        <v>46053</v>
      </c>
      <c r="J240" s="7">
        <v>46056</v>
      </c>
      <c r="K240" s="4" t="s">
        <v>79</v>
      </c>
    </row>
    <row r="241" spans="1:11" x14ac:dyDescent="0.3">
      <c r="A241" s="9">
        <v>1340</v>
      </c>
      <c r="B241" s="9" t="s">
        <v>46</v>
      </c>
      <c r="C241" s="4" t="s">
        <v>23</v>
      </c>
      <c r="D241" s="4" t="s">
        <v>24</v>
      </c>
      <c r="E241" s="4" t="s">
        <v>7</v>
      </c>
      <c r="F241" s="4">
        <v>12</v>
      </c>
      <c r="G241" s="4">
        <v>3857</v>
      </c>
      <c r="H241" s="4">
        <v>12</v>
      </c>
      <c r="I241" s="7">
        <v>46196</v>
      </c>
      <c r="J241" s="7">
        <v>46198</v>
      </c>
      <c r="K241" s="4" t="s">
        <v>81</v>
      </c>
    </row>
    <row r="242" spans="1:11" x14ac:dyDescent="0.3">
      <c r="A242" s="9">
        <v>1119</v>
      </c>
      <c r="B242" s="9" t="s">
        <v>30</v>
      </c>
      <c r="C242" s="4" t="s">
        <v>42</v>
      </c>
      <c r="D242" s="4" t="s">
        <v>24</v>
      </c>
      <c r="E242" s="4" t="s">
        <v>8</v>
      </c>
      <c r="F242" s="4">
        <v>2</v>
      </c>
      <c r="G242" s="4">
        <v>3706</v>
      </c>
      <c r="H242" s="4">
        <v>5</v>
      </c>
      <c r="I242" s="7">
        <v>46184</v>
      </c>
      <c r="J242" s="7">
        <v>46192</v>
      </c>
      <c r="K242" s="4" t="s">
        <v>81</v>
      </c>
    </row>
    <row r="243" spans="1:11" x14ac:dyDescent="0.3">
      <c r="A243" s="9">
        <v>1023</v>
      </c>
      <c r="B243" s="9" t="s">
        <v>39</v>
      </c>
      <c r="C243" s="4" t="s">
        <v>19</v>
      </c>
      <c r="D243" s="4" t="s">
        <v>24</v>
      </c>
      <c r="E243" s="4" t="s">
        <v>43</v>
      </c>
      <c r="F243" s="4">
        <v>15</v>
      </c>
      <c r="G243" s="4">
        <v>3506</v>
      </c>
      <c r="H243" s="4">
        <v>2</v>
      </c>
      <c r="I243" s="7">
        <v>46193</v>
      </c>
      <c r="J243" s="7">
        <v>46194</v>
      </c>
      <c r="K243" s="4" t="s">
        <v>49</v>
      </c>
    </row>
    <row r="244" spans="1:11" x14ac:dyDescent="0.3">
      <c r="A244" s="9">
        <v>1312</v>
      </c>
      <c r="B244" s="9" t="s">
        <v>54</v>
      </c>
      <c r="C244" s="4" t="s">
        <v>26</v>
      </c>
      <c r="D244" s="4" t="s">
        <v>24</v>
      </c>
      <c r="E244" s="4" t="s">
        <v>11</v>
      </c>
      <c r="F244" s="4">
        <v>20</v>
      </c>
      <c r="G244" s="4">
        <v>3274</v>
      </c>
      <c r="H244" s="4">
        <v>2</v>
      </c>
      <c r="I244" s="7">
        <v>46148</v>
      </c>
      <c r="J244" s="7">
        <v>46156</v>
      </c>
      <c r="K244" s="4" t="s">
        <v>80</v>
      </c>
    </row>
    <row r="245" spans="1:11" x14ac:dyDescent="0.3">
      <c r="A245" s="9">
        <v>1282</v>
      </c>
      <c r="B245" s="9" t="s">
        <v>54</v>
      </c>
      <c r="C245" s="4" t="s">
        <v>42</v>
      </c>
      <c r="D245" s="4" t="s">
        <v>24</v>
      </c>
      <c r="E245" s="4" t="s">
        <v>43</v>
      </c>
      <c r="F245" s="4">
        <v>12</v>
      </c>
      <c r="G245" s="4">
        <v>3178</v>
      </c>
      <c r="H245" s="4">
        <v>10</v>
      </c>
      <c r="I245" s="7">
        <v>46176</v>
      </c>
      <c r="J245" s="7">
        <v>46177</v>
      </c>
      <c r="K245" s="4" t="s">
        <v>49</v>
      </c>
    </row>
    <row r="246" spans="1:11" x14ac:dyDescent="0.3">
      <c r="A246" s="9">
        <v>1196</v>
      </c>
      <c r="B246" s="9" t="s">
        <v>46</v>
      </c>
      <c r="C246" s="4" t="s">
        <v>26</v>
      </c>
      <c r="D246" s="4" t="s">
        <v>34</v>
      </c>
      <c r="E246" s="4" t="s">
        <v>35</v>
      </c>
      <c r="F246" s="4">
        <v>20</v>
      </c>
      <c r="G246" s="4">
        <v>3172</v>
      </c>
      <c r="H246" s="4">
        <v>5</v>
      </c>
      <c r="I246" s="7">
        <v>46155</v>
      </c>
      <c r="J246" s="7">
        <v>46159</v>
      </c>
      <c r="K246" s="4" t="s">
        <v>79</v>
      </c>
    </row>
    <row r="247" spans="1:11" x14ac:dyDescent="0.3">
      <c r="A247" s="9">
        <v>1131</v>
      </c>
      <c r="B247" s="9" t="s">
        <v>25</v>
      </c>
      <c r="C247" s="4" t="s">
        <v>31</v>
      </c>
      <c r="D247" s="4" t="s">
        <v>24</v>
      </c>
      <c r="E247" s="4" t="s">
        <v>10</v>
      </c>
      <c r="F247" s="4">
        <v>13</v>
      </c>
      <c r="G247" s="4">
        <v>3083</v>
      </c>
      <c r="H247" s="4">
        <v>7</v>
      </c>
      <c r="I247" s="7">
        <v>46168</v>
      </c>
      <c r="J247" s="7">
        <v>46173</v>
      </c>
      <c r="K247" s="4" t="s">
        <v>81</v>
      </c>
    </row>
    <row r="248" spans="1:11" x14ac:dyDescent="0.3">
      <c r="A248" s="9">
        <v>1148</v>
      </c>
      <c r="B248" s="9" t="s">
        <v>56</v>
      </c>
      <c r="C248" s="4" t="s">
        <v>33</v>
      </c>
      <c r="D248" s="4" t="s">
        <v>24</v>
      </c>
      <c r="E248" s="4" t="s">
        <v>8</v>
      </c>
      <c r="F248" s="4">
        <v>11</v>
      </c>
      <c r="G248" s="4">
        <v>3023</v>
      </c>
      <c r="H248" s="4">
        <v>7</v>
      </c>
      <c r="I248" s="7">
        <v>46030</v>
      </c>
      <c r="J248" s="7">
        <v>46032</v>
      </c>
      <c r="K248" s="4" t="s">
        <v>80</v>
      </c>
    </row>
    <row r="249" spans="1:11" x14ac:dyDescent="0.3">
      <c r="A249" s="9">
        <v>1230</v>
      </c>
      <c r="B249" s="9" t="s">
        <v>56</v>
      </c>
      <c r="C249" s="4" t="s">
        <v>33</v>
      </c>
      <c r="D249" s="4" t="s">
        <v>34</v>
      </c>
      <c r="E249" s="4" t="s">
        <v>9</v>
      </c>
      <c r="F249" s="4">
        <v>7</v>
      </c>
      <c r="G249" s="4">
        <v>2932</v>
      </c>
      <c r="H249" s="4">
        <v>7</v>
      </c>
      <c r="I249" s="7">
        <v>46050</v>
      </c>
      <c r="J249" s="7">
        <v>46059</v>
      </c>
      <c r="K249" s="4" t="s">
        <v>80</v>
      </c>
    </row>
    <row r="250" spans="1:11" x14ac:dyDescent="0.3">
      <c r="A250" s="9">
        <v>1006</v>
      </c>
      <c r="B250" s="9" t="s">
        <v>29</v>
      </c>
      <c r="C250" s="4" t="s">
        <v>27</v>
      </c>
      <c r="D250" s="4" t="s">
        <v>24</v>
      </c>
      <c r="E250" s="4" t="s">
        <v>8</v>
      </c>
      <c r="F250" s="4">
        <v>3</v>
      </c>
      <c r="G250" s="4">
        <v>2714</v>
      </c>
      <c r="H250" s="4">
        <v>5</v>
      </c>
      <c r="I250" s="7">
        <v>46055</v>
      </c>
      <c r="J250" s="7">
        <v>46062</v>
      </c>
      <c r="K250" s="4" t="s">
        <v>49</v>
      </c>
    </row>
    <row r="251" spans="1:11" x14ac:dyDescent="0.3">
      <c r="A251" s="9">
        <v>1222</v>
      </c>
      <c r="B251" s="9" t="s">
        <v>30</v>
      </c>
      <c r="C251" s="4" t="s">
        <v>33</v>
      </c>
      <c r="D251" s="4" t="s">
        <v>24</v>
      </c>
      <c r="E251" s="4" t="s">
        <v>10</v>
      </c>
      <c r="F251" s="4">
        <v>9</v>
      </c>
      <c r="G251" s="4">
        <v>2712</v>
      </c>
      <c r="H251" s="4">
        <v>12</v>
      </c>
      <c r="I251" s="7">
        <v>46154</v>
      </c>
      <c r="J251" s="7">
        <v>46163</v>
      </c>
      <c r="K251" s="4" t="s">
        <v>78</v>
      </c>
    </row>
    <row r="252" spans="1:11" x14ac:dyDescent="0.3">
      <c r="A252" s="9">
        <v>1193</v>
      </c>
      <c r="B252" s="9" t="s">
        <v>54</v>
      </c>
      <c r="C252" s="4" t="s">
        <v>19</v>
      </c>
      <c r="D252" s="4" t="s">
        <v>24</v>
      </c>
      <c r="E252" s="4" t="s">
        <v>10</v>
      </c>
      <c r="F252" s="4">
        <v>19</v>
      </c>
      <c r="G252" s="4">
        <v>2699</v>
      </c>
      <c r="H252" s="4">
        <v>7</v>
      </c>
      <c r="I252" s="7">
        <v>46110</v>
      </c>
      <c r="J252" s="7">
        <v>46112</v>
      </c>
      <c r="K252" s="4" t="s">
        <v>49</v>
      </c>
    </row>
    <row r="253" spans="1:11" x14ac:dyDescent="0.3">
      <c r="A253" s="9">
        <v>1221</v>
      </c>
      <c r="B253" s="9" t="s">
        <v>18</v>
      </c>
      <c r="C253" s="4" t="s">
        <v>31</v>
      </c>
      <c r="D253" s="4" t="s">
        <v>24</v>
      </c>
      <c r="E253" s="4" t="s">
        <v>11</v>
      </c>
      <c r="F253" s="4">
        <v>18</v>
      </c>
      <c r="G253" s="4">
        <v>2681</v>
      </c>
      <c r="H253" s="4">
        <v>10</v>
      </c>
      <c r="I253" s="7">
        <v>46122</v>
      </c>
      <c r="J253" s="7">
        <v>46125</v>
      </c>
      <c r="K253" s="4" t="s">
        <v>81</v>
      </c>
    </row>
    <row r="254" spans="1:11" x14ac:dyDescent="0.3">
      <c r="A254" s="9">
        <v>1073</v>
      </c>
      <c r="B254" s="9" t="s">
        <v>55</v>
      </c>
      <c r="C254" s="4" t="s">
        <v>23</v>
      </c>
      <c r="D254" s="4" t="s">
        <v>24</v>
      </c>
      <c r="E254" s="4" t="s">
        <v>11</v>
      </c>
      <c r="F254" s="4">
        <v>4</v>
      </c>
      <c r="G254" s="4">
        <v>2453</v>
      </c>
      <c r="H254" s="4">
        <v>7</v>
      </c>
      <c r="I254" s="7">
        <v>46126</v>
      </c>
      <c r="J254" s="7">
        <v>46129</v>
      </c>
      <c r="K254" s="4" t="s">
        <v>81</v>
      </c>
    </row>
    <row r="255" spans="1:11" x14ac:dyDescent="0.3">
      <c r="A255" s="9">
        <v>1223</v>
      </c>
      <c r="B255" s="9" t="s">
        <v>56</v>
      </c>
      <c r="C255" s="4" t="s">
        <v>23</v>
      </c>
      <c r="D255" s="4" t="s">
        <v>24</v>
      </c>
      <c r="E255" s="4" t="s">
        <v>10</v>
      </c>
      <c r="F255" s="4">
        <v>4</v>
      </c>
      <c r="G255" s="4">
        <v>2249</v>
      </c>
      <c r="H255" s="4">
        <v>7</v>
      </c>
      <c r="I255" s="7">
        <v>46077</v>
      </c>
      <c r="J255" s="7">
        <v>46084</v>
      </c>
      <c r="K255" s="4" t="s">
        <v>78</v>
      </c>
    </row>
    <row r="256" spans="1:11" x14ac:dyDescent="0.3">
      <c r="A256" s="9">
        <v>1255</v>
      </c>
      <c r="B256" s="9" t="s">
        <v>32</v>
      </c>
      <c r="C256" s="4" t="s">
        <v>23</v>
      </c>
      <c r="D256" s="4" t="s">
        <v>24</v>
      </c>
      <c r="E256" s="4" t="s">
        <v>7</v>
      </c>
      <c r="F256" s="4">
        <v>1</v>
      </c>
      <c r="G256" s="4">
        <v>2240</v>
      </c>
      <c r="H256" s="4">
        <v>5</v>
      </c>
      <c r="I256" s="7">
        <v>46091</v>
      </c>
      <c r="J256" s="7">
        <v>46095</v>
      </c>
      <c r="K256" s="4" t="s">
        <v>79</v>
      </c>
    </row>
    <row r="257" spans="1:11" x14ac:dyDescent="0.3">
      <c r="A257" s="9">
        <v>1262</v>
      </c>
      <c r="B257" s="9" t="s">
        <v>22</v>
      </c>
      <c r="C257" s="4" t="s">
        <v>26</v>
      </c>
      <c r="D257" s="4" t="s">
        <v>24</v>
      </c>
      <c r="E257" s="4" t="s">
        <v>8</v>
      </c>
      <c r="F257" s="4">
        <v>9</v>
      </c>
      <c r="G257" s="4">
        <v>2231</v>
      </c>
      <c r="H257" s="4">
        <v>15</v>
      </c>
      <c r="I257" s="7">
        <v>46174</v>
      </c>
      <c r="J257" s="7">
        <v>46183</v>
      </c>
      <c r="K257" s="4" t="s">
        <v>78</v>
      </c>
    </row>
    <row r="258" spans="1:11" x14ac:dyDescent="0.3">
      <c r="A258" s="9">
        <v>1106</v>
      </c>
      <c r="B258" s="9" t="s">
        <v>29</v>
      </c>
      <c r="C258" s="4" t="s">
        <v>42</v>
      </c>
      <c r="D258" s="4" t="s">
        <v>24</v>
      </c>
      <c r="E258" s="4" t="s">
        <v>10</v>
      </c>
      <c r="F258" s="4">
        <v>20</v>
      </c>
      <c r="G258" s="4">
        <v>2141</v>
      </c>
      <c r="H258" s="4">
        <v>2</v>
      </c>
      <c r="I258" s="7">
        <v>46091</v>
      </c>
      <c r="J258" s="7">
        <v>46097</v>
      </c>
      <c r="K258" s="4" t="s">
        <v>49</v>
      </c>
    </row>
    <row r="259" spans="1:11" x14ac:dyDescent="0.3">
      <c r="A259" s="9">
        <v>1003</v>
      </c>
      <c r="B259" s="9" t="s">
        <v>25</v>
      </c>
      <c r="C259" s="4" t="s">
        <v>26</v>
      </c>
      <c r="D259" s="4" t="s">
        <v>24</v>
      </c>
      <c r="E259" s="4" t="s">
        <v>10</v>
      </c>
      <c r="F259" s="4">
        <v>20</v>
      </c>
      <c r="G259" s="4">
        <v>2123</v>
      </c>
      <c r="H259" s="4">
        <v>15</v>
      </c>
      <c r="I259" s="7">
        <v>46183</v>
      </c>
      <c r="J259" s="7">
        <v>46192</v>
      </c>
      <c r="K259" s="4" t="s">
        <v>80</v>
      </c>
    </row>
    <row r="260" spans="1:11" x14ac:dyDescent="0.3">
      <c r="A260" s="9">
        <v>1180</v>
      </c>
      <c r="B260" s="9" t="s">
        <v>39</v>
      </c>
      <c r="C260" s="4" t="s">
        <v>31</v>
      </c>
      <c r="D260" s="4" t="s">
        <v>24</v>
      </c>
      <c r="E260" s="4" t="s">
        <v>8</v>
      </c>
      <c r="F260" s="4">
        <v>2</v>
      </c>
      <c r="G260" s="4">
        <v>2076</v>
      </c>
      <c r="H260" s="4">
        <v>2</v>
      </c>
      <c r="I260" s="7">
        <v>46111</v>
      </c>
      <c r="J260" s="7">
        <v>46121</v>
      </c>
      <c r="K260" s="4" t="s">
        <v>49</v>
      </c>
    </row>
    <row r="261" spans="1:11" x14ac:dyDescent="0.3">
      <c r="A261" s="9">
        <v>1112</v>
      </c>
      <c r="B261" s="9" t="s">
        <v>25</v>
      </c>
      <c r="C261" s="4" t="s">
        <v>42</v>
      </c>
      <c r="D261" s="4" t="s">
        <v>24</v>
      </c>
      <c r="E261" s="4" t="s">
        <v>43</v>
      </c>
      <c r="F261" s="4">
        <v>7</v>
      </c>
      <c r="G261" s="4">
        <v>1959</v>
      </c>
      <c r="H261" s="4">
        <v>15</v>
      </c>
      <c r="I261" s="7">
        <v>46090</v>
      </c>
      <c r="J261" s="7">
        <v>46100</v>
      </c>
      <c r="K261" s="4" t="s">
        <v>78</v>
      </c>
    </row>
    <row r="262" spans="1:11" x14ac:dyDescent="0.3">
      <c r="A262" s="9">
        <v>1326</v>
      </c>
      <c r="B262" s="9" t="s">
        <v>28</v>
      </c>
      <c r="C262" s="4" t="s">
        <v>23</v>
      </c>
      <c r="D262" s="4" t="s">
        <v>24</v>
      </c>
      <c r="E262" s="4" t="s">
        <v>43</v>
      </c>
      <c r="F262" s="4">
        <v>18</v>
      </c>
      <c r="G262" s="4">
        <v>1830</v>
      </c>
      <c r="H262" s="4">
        <v>10</v>
      </c>
      <c r="I262" s="7">
        <v>46165</v>
      </c>
      <c r="J262" s="7">
        <v>46172</v>
      </c>
      <c r="K262" s="4" t="s">
        <v>78</v>
      </c>
    </row>
    <row r="263" spans="1:11" x14ac:dyDescent="0.3">
      <c r="A263" s="9">
        <v>1246</v>
      </c>
      <c r="B263" s="9" t="s">
        <v>53</v>
      </c>
      <c r="C263" s="4" t="s">
        <v>26</v>
      </c>
      <c r="D263" s="4" t="s">
        <v>34</v>
      </c>
      <c r="E263" s="4" t="s">
        <v>35</v>
      </c>
      <c r="F263" s="4">
        <v>13</v>
      </c>
      <c r="G263" s="4">
        <v>1825</v>
      </c>
      <c r="H263" s="4">
        <v>2</v>
      </c>
      <c r="I263" s="7">
        <v>46039</v>
      </c>
      <c r="J263" s="7">
        <v>46045</v>
      </c>
      <c r="K263" s="4" t="s">
        <v>81</v>
      </c>
    </row>
    <row r="264" spans="1:11" x14ac:dyDescent="0.3">
      <c r="A264" s="9">
        <v>1361</v>
      </c>
      <c r="B264" s="9" t="s">
        <v>41</v>
      </c>
      <c r="C264" s="4" t="s">
        <v>23</v>
      </c>
      <c r="D264" s="4" t="s">
        <v>24</v>
      </c>
      <c r="E264" s="4" t="s">
        <v>10</v>
      </c>
      <c r="F264" s="4">
        <v>2</v>
      </c>
      <c r="G264" s="4">
        <v>1822</v>
      </c>
      <c r="H264" s="4">
        <v>5</v>
      </c>
      <c r="I264" s="7">
        <v>46141</v>
      </c>
      <c r="J264" s="7">
        <v>46145</v>
      </c>
      <c r="K264" s="4" t="s">
        <v>79</v>
      </c>
    </row>
    <row r="265" spans="1:11" x14ac:dyDescent="0.3">
      <c r="A265" s="9">
        <v>1364</v>
      </c>
      <c r="B265" s="9" t="s">
        <v>30</v>
      </c>
      <c r="C265" s="4" t="s">
        <v>26</v>
      </c>
      <c r="D265" s="4" t="s">
        <v>24</v>
      </c>
      <c r="E265" s="4" t="s">
        <v>11</v>
      </c>
      <c r="F265" s="4">
        <v>16</v>
      </c>
      <c r="G265" s="4">
        <v>1744</v>
      </c>
      <c r="H265" s="4">
        <v>15</v>
      </c>
      <c r="I265" s="7">
        <v>46031</v>
      </c>
      <c r="J265" s="7">
        <v>46033</v>
      </c>
      <c r="K265" s="4" t="s">
        <v>81</v>
      </c>
    </row>
    <row r="266" spans="1:11" x14ac:dyDescent="0.3">
      <c r="A266" s="9">
        <v>1024</v>
      </c>
      <c r="B266" s="9" t="s">
        <v>32</v>
      </c>
      <c r="C266" s="4" t="s">
        <v>38</v>
      </c>
      <c r="D266" s="4" t="s">
        <v>34</v>
      </c>
      <c r="E266" s="4" t="s">
        <v>40</v>
      </c>
      <c r="F266" s="4">
        <v>12</v>
      </c>
      <c r="G266" s="4">
        <v>1682</v>
      </c>
      <c r="H266" s="4">
        <v>5</v>
      </c>
      <c r="I266" s="7">
        <v>46161</v>
      </c>
      <c r="J266" s="7">
        <v>46165</v>
      </c>
      <c r="K266" s="4" t="s">
        <v>78</v>
      </c>
    </row>
    <row r="267" spans="1:11" x14ac:dyDescent="0.3">
      <c r="A267" s="9">
        <v>1263</v>
      </c>
      <c r="B267" s="9" t="s">
        <v>49</v>
      </c>
      <c r="C267" s="4" t="s">
        <v>38</v>
      </c>
      <c r="D267" s="4" t="s">
        <v>24</v>
      </c>
      <c r="E267" s="4" t="s">
        <v>8</v>
      </c>
      <c r="F267" s="4">
        <v>10</v>
      </c>
      <c r="G267" s="4">
        <v>1505</v>
      </c>
      <c r="H267" s="4">
        <v>0</v>
      </c>
      <c r="I267" s="7">
        <v>46130</v>
      </c>
      <c r="J267" s="7">
        <v>46138</v>
      </c>
      <c r="K267" s="4" t="s">
        <v>81</v>
      </c>
    </row>
    <row r="268" spans="1:11" x14ac:dyDescent="0.3">
      <c r="A268" s="9">
        <v>1335</v>
      </c>
      <c r="B268" s="9" t="s">
        <v>45</v>
      </c>
      <c r="C268" s="4" t="s">
        <v>23</v>
      </c>
      <c r="D268" s="4" t="s">
        <v>24</v>
      </c>
      <c r="E268" s="4" t="s">
        <v>7</v>
      </c>
      <c r="F268" s="4">
        <v>9</v>
      </c>
      <c r="G268" s="4">
        <v>1495</v>
      </c>
      <c r="H268" s="4">
        <v>12</v>
      </c>
      <c r="I268" s="7">
        <v>46168</v>
      </c>
      <c r="J268" s="7">
        <v>46173</v>
      </c>
      <c r="K268" s="4" t="s">
        <v>78</v>
      </c>
    </row>
    <row r="269" spans="1:11" x14ac:dyDescent="0.3">
      <c r="A269" s="9">
        <v>1300</v>
      </c>
      <c r="B269" s="9" t="s">
        <v>45</v>
      </c>
      <c r="C269" s="4" t="s">
        <v>33</v>
      </c>
      <c r="D269" s="4" t="s">
        <v>34</v>
      </c>
      <c r="E269" s="4" t="s">
        <v>6</v>
      </c>
      <c r="F269" s="4">
        <v>20</v>
      </c>
      <c r="G269" s="4">
        <v>1392</v>
      </c>
      <c r="H269" s="4">
        <v>2</v>
      </c>
      <c r="I269" s="7">
        <v>46110</v>
      </c>
      <c r="J269" s="7">
        <v>46117</v>
      </c>
      <c r="K269" s="4" t="s">
        <v>80</v>
      </c>
    </row>
    <row r="270" spans="1:11" x14ac:dyDescent="0.3">
      <c r="A270" s="9">
        <v>1286</v>
      </c>
      <c r="B270" s="9" t="s">
        <v>44</v>
      </c>
      <c r="C270" s="4" t="s">
        <v>23</v>
      </c>
      <c r="D270" s="4" t="s">
        <v>24</v>
      </c>
      <c r="E270" s="4" t="s">
        <v>11</v>
      </c>
      <c r="F270" s="4">
        <v>9</v>
      </c>
      <c r="G270" s="4">
        <v>1340</v>
      </c>
      <c r="H270" s="4">
        <v>2</v>
      </c>
      <c r="I270" s="7">
        <v>46168</v>
      </c>
      <c r="J270" s="7">
        <v>46173</v>
      </c>
      <c r="K270" s="4" t="s">
        <v>78</v>
      </c>
    </row>
    <row r="271" spans="1:11" x14ac:dyDescent="0.3">
      <c r="A271" s="9">
        <v>1123</v>
      </c>
      <c r="B271" s="9" t="s">
        <v>32</v>
      </c>
      <c r="C271" s="4" t="s">
        <v>31</v>
      </c>
      <c r="D271" s="4" t="s">
        <v>34</v>
      </c>
      <c r="E271" s="4" t="s">
        <v>6</v>
      </c>
      <c r="F271" s="4">
        <v>16</v>
      </c>
      <c r="G271" s="4">
        <v>1332</v>
      </c>
      <c r="H271" s="4">
        <v>7</v>
      </c>
      <c r="I271" s="7">
        <v>46107</v>
      </c>
      <c r="J271" s="7">
        <v>46109</v>
      </c>
      <c r="K271" s="4" t="s">
        <v>49</v>
      </c>
    </row>
    <row r="272" spans="1:11" x14ac:dyDescent="0.3">
      <c r="A272" s="9">
        <v>1227</v>
      </c>
      <c r="B272" s="9" t="s">
        <v>55</v>
      </c>
      <c r="C272" s="4" t="s">
        <v>26</v>
      </c>
      <c r="D272" s="4" t="s">
        <v>34</v>
      </c>
      <c r="E272" s="4" t="s">
        <v>6</v>
      </c>
      <c r="F272" s="4">
        <v>16</v>
      </c>
      <c r="G272" s="4">
        <v>1321</v>
      </c>
      <c r="H272" s="4">
        <v>12</v>
      </c>
      <c r="I272" s="7">
        <v>46113</v>
      </c>
      <c r="J272" s="7">
        <v>46116</v>
      </c>
      <c r="K272" s="4" t="s">
        <v>78</v>
      </c>
    </row>
    <row r="273" spans="1:11" x14ac:dyDescent="0.3">
      <c r="A273" s="9">
        <v>1351</v>
      </c>
      <c r="B273" s="9" t="s">
        <v>41</v>
      </c>
      <c r="C273" s="4" t="s">
        <v>33</v>
      </c>
      <c r="D273" s="4" t="s">
        <v>34</v>
      </c>
      <c r="E273" s="4" t="s">
        <v>6</v>
      </c>
      <c r="F273" s="4">
        <v>12</v>
      </c>
      <c r="G273" s="4">
        <v>1272</v>
      </c>
      <c r="H273" s="4">
        <v>0</v>
      </c>
      <c r="I273" s="7">
        <v>46026</v>
      </c>
      <c r="J273" s="7">
        <v>46029</v>
      </c>
      <c r="K273" s="4" t="s">
        <v>78</v>
      </c>
    </row>
    <row r="274" spans="1:11" x14ac:dyDescent="0.3">
      <c r="A274" s="9">
        <v>1215</v>
      </c>
      <c r="B274" s="9" t="s">
        <v>29</v>
      </c>
      <c r="C274" s="4" t="s">
        <v>19</v>
      </c>
      <c r="D274" s="4" t="s">
        <v>24</v>
      </c>
      <c r="E274" s="4" t="s">
        <v>8</v>
      </c>
      <c r="F274" s="4">
        <v>6</v>
      </c>
      <c r="G274" s="4">
        <v>1254</v>
      </c>
      <c r="H274" s="4">
        <v>0</v>
      </c>
      <c r="I274" s="7">
        <v>46131</v>
      </c>
      <c r="J274" s="7">
        <v>46136</v>
      </c>
      <c r="K274" s="4" t="s">
        <v>49</v>
      </c>
    </row>
    <row r="275" spans="1:11" x14ac:dyDescent="0.3">
      <c r="A275" s="9">
        <v>1283</v>
      </c>
      <c r="B275" s="9" t="s">
        <v>39</v>
      </c>
      <c r="C275" s="4" t="s">
        <v>19</v>
      </c>
      <c r="D275" s="4" t="s">
        <v>24</v>
      </c>
      <c r="E275" s="4" t="s">
        <v>10</v>
      </c>
      <c r="F275" s="4">
        <v>6</v>
      </c>
      <c r="G275" s="4">
        <v>1167</v>
      </c>
      <c r="H275" s="4">
        <v>2</v>
      </c>
      <c r="I275" s="7">
        <v>46100</v>
      </c>
      <c r="J275" s="7">
        <v>46106</v>
      </c>
      <c r="K275" s="4" t="s">
        <v>78</v>
      </c>
    </row>
    <row r="276" spans="1:11" x14ac:dyDescent="0.3">
      <c r="A276" s="9">
        <v>1008</v>
      </c>
      <c r="B276" s="9" t="s">
        <v>30</v>
      </c>
      <c r="C276" s="4" t="s">
        <v>31</v>
      </c>
      <c r="D276" s="4" t="s">
        <v>24</v>
      </c>
      <c r="E276" s="4" t="s">
        <v>8</v>
      </c>
      <c r="F276" s="4">
        <v>1</v>
      </c>
      <c r="G276" s="4">
        <v>1134</v>
      </c>
      <c r="H276" s="4">
        <v>0</v>
      </c>
      <c r="I276" s="7">
        <v>46033</v>
      </c>
      <c r="J276" s="7">
        <v>46041</v>
      </c>
      <c r="K276" s="4" t="s">
        <v>80</v>
      </c>
    </row>
    <row r="277" spans="1:11" x14ac:dyDescent="0.3">
      <c r="A277" s="9">
        <v>1371</v>
      </c>
      <c r="B277" s="9" t="s">
        <v>46</v>
      </c>
      <c r="C277" s="4" t="s">
        <v>38</v>
      </c>
      <c r="D277" s="4" t="s">
        <v>24</v>
      </c>
      <c r="E277" s="4" t="s">
        <v>7</v>
      </c>
      <c r="F277" s="4">
        <v>19</v>
      </c>
      <c r="G277" s="4">
        <v>1087</v>
      </c>
      <c r="H277" s="4">
        <v>15</v>
      </c>
      <c r="I277" s="7">
        <v>46072</v>
      </c>
      <c r="J277" s="7">
        <v>46082</v>
      </c>
      <c r="K277" s="4" t="s">
        <v>79</v>
      </c>
    </row>
    <row r="278" spans="1:11" x14ac:dyDescent="0.3">
      <c r="A278" s="9">
        <v>1265</v>
      </c>
      <c r="B278" s="9" t="s">
        <v>55</v>
      </c>
      <c r="C278" s="4" t="s">
        <v>26</v>
      </c>
      <c r="D278" s="4" t="s">
        <v>24</v>
      </c>
      <c r="E278" s="4" t="s">
        <v>7</v>
      </c>
      <c r="F278" s="4">
        <v>1</v>
      </c>
      <c r="G278" s="4">
        <v>1052</v>
      </c>
      <c r="H278" s="4">
        <v>7</v>
      </c>
      <c r="I278" s="7">
        <v>46117</v>
      </c>
      <c r="J278" s="7">
        <v>46127</v>
      </c>
      <c r="K278" s="4" t="s">
        <v>81</v>
      </c>
    </row>
    <row r="279" spans="1:11" x14ac:dyDescent="0.3">
      <c r="A279" s="9">
        <v>1095</v>
      </c>
      <c r="B279" s="9" t="s">
        <v>45</v>
      </c>
      <c r="C279" s="4" t="s">
        <v>27</v>
      </c>
      <c r="D279" s="4" t="s">
        <v>34</v>
      </c>
      <c r="E279" s="4" t="s">
        <v>40</v>
      </c>
      <c r="F279" s="4">
        <v>18</v>
      </c>
      <c r="G279" s="4">
        <v>587</v>
      </c>
      <c r="H279" s="4">
        <v>2</v>
      </c>
      <c r="I279" s="7">
        <v>46167</v>
      </c>
      <c r="J279" s="7">
        <v>46171</v>
      </c>
      <c r="K279" s="4" t="s">
        <v>79</v>
      </c>
    </row>
    <row r="280" spans="1:11" x14ac:dyDescent="0.3">
      <c r="A280" s="9">
        <v>1353</v>
      </c>
      <c r="B280" s="9" t="s">
        <v>45</v>
      </c>
      <c r="C280" s="4" t="s">
        <v>42</v>
      </c>
      <c r="D280" s="4" t="s">
        <v>20</v>
      </c>
      <c r="E280" s="4" t="s">
        <v>21</v>
      </c>
      <c r="F280" s="4">
        <v>6</v>
      </c>
      <c r="G280" s="4">
        <v>495</v>
      </c>
      <c r="H280" s="4">
        <v>2</v>
      </c>
      <c r="I280" s="7">
        <v>46194</v>
      </c>
      <c r="J280" s="7">
        <v>46200</v>
      </c>
      <c r="K280" s="4" t="s">
        <v>80</v>
      </c>
    </row>
    <row r="281" spans="1:11" x14ac:dyDescent="0.3">
      <c r="A281" s="9">
        <v>1105</v>
      </c>
      <c r="B281" s="9" t="s">
        <v>56</v>
      </c>
      <c r="C281" s="4" t="s">
        <v>27</v>
      </c>
      <c r="D281" s="4" t="s">
        <v>20</v>
      </c>
      <c r="E281" s="4" t="s">
        <v>48</v>
      </c>
      <c r="F281" s="4">
        <v>2</v>
      </c>
      <c r="G281" s="4">
        <v>493</v>
      </c>
      <c r="H281" s="4">
        <v>12</v>
      </c>
      <c r="I281" s="7">
        <v>46057</v>
      </c>
      <c r="J281" s="7">
        <v>46066</v>
      </c>
      <c r="K281" s="4" t="s">
        <v>81</v>
      </c>
    </row>
    <row r="282" spans="1:11" x14ac:dyDescent="0.3">
      <c r="A282" s="9">
        <v>1198</v>
      </c>
      <c r="B282" s="9" t="s">
        <v>55</v>
      </c>
      <c r="C282" s="4" t="s">
        <v>19</v>
      </c>
      <c r="D282" s="4" t="s">
        <v>20</v>
      </c>
      <c r="E282" s="4" t="s">
        <v>21</v>
      </c>
      <c r="F282" s="4">
        <v>12</v>
      </c>
      <c r="G282" s="4">
        <v>491</v>
      </c>
      <c r="H282" s="4">
        <v>2</v>
      </c>
      <c r="I282" s="7">
        <v>46106</v>
      </c>
      <c r="J282" s="7">
        <v>46109</v>
      </c>
      <c r="K282" s="4" t="s">
        <v>81</v>
      </c>
    </row>
    <row r="283" spans="1:11" x14ac:dyDescent="0.3">
      <c r="A283" s="9">
        <v>1021</v>
      </c>
      <c r="B283" s="9" t="s">
        <v>46</v>
      </c>
      <c r="C283" s="4" t="s">
        <v>42</v>
      </c>
      <c r="D283" s="4" t="s">
        <v>20</v>
      </c>
      <c r="E283" s="4" t="s">
        <v>21</v>
      </c>
      <c r="F283" s="4">
        <v>3</v>
      </c>
      <c r="G283" s="4">
        <v>484</v>
      </c>
      <c r="H283" s="4">
        <v>2</v>
      </c>
      <c r="I283" s="7">
        <v>46144</v>
      </c>
      <c r="J283" s="7">
        <v>46148</v>
      </c>
      <c r="K283" s="4" t="s">
        <v>80</v>
      </c>
    </row>
    <row r="284" spans="1:11" x14ac:dyDescent="0.3">
      <c r="A284" s="9">
        <v>1010</v>
      </c>
      <c r="B284" s="9" t="s">
        <v>18</v>
      </c>
      <c r="C284" s="4" t="s">
        <v>23</v>
      </c>
      <c r="D284" s="4" t="s">
        <v>20</v>
      </c>
      <c r="E284" s="4" t="s">
        <v>36</v>
      </c>
      <c r="F284" s="4">
        <v>14</v>
      </c>
      <c r="G284" s="4">
        <v>470</v>
      </c>
      <c r="H284" s="4">
        <v>5</v>
      </c>
      <c r="I284" s="7">
        <v>46062</v>
      </c>
      <c r="J284" s="7">
        <v>46068</v>
      </c>
      <c r="K284" s="4" t="s">
        <v>78</v>
      </c>
    </row>
    <row r="285" spans="1:11" x14ac:dyDescent="0.3">
      <c r="A285" s="9">
        <v>1156</v>
      </c>
      <c r="B285" s="9" t="s">
        <v>52</v>
      </c>
      <c r="C285" s="4" t="s">
        <v>38</v>
      </c>
      <c r="D285" s="4" t="s">
        <v>20</v>
      </c>
      <c r="E285" s="4" t="s">
        <v>36</v>
      </c>
      <c r="F285" s="4">
        <v>5</v>
      </c>
      <c r="G285" s="4">
        <v>466</v>
      </c>
      <c r="H285" s="4">
        <v>15</v>
      </c>
      <c r="I285" s="7">
        <v>46025</v>
      </c>
      <c r="J285" s="7">
        <v>46029</v>
      </c>
      <c r="K285" s="4" t="s">
        <v>78</v>
      </c>
    </row>
    <row r="286" spans="1:11" x14ac:dyDescent="0.3">
      <c r="A286" s="9">
        <v>1013</v>
      </c>
      <c r="B286" s="9" t="s">
        <v>22</v>
      </c>
      <c r="C286" s="4" t="s">
        <v>31</v>
      </c>
      <c r="D286" s="4" t="s">
        <v>20</v>
      </c>
      <c r="E286" s="4" t="s">
        <v>36</v>
      </c>
      <c r="F286" s="4">
        <v>17</v>
      </c>
      <c r="G286" s="4">
        <v>459</v>
      </c>
      <c r="H286" s="4">
        <v>12</v>
      </c>
      <c r="I286" s="7">
        <v>46095</v>
      </c>
      <c r="J286" s="7">
        <v>46105</v>
      </c>
      <c r="K286" s="4" t="s">
        <v>49</v>
      </c>
    </row>
    <row r="287" spans="1:11" x14ac:dyDescent="0.3">
      <c r="A287" s="9">
        <v>1143</v>
      </c>
      <c r="B287" s="9" t="s">
        <v>49</v>
      </c>
      <c r="C287" s="4" t="s">
        <v>23</v>
      </c>
      <c r="D287" s="4" t="s">
        <v>20</v>
      </c>
      <c r="E287" s="4" t="s">
        <v>37</v>
      </c>
      <c r="F287" s="4">
        <v>13</v>
      </c>
      <c r="G287" s="4">
        <v>456</v>
      </c>
      <c r="H287" s="4">
        <v>2</v>
      </c>
      <c r="I287" s="7">
        <v>46160</v>
      </c>
      <c r="J287" s="7">
        <v>46167</v>
      </c>
      <c r="K287" s="4" t="s">
        <v>80</v>
      </c>
    </row>
    <row r="288" spans="1:11" x14ac:dyDescent="0.3">
      <c r="A288" s="9">
        <v>1275</v>
      </c>
      <c r="B288" s="9" t="s">
        <v>22</v>
      </c>
      <c r="C288" s="4" t="s">
        <v>31</v>
      </c>
      <c r="D288" s="4" t="s">
        <v>20</v>
      </c>
      <c r="E288" s="4" t="s">
        <v>48</v>
      </c>
      <c r="F288" s="4">
        <v>20</v>
      </c>
      <c r="G288" s="4">
        <v>451</v>
      </c>
      <c r="H288" s="4">
        <v>15</v>
      </c>
      <c r="I288" s="7">
        <v>46092</v>
      </c>
      <c r="J288" s="7">
        <v>46094</v>
      </c>
      <c r="K288" s="4" t="s">
        <v>79</v>
      </c>
    </row>
    <row r="289" spans="1:11" x14ac:dyDescent="0.3">
      <c r="A289" s="9">
        <v>1327</v>
      </c>
      <c r="B289" s="9" t="s">
        <v>46</v>
      </c>
      <c r="C289" s="4" t="s">
        <v>19</v>
      </c>
      <c r="D289" s="4" t="s">
        <v>20</v>
      </c>
      <c r="E289" s="4" t="s">
        <v>51</v>
      </c>
      <c r="F289" s="4">
        <v>15</v>
      </c>
      <c r="G289" s="4">
        <v>449</v>
      </c>
      <c r="H289" s="4">
        <v>5</v>
      </c>
      <c r="I289" s="7">
        <v>46152</v>
      </c>
      <c r="J289" s="7">
        <v>46153</v>
      </c>
      <c r="K289" s="4" t="s">
        <v>78</v>
      </c>
    </row>
    <row r="290" spans="1:11" x14ac:dyDescent="0.3">
      <c r="A290" s="9">
        <v>1254</v>
      </c>
      <c r="B290" s="9" t="s">
        <v>50</v>
      </c>
      <c r="C290" s="4" t="s">
        <v>26</v>
      </c>
      <c r="D290" s="4" t="s">
        <v>20</v>
      </c>
      <c r="E290" s="4" t="s">
        <v>48</v>
      </c>
      <c r="F290" s="4">
        <v>18</v>
      </c>
      <c r="G290" s="4">
        <v>447</v>
      </c>
      <c r="H290" s="4">
        <v>15</v>
      </c>
      <c r="I290" s="7">
        <v>46141</v>
      </c>
      <c r="J290" s="7">
        <v>46149</v>
      </c>
      <c r="K290" s="4" t="s">
        <v>80</v>
      </c>
    </row>
    <row r="291" spans="1:11" x14ac:dyDescent="0.3">
      <c r="A291" s="9">
        <v>1029</v>
      </c>
      <c r="B291" s="9" t="s">
        <v>30</v>
      </c>
      <c r="C291" s="4" t="s">
        <v>27</v>
      </c>
      <c r="D291" s="4" t="s">
        <v>20</v>
      </c>
      <c r="E291" s="4" t="s">
        <v>36</v>
      </c>
      <c r="F291" s="4">
        <v>18</v>
      </c>
      <c r="G291" s="4">
        <v>443</v>
      </c>
      <c r="H291" s="4">
        <v>5</v>
      </c>
      <c r="I291" s="7">
        <v>46046</v>
      </c>
      <c r="J291" s="7">
        <v>46054</v>
      </c>
      <c r="K291" s="4" t="s">
        <v>80</v>
      </c>
    </row>
    <row r="292" spans="1:11" x14ac:dyDescent="0.3">
      <c r="A292" s="9">
        <v>1285</v>
      </c>
      <c r="B292" s="9" t="s">
        <v>32</v>
      </c>
      <c r="C292" s="4" t="s">
        <v>38</v>
      </c>
      <c r="D292" s="4" t="s">
        <v>20</v>
      </c>
      <c r="E292" s="4" t="s">
        <v>36</v>
      </c>
      <c r="F292" s="4">
        <v>7</v>
      </c>
      <c r="G292" s="4">
        <v>439</v>
      </c>
      <c r="H292" s="4">
        <v>15</v>
      </c>
      <c r="I292" s="7">
        <v>46055</v>
      </c>
      <c r="J292" s="7">
        <v>46058</v>
      </c>
      <c r="K292" s="4" t="s">
        <v>79</v>
      </c>
    </row>
    <row r="293" spans="1:11" x14ac:dyDescent="0.3">
      <c r="A293" s="9">
        <v>1332</v>
      </c>
      <c r="B293" s="9" t="s">
        <v>49</v>
      </c>
      <c r="C293" s="4" t="s">
        <v>42</v>
      </c>
      <c r="D293" s="4" t="s">
        <v>20</v>
      </c>
      <c r="E293" s="4" t="s">
        <v>48</v>
      </c>
      <c r="F293" s="4">
        <v>7</v>
      </c>
      <c r="G293" s="4">
        <v>439</v>
      </c>
      <c r="H293" s="4">
        <v>2</v>
      </c>
      <c r="I293" s="7">
        <v>46154</v>
      </c>
      <c r="J293" s="7">
        <v>46157</v>
      </c>
      <c r="K293" s="4" t="s">
        <v>78</v>
      </c>
    </row>
    <row r="294" spans="1:11" x14ac:dyDescent="0.3">
      <c r="A294" s="9">
        <v>1120</v>
      </c>
      <c r="B294" s="9" t="s">
        <v>32</v>
      </c>
      <c r="C294" s="4" t="s">
        <v>38</v>
      </c>
      <c r="D294" s="4" t="s">
        <v>20</v>
      </c>
      <c r="E294" s="4" t="s">
        <v>36</v>
      </c>
      <c r="F294" s="4">
        <v>10</v>
      </c>
      <c r="G294" s="4">
        <v>438</v>
      </c>
      <c r="H294" s="4">
        <v>10</v>
      </c>
      <c r="I294" s="7">
        <v>46061</v>
      </c>
      <c r="J294" s="7">
        <v>46065</v>
      </c>
      <c r="K294" s="4" t="s">
        <v>81</v>
      </c>
    </row>
    <row r="295" spans="1:11" x14ac:dyDescent="0.3">
      <c r="A295" s="9">
        <v>1028</v>
      </c>
      <c r="B295" s="9" t="s">
        <v>45</v>
      </c>
      <c r="C295" s="4" t="s">
        <v>26</v>
      </c>
      <c r="D295" s="4" t="s">
        <v>20</v>
      </c>
      <c r="E295" s="4" t="s">
        <v>36</v>
      </c>
      <c r="F295" s="4">
        <v>13</v>
      </c>
      <c r="G295" s="4">
        <v>433</v>
      </c>
      <c r="H295" s="4">
        <v>2</v>
      </c>
      <c r="I295" s="7">
        <v>46116</v>
      </c>
      <c r="J295" s="7">
        <v>46121</v>
      </c>
      <c r="K295" s="4" t="s">
        <v>80</v>
      </c>
    </row>
    <row r="296" spans="1:11" x14ac:dyDescent="0.3">
      <c r="A296" s="9">
        <v>1376</v>
      </c>
      <c r="B296" s="9" t="s">
        <v>50</v>
      </c>
      <c r="C296" s="4" t="s">
        <v>31</v>
      </c>
      <c r="D296" s="4" t="s">
        <v>20</v>
      </c>
      <c r="E296" s="4" t="s">
        <v>48</v>
      </c>
      <c r="F296" s="4">
        <v>20</v>
      </c>
      <c r="G296" s="4">
        <v>429</v>
      </c>
      <c r="H296" s="4">
        <v>5</v>
      </c>
      <c r="I296" s="7">
        <v>46178</v>
      </c>
      <c r="J296" s="7">
        <v>46184</v>
      </c>
      <c r="K296" s="4" t="s">
        <v>79</v>
      </c>
    </row>
    <row r="297" spans="1:11" x14ac:dyDescent="0.3">
      <c r="A297" s="9">
        <v>1165</v>
      </c>
      <c r="B297" s="9" t="s">
        <v>46</v>
      </c>
      <c r="C297" s="4" t="s">
        <v>27</v>
      </c>
      <c r="D297" s="4" t="s">
        <v>20</v>
      </c>
      <c r="E297" s="4" t="s">
        <v>37</v>
      </c>
      <c r="F297" s="4">
        <v>1</v>
      </c>
      <c r="G297" s="4">
        <v>427</v>
      </c>
      <c r="H297" s="4">
        <v>0</v>
      </c>
      <c r="I297" s="7">
        <v>46042</v>
      </c>
      <c r="J297" s="7">
        <v>46050</v>
      </c>
      <c r="K297" s="4" t="s">
        <v>81</v>
      </c>
    </row>
    <row r="298" spans="1:11" x14ac:dyDescent="0.3">
      <c r="A298" s="9">
        <v>1284</v>
      </c>
      <c r="B298" s="9" t="s">
        <v>39</v>
      </c>
      <c r="C298" s="4" t="s">
        <v>27</v>
      </c>
      <c r="D298" s="4" t="s">
        <v>20</v>
      </c>
      <c r="E298" s="4" t="s">
        <v>37</v>
      </c>
      <c r="F298" s="4">
        <v>16</v>
      </c>
      <c r="G298" s="4">
        <v>419</v>
      </c>
      <c r="H298" s="4">
        <v>2</v>
      </c>
      <c r="I298" s="7">
        <v>46082</v>
      </c>
      <c r="J298" s="7">
        <v>46090</v>
      </c>
      <c r="K298" s="4" t="s">
        <v>78</v>
      </c>
    </row>
    <row r="299" spans="1:11" x14ac:dyDescent="0.3">
      <c r="A299" s="9">
        <v>1204</v>
      </c>
      <c r="B299" s="9" t="s">
        <v>22</v>
      </c>
      <c r="C299" s="4" t="s">
        <v>31</v>
      </c>
      <c r="D299" s="4" t="s">
        <v>20</v>
      </c>
      <c r="E299" s="4" t="s">
        <v>37</v>
      </c>
      <c r="F299" s="4">
        <v>13</v>
      </c>
      <c r="G299" s="4">
        <v>416</v>
      </c>
      <c r="H299" s="4">
        <v>10</v>
      </c>
      <c r="I299" s="7">
        <v>46123</v>
      </c>
      <c r="J299" s="7">
        <v>46132</v>
      </c>
      <c r="K299" s="4" t="s">
        <v>79</v>
      </c>
    </row>
    <row r="300" spans="1:11" x14ac:dyDescent="0.3">
      <c r="A300" s="9">
        <v>1333</v>
      </c>
      <c r="B300" s="9" t="s">
        <v>49</v>
      </c>
      <c r="C300" s="4" t="s">
        <v>38</v>
      </c>
      <c r="D300" s="4" t="s">
        <v>20</v>
      </c>
      <c r="E300" s="4" t="s">
        <v>51</v>
      </c>
      <c r="F300" s="4">
        <v>20</v>
      </c>
      <c r="G300" s="4">
        <v>416</v>
      </c>
      <c r="H300" s="4">
        <v>12</v>
      </c>
      <c r="I300" s="7">
        <v>46145</v>
      </c>
      <c r="J300" s="7">
        <v>46146</v>
      </c>
      <c r="K300" s="4" t="s">
        <v>81</v>
      </c>
    </row>
    <row r="301" spans="1:11" x14ac:dyDescent="0.3">
      <c r="A301" s="9">
        <v>1291</v>
      </c>
      <c r="B301" s="9" t="s">
        <v>25</v>
      </c>
      <c r="C301" s="4" t="s">
        <v>23</v>
      </c>
      <c r="D301" s="4" t="s">
        <v>20</v>
      </c>
      <c r="E301" s="4" t="s">
        <v>36</v>
      </c>
      <c r="F301" s="4">
        <v>17</v>
      </c>
      <c r="G301" s="4">
        <v>415</v>
      </c>
      <c r="H301" s="4">
        <v>5</v>
      </c>
      <c r="I301" s="7">
        <v>46137</v>
      </c>
      <c r="J301" s="7">
        <v>46141</v>
      </c>
      <c r="K301" s="4" t="s">
        <v>79</v>
      </c>
    </row>
    <row r="302" spans="1:11" x14ac:dyDescent="0.3">
      <c r="A302" s="9">
        <v>1380</v>
      </c>
      <c r="B302" s="9" t="s">
        <v>50</v>
      </c>
      <c r="C302" s="4" t="s">
        <v>42</v>
      </c>
      <c r="D302" s="4" t="s">
        <v>20</v>
      </c>
      <c r="E302" s="4" t="s">
        <v>51</v>
      </c>
      <c r="F302" s="4">
        <v>3</v>
      </c>
      <c r="G302" s="4">
        <v>412</v>
      </c>
      <c r="H302" s="4">
        <v>7</v>
      </c>
      <c r="I302" s="7">
        <v>46128</v>
      </c>
      <c r="J302" s="7">
        <v>46138</v>
      </c>
      <c r="K302" s="4" t="s">
        <v>80</v>
      </c>
    </row>
    <row r="303" spans="1:11" x14ac:dyDescent="0.3">
      <c r="A303" s="9">
        <v>1256</v>
      </c>
      <c r="B303" s="9" t="s">
        <v>46</v>
      </c>
      <c r="C303" s="4" t="s">
        <v>31</v>
      </c>
      <c r="D303" s="4" t="s">
        <v>20</v>
      </c>
      <c r="E303" s="4" t="s">
        <v>48</v>
      </c>
      <c r="F303" s="4">
        <v>19</v>
      </c>
      <c r="G303" s="4">
        <v>406</v>
      </c>
      <c r="H303" s="4">
        <v>7</v>
      </c>
      <c r="I303" s="7">
        <v>46057</v>
      </c>
      <c r="J303" s="7">
        <v>46061</v>
      </c>
      <c r="K303" s="4" t="s">
        <v>78</v>
      </c>
    </row>
    <row r="304" spans="1:11" x14ac:dyDescent="0.3">
      <c r="A304" s="9">
        <v>1248</v>
      </c>
      <c r="B304" s="9" t="s">
        <v>29</v>
      </c>
      <c r="C304" s="4" t="s">
        <v>42</v>
      </c>
      <c r="D304" s="4" t="s">
        <v>20</v>
      </c>
      <c r="E304" s="4" t="s">
        <v>37</v>
      </c>
      <c r="F304" s="4">
        <v>5</v>
      </c>
      <c r="G304" s="4">
        <v>398</v>
      </c>
      <c r="H304" s="4">
        <v>7</v>
      </c>
      <c r="I304" s="7">
        <v>46161</v>
      </c>
      <c r="J304" s="7">
        <v>46171</v>
      </c>
      <c r="K304" s="4" t="s">
        <v>49</v>
      </c>
    </row>
    <row r="305" spans="1:11" x14ac:dyDescent="0.3">
      <c r="A305" s="9">
        <v>1083</v>
      </c>
      <c r="B305" s="9" t="s">
        <v>53</v>
      </c>
      <c r="C305" s="4" t="s">
        <v>33</v>
      </c>
      <c r="D305" s="4" t="s">
        <v>20</v>
      </c>
      <c r="E305" s="4" t="s">
        <v>51</v>
      </c>
      <c r="F305" s="4">
        <v>4</v>
      </c>
      <c r="G305" s="4">
        <v>397</v>
      </c>
      <c r="H305" s="4">
        <v>7</v>
      </c>
      <c r="I305" s="7">
        <v>46185</v>
      </c>
      <c r="J305" s="7">
        <v>46193</v>
      </c>
      <c r="K305" s="4" t="s">
        <v>78</v>
      </c>
    </row>
    <row r="306" spans="1:11" x14ac:dyDescent="0.3">
      <c r="A306" s="9">
        <v>1166</v>
      </c>
      <c r="B306" s="9" t="s">
        <v>32</v>
      </c>
      <c r="C306" s="4" t="s">
        <v>31</v>
      </c>
      <c r="D306" s="4" t="s">
        <v>20</v>
      </c>
      <c r="E306" s="4" t="s">
        <v>37</v>
      </c>
      <c r="F306" s="4">
        <v>1</v>
      </c>
      <c r="G306" s="4">
        <v>396</v>
      </c>
      <c r="H306" s="4">
        <v>5</v>
      </c>
      <c r="I306" s="7">
        <v>46092</v>
      </c>
      <c r="J306" s="7">
        <v>46093</v>
      </c>
      <c r="K306" s="4" t="s">
        <v>79</v>
      </c>
    </row>
    <row r="307" spans="1:11" x14ac:dyDescent="0.3">
      <c r="A307" s="9">
        <v>1074</v>
      </c>
      <c r="B307" s="9" t="s">
        <v>28</v>
      </c>
      <c r="C307" s="4" t="s">
        <v>31</v>
      </c>
      <c r="D307" s="4" t="s">
        <v>20</v>
      </c>
      <c r="E307" s="4" t="s">
        <v>48</v>
      </c>
      <c r="F307" s="4">
        <v>11</v>
      </c>
      <c r="G307" s="4">
        <v>390</v>
      </c>
      <c r="H307" s="4">
        <v>15</v>
      </c>
      <c r="I307" s="7">
        <v>46114</v>
      </c>
      <c r="J307" s="7">
        <v>46123</v>
      </c>
      <c r="K307" s="4" t="s">
        <v>49</v>
      </c>
    </row>
    <row r="308" spans="1:11" x14ac:dyDescent="0.3">
      <c r="A308" s="9">
        <v>1087</v>
      </c>
      <c r="B308" s="9" t="s">
        <v>18</v>
      </c>
      <c r="C308" s="4" t="s">
        <v>31</v>
      </c>
      <c r="D308" s="4" t="s">
        <v>20</v>
      </c>
      <c r="E308" s="4" t="s">
        <v>37</v>
      </c>
      <c r="F308" s="4">
        <v>13</v>
      </c>
      <c r="G308" s="4">
        <v>387</v>
      </c>
      <c r="H308" s="4">
        <v>7</v>
      </c>
      <c r="I308" s="7">
        <v>46171</v>
      </c>
      <c r="J308" s="7">
        <v>46176</v>
      </c>
      <c r="K308" s="4" t="s">
        <v>80</v>
      </c>
    </row>
    <row r="309" spans="1:11" x14ac:dyDescent="0.3">
      <c r="A309" s="9">
        <v>1337</v>
      </c>
      <c r="B309" s="9" t="s">
        <v>22</v>
      </c>
      <c r="C309" s="4" t="s">
        <v>19</v>
      </c>
      <c r="D309" s="4" t="s">
        <v>20</v>
      </c>
      <c r="E309" s="4" t="s">
        <v>51</v>
      </c>
      <c r="F309" s="4">
        <v>14</v>
      </c>
      <c r="G309" s="4">
        <v>373</v>
      </c>
      <c r="H309" s="4">
        <v>10</v>
      </c>
      <c r="I309" s="7">
        <v>46074</v>
      </c>
      <c r="J309" s="7">
        <v>46080</v>
      </c>
      <c r="K309" s="4" t="s">
        <v>49</v>
      </c>
    </row>
    <row r="310" spans="1:11" x14ac:dyDescent="0.3">
      <c r="A310" s="9">
        <v>1367</v>
      </c>
      <c r="B310" s="9" t="s">
        <v>52</v>
      </c>
      <c r="C310" s="4" t="s">
        <v>27</v>
      </c>
      <c r="D310" s="4" t="s">
        <v>20</v>
      </c>
      <c r="E310" s="4" t="s">
        <v>51</v>
      </c>
      <c r="F310" s="4">
        <v>1</v>
      </c>
      <c r="G310" s="4">
        <v>371</v>
      </c>
      <c r="H310" s="4">
        <v>5</v>
      </c>
      <c r="I310" s="7">
        <v>46158</v>
      </c>
      <c r="J310" s="7">
        <v>46168</v>
      </c>
      <c r="K310" s="4" t="s">
        <v>49</v>
      </c>
    </row>
    <row r="311" spans="1:11" x14ac:dyDescent="0.3">
      <c r="A311" s="9">
        <v>1304</v>
      </c>
      <c r="B311" s="9" t="s">
        <v>56</v>
      </c>
      <c r="C311" s="4" t="s">
        <v>27</v>
      </c>
      <c r="D311" s="4" t="s">
        <v>20</v>
      </c>
      <c r="E311" s="4" t="s">
        <v>36</v>
      </c>
      <c r="F311" s="4">
        <v>20</v>
      </c>
      <c r="G311" s="4">
        <v>368</v>
      </c>
      <c r="H311" s="4">
        <v>7</v>
      </c>
      <c r="I311" s="7">
        <v>46042</v>
      </c>
      <c r="J311" s="7">
        <v>46051</v>
      </c>
      <c r="K311" s="4" t="s">
        <v>81</v>
      </c>
    </row>
    <row r="312" spans="1:11" x14ac:dyDescent="0.3">
      <c r="A312" s="9">
        <v>1266</v>
      </c>
      <c r="B312" s="9" t="s">
        <v>49</v>
      </c>
      <c r="C312" s="4" t="s">
        <v>33</v>
      </c>
      <c r="D312" s="4" t="s">
        <v>20</v>
      </c>
      <c r="E312" s="4" t="s">
        <v>21</v>
      </c>
      <c r="F312" s="4">
        <v>17</v>
      </c>
      <c r="G312" s="4">
        <v>365</v>
      </c>
      <c r="H312" s="4">
        <v>2</v>
      </c>
      <c r="I312" s="7">
        <v>46096</v>
      </c>
      <c r="J312" s="7">
        <v>46104</v>
      </c>
      <c r="K312" s="4" t="s">
        <v>81</v>
      </c>
    </row>
    <row r="313" spans="1:11" x14ac:dyDescent="0.3">
      <c r="A313" s="9">
        <v>1357</v>
      </c>
      <c r="B313" s="9" t="s">
        <v>56</v>
      </c>
      <c r="C313" s="4" t="s">
        <v>27</v>
      </c>
      <c r="D313" s="4" t="s">
        <v>20</v>
      </c>
      <c r="E313" s="4" t="s">
        <v>37</v>
      </c>
      <c r="F313" s="4">
        <v>6</v>
      </c>
      <c r="G313" s="4">
        <v>365</v>
      </c>
      <c r="H313" s="4">
        <v>7</v>
      </c>
      <c r="I313" s="7">
        <v>46133</v>
      </c>
      <c r="J313" s="7">
        <v>46140</v>
      </c>
      <c r="K313" s="4" t="s">
        <v>81</v>
      </c>
    </row>
    <row r="314" spans="1:11" x14ac:dyDescent="0.3">
      <c r="A314" s="9">
        <v>1050</v>
      </c>
      <c r="B314" s="9" t="s">
        <v>32</v>
      </c>
      <c r="C314" s="4" t="s">
        <v>27</v>
      </c>
      <c r="D314" s="4" t="s">
        <v>20</v>
      </c>
      <c r="E314" s="4" t="s">
        <v>51</v>
      </c>
      <c r="F314" s="4">
        <v>12</v>
      </c>
      <c r="G314" s="4">
        <v>360</v>
      </c>
      <c r="H314" s="4">
        <v>5</v>
      </c>
      <c r="I314" s="7">
        <v>46127</v>
      </c>
      <c r="J314" s="7">
        <v>46137</v>
      </c>
      <c r="K314" s="4" t="s">
        <v>49</v>
      </c>
    </row>
    <row r="315" spans="1:11" x14ac:dyDescent="0.3">
      <c r="A315" s="9">
        <v>1181</v>
      </c>
      <c r="B315" s="9" t="s">
        <v>55</v>
      </c>
      <c r="C315" s="4" t="s">
        <v>33</v>
      </c>
      <c r="D315" s="4" t="s">
        <v>20</v>
      </c>
      <c r="E315" s="4" t="s">
        <v>36</v>
      </c>
      <c r="F315" s="4">
        <v>4</v>
      </c>
      <c r="G315" s="4">
        <v>357</v>
      </c>
      <c r="H315" s="4">
        <v>2</v>
      </c>
      <c r="I315" s="7">
        <v>46033</v>
      </c>
      <c r="J315" s="7">
        <v>46035</v>
      </c>
      <c r="K315" s="4" t="s">
        <v>78</v>
      </c>
    </row>
    <row r="316" spans="1:11" x14ac:dyDescent="0.3">
      <c r="A316" s="9">
        <v>1210</v>
      </c>
      <c r="B316" s="9" t="s">
        <v>30</v>
      </c>
      <c r="C316" s="4" t="s">
        <v>31</v>
      </c>
      <c r="D316" s="4" t="s">
        <v>20</v>
      </c>
      <c r="E316" s="4" t="s">
        <v>51</v>
      </c>
      <c r="F316" s="4">
        <v>10</v>
      </c>
      <c r="G316" s="4">
        <v>349</v>
      </c>
      <c r="H316" s="4">
        <v>0</v>
      </c>
      <c r="I316" s="7">
        <v>46052</v>
      </c>
      <c r="J316" s="7">
        <v>46060</v>
      </c>
      <c r="K316" s="4" t="s">
        <v>49</v>
      </c>
    </row>
    <row r="317" spans="1:11" x14ac:dyDescent="0.3">
      <c r="A317" s="9">
        <v>1098</v>
      </c>
      <c r="B317" s="9" t="s">
        <v>28</v>
      </c>
      <c r="C317" s="4" t="s">
        <v>27</v>
      </c>
      <c r="D317" s="4" t="s">
        <v>20</v>
      </c>
      <c r="E317" s="4" t="s">
        <v>51</v>
      </c>
      <c r="F317" s="4">
        <v>17</v>
      </c>
      <c r="G317" s="4">
        <v>345</v>
      </c>
      <c r="H317" s="4">
        <v>2</v>
      </c>
      <c r="I317" s="7">
        <v>46126</v>
      </c>
      <c r="J317" s="7">
        <v>46127</v>
      </c>
      <c r="K317" s="4" t="s">
        <v>81</v>
      </c>
    </row>
    <row r="318" spans="1:11" x14ac:dyDescent="0.3">
      <c r="A318" s="9">
        <v>1170</v>
      </c>
      <c r="B318" s="9" t="s">
        <v>47</v>
      </c>
      <c r="C318" s="4" t="s">
        <v>38</v>
      </c>
      <c r="D318" s="4" t="s">
        <v>20</v>
      </c>
      <c r="E318" s="4" t="s">
        <v>21</v>
      </c>
      <c r="F318" s="4">
        <v>6</v>
      </c>
      <c r="G318" s="4">
        <v>339</v>
      </c>
      <c r="H318" s="4">
        <v>12</v>
      </c>
      <c r="I318" s="7">
        <v>46105</v>
      </c>
      <c r="J318" s="7">
        <v>46106</v>
      </c>
      <c r="K318" s="4" t="s">
        <v>80</v>
      </c>
    </row>
    <row r="319" spans="1:11" x14ac:dyDescent="0.3">
      <c r="A319" s="9">
        <v>1370</v>
      </c>
      <c r="B319" s="9" t="s">
        <v>56</v>
      </c>
      <c r="C319" s="4" t="s">
        <v>38</v>
      </c>
      <c r="D319" s="4" t="s">
        <v>20</v>
      </c>
      <c r="E319" s="4" t="s">
        <v>51</v>
      </c>
      <c r="F319" s="4">
        <v>13</v>
      </c>
      <c r="G319" s="4">
        <v>337</v>
      </c>
      <c r="H319" s="4">
        <v>7</v>
      </c>
      <c r="I319" s="7">
        <v>46184</v>
      </c>
      <c r="J319" s="7">
        <v>46188</v>
      </c>
      <c r="K319" s="4" t="s">
        <v>78</v>
      </c>
    </row>
    <row r="320" spans="1:11" x14ac:dyDescent="0.3">
      <c r="A320" s="9">
        <v>1030</v>
      </c>
      <c r="B320" s="9" t="s">
        <v>50</v>
      </c>
      <c r="C320" s="4" t="s">
        <v>19</v>
      </c>
      <c r="D320" s="4" t="s">
        <v>20</v>
      </c>
      <c r="E320" s="4" t="s">
        <v>51</v>
      </c>
      <c r="F320" s="4">
        <v>13</v>
      </c>
      <c r="G320" s="4">
        <v>336</v>
      </c>
      <c r="H320" s="4">
        <v>10</v>
      </c>
      <c r="I320" s="7">
        <v>46098</v>
      </c>
      <c r="J320" s="7">
        <v>46108</v>
      </c>
      <c r="K320" s="4" t="s">
        <v>78</v>
      </c>
    </row>
    <row r="321" spans="1:11" x14ac:dyDescent="0.3">
      <c r="A321" s="9">
        <v>1247</v>
      </c>
      <c r="B321" s="9" t="s">
        <v>28</v>
      </c>
      <c r="C321" s="4" t="s">
        <v>19</v>
      </c>
      <c r="D321" s="4" t="s">
        <v>20</v>
      </c>
      <c r="E321" s="4" t="s">
        <v>48</v>
      </c>
      <c r="F321" s="4">
        <v>10</v>
      </c>
      <c r="G321" s="4">
        <v>336</v>
      </c>
      <c r="H321" s="4">
        <v>7</v>
      </c>
      <c r="I321" s="7">
        <v>46173</v>
      </c>
      <c r="J321" s="7">
        <v>46175</v>
      </c>
      <c r="K321" s="4" t="s">
        <v>79</v>
      </c>
    </row>
    <row r="322" spans="1:11" x14ac:dyDescent="0.3">
      <c r="A322" s="9">
        <v>1168</v>
      </c>
      <c r="B322" s="9" t="s">
        <v>52</v>
      </c>
      <c r="C322" s="4" t="s">
        <v>19</v>
      </c>
      <c r="D322" s="4" t="s">
        <v>20</v>
      </c>
      <c r="E322" s="4" t="s">
        <v>37</v>
      </c>
      <c r="F322" s="4">
        <v>18</v>
      </c>
      <c r="G322" s="4">
        <v>335</v>
      </c>
      <c r="H322" s="4">
        <v>15</v>
      </c>
      <c r="I322" s="7">
        <v>46130</v>
      </c>
      <c r="J322" s="7">
        <v>46140</v>
      </c>
      <c r="K322" s="4" t="s">
        <v>49</v>
      </c>
    </row>
    <row r="323" spans="1:11" x14ac:dyDescent="0.3">
      <c r="A323" s="9">
        <v>1383</v>
      </c>
      <c r="B323" s="9" t="s">
        <v>32</v>
      </c>
      <c r="C323" s="4" t="s">
        <v>19</v>
      </c>
      <c r="D323" s="4" t="s">
        <v>20</v>
      </c>
      <c r="E323" s="4" t="s">
        <v>51</v>
      </c>
      <c r="F323" s="4">
        <v>14</v>
      </c>
      <c r="G323" s="4">
        <v>334</v>
      </c>
      <c r="H323" s="4">
        <v>10</v>
      </c>
      <c r="I323" s="7">
        <v>46196</v>
      </c>
      <c r="J323" s="7">
        <v>46203</v>
      </c>
      <c r="K323" s="4" t="s">
        <v>78</v>
      </c>
    </row>
    <row r="324" spans="1:11" x14ac:dyDescent="0.3">
      <c r="A324" s="9">
        <v>1306</v>
      </c>
      <c r="B324" s="9" t="s">
        <v>52</v>
      </c>
      <c r="C324" s="4" t="s">
        <v>42</v>
      </c>
      <c r="D324" s="4" t="s">
        <v>20</v>
      </c>
      <c r="E324" s="4" t="s">
        <v>36</v>
      </c>
      <c r="F324" s="4">
        <v>1</v>
      </c>
      <c r="G324" s="4">
        <v>332</v>
      </c>
      <c r="H324" s="4">
        <v>0</v>
      </c>
      <c r="I324" s="7">
        <v>46191</v>
      </c>
      <c r="J324" s="7">
        <v>46194</v>
      </c>
      <c r="K324" s="4" t="s">
        <v>79</v>
      </c>
    </row>
    <row r="325" spans="1:11" x14ac:dyDescent="0.3">
      <c r="A325" s="9">
        <v>1026</v>
      </c>
      <c r="B325" s="9" t="s">
        <v>47</v>
      </c>
      <c r="C325" s="4" t="s">
        <v>31</v>
      </c>
      <c r="D325" s="4" t="s">
        <v>20</v>
      </c>
      <c r="E325" s="4" t="s">
        <v>48</v>
      </c>
      <c r="F325" s="4">
        <v>17</v>
      </c>
      <c r="G325" s="4">
        <v>323</v>
      </c>
      <c r="H325" s="4">
        <v>10</v>
      </c>
      <c r="I325" s="7">
        <v>46039</v>
      </c>
      <c r="J325" s="7">
        <v>46040</v>
      </c>
      <c r="K325" s="4" t="s">
        <v>49</v>
      </c>
    </row>
    <row r="326" spans="1:11" x14ac:dyDescent="0.3">
      <c r="A326" s="9">
        <v>1195</v>
      </c>
      <c r="B326" s="9" t="s">
        <v>56</v>
      </c>
      <c r="C326" s="4" t="s">
        <v>23</v>
      </c>
      <c r="D326" s="4" t="s">
        <v>20</v>
      </c>
      <c r="E326" s="4" t="s">
        <v>48</v>
      </c>
      <c r="F326" s="4">
        <v>19</v>
      </c>
      <c r="G326" s="4">
        <v>313</v>
      </c>
      <c r="H326" s="4">
        <v>2</v>
      </c>
      <c r="I326" s="7">
        <v>46198</v>
      </c>
      <c r="J326" s="7">
        <v>46206</v>
      </c>
      <c r="K326" s="4" t="s">
        <v>81</v>
      </c>
    </row>
    <row r="327" spans="1:11" x14ac:dyDescent="0.3">
      <c r="A327" s="9">
        <v>1183</v>
      </c>
      <c r="B327" s="9" t="s">
        <v>50</v>
      </c>
      <c r="C327" s="4" t="s">
        <v>42</v>
      </c>
      <c r="D327" s="4" t="s">
        <v>20</v>
      </c>
      <c r="E327" s="4" t="s">
        <v>21</v>
      </c>
      <c r="F327" s="4">
        <v>2</v>
      </c>
      <c r="G327" s="4">
        <v>309</v>
      </c>
      <c r="H327" s="4">
        <v>2</v>
      </c>
      <c r="I327" s="7">
        <v>46109</v>
      </c>
      <c r="J327" s="7">
        <v>46111</v>
      </c>
      <c r="K327" s="4" t="s">
        <v>79</v>
      </c>
    </row>
    <row r="328" spans="1:11" x14ac:dyDescent="0.3">
      <c r="A328" s="9">
        <v>1091</v>
      </c>
      <c r="B328" s="9" t="s">
        <v>53</v>
      </c>
      <c r="C328" s="4" t="s">
        <v>23</v>
      </c>
      <c r="D328" s="4" t="s">
        <v>20</v>
      </c>
      <c r="E328" s="4" t="s">
        <v>51</v>
      </c>
      <c r="F328" s="4">
        <v>2</v>
      </c>
      <c r="G328" s="4">
        <v>305</v>
      </c>
      <c r="H328" s="4">
        <v>0</v>
      </c>
      <c r="I328" s="7">
        <v>46136</v>
      </c>
      <c r="J328" s="7">
        <v>46144</v>
      </c>
      <c r="K328" s="4" t="s">
        <v>78</v>
      </c>
    </row>
    <row r="329" spans="1:11" x14ac:dyDescent="0.3">
      <c r="A329" s="9">
        <v>1115</v>
      </c>
      <c r="B329" s="9" t="s">
        <v>56</v>
      </c>
      <c r="C329" s="4" t="s">
        <v>42</v>
      </c>
      <c r="D329" s="4" t="s">
        <v>20</v>
      </c>
      <c r="E329" s="4" t="s">
        <v>48</v>
      </c>
      <c r="F329" s="4">
        <v>9</v>
      </c>
      <c r="G329" s="4">
        <v>303</v>
      </c>
      <c r="H329" s="4">
        <v>10</v>
      </c>
      <c r="I329" s="7">
        <v>46149</v>
      </c>
      <c r="J329" s="7">
        <v>46157</v>
      </c>
      <c r="K329" s="4" t="s">
        <v>49</v>
      </c>
    </row>
    <row r="330" spans="1:11" x14ac:dyDescent="0.3">
      <c r="A330" s="9">
        <v>1339</v>
      </c>
      <c r="B330" s="9" t="s">
        <v>32</v>
      </c>
      <c r="C330" s="4" t="s">
        <v>27</v>
      </c>
      <c r="D330" s="4" t="s">
        <v>20</v>
      </c>
      <c r="E330" s="4" t="s">
        <v>21</v>
      </c>
      <c r="F330" s="4">
        <v>6</v>
      </c>
      <c r="G330" s="4">
        <v>302</v>
      </c>
      <c r="H330" s="4">
        <v>5</v>
      </c>
      <c r="I330" s="7">
        <v>46142</v>
      </c>
      <c r="J330" s="7">
        <v>46148</v>
      </c>
      <c r="K330" s="4" t="s">
        <v>79</v>
      </c>
    </row>
    <row r="331" spans="1:11" x14ac:dyDescent="0.3">
      <c r="A331" s="9">
        <v>1018</v>
      </c>
      <c r="B331" s="9" t="s">
        <v>45</v>
      </c>
      <c r="C331" s="4" t="s">
        <v>27</v>
      </c>
      <c r="D331" s="4" t="s">
        <v>20</v>
      </c>
      <c r="E331" s="4" t="s">
        <v>21</v>
      </c>
      <c r="F331" s="4">
        <v>20</v>
      </c>
      <c r="G331" s="4">
        <v>301</v>
      </c>
      <c r="H331" s="4">
        <v>0</v>
      </c>
      <c r="I331" s="7">
        <v>46089</v>
      </c>
      <c r="J331" s="7">
        <v>46094</v>
      </c>
      <c r="K331" s="4" t="s">
        <v>49</v>
      </c>
    </row>
    <row r="332" spans="1:11" x14ac:dyDescent="0.3">
      <c r="A332" s="9">
        <v>1100</v>
      </c>
      <c r="B332" s="9" t="s">
        <v>18</v>
      </c>
      <c r="C332" s="4" t="s">
        <v>31</v>
      </c>
      <c r="D332" s="4" t="s">
        <v>20</v>
      </c>
      <c r="E332" s="4" t="s">
        <v>21</v>
      </c>
      <c r="F332" s="4">
        <v>11</v>
      </c>
      <c r="G332" s="4">
        <v>296</v>
      </c>
      <c r="H332" s="4">
        <v>10</v>
      </c>
      <c r="I332" s="7">
        <v>46027</v>
      </c>
      <c r="J332" s="7">
        <v>46031</v>
      </c>
      <c r="K332" s="4" t="s">
        <v>81</v>
      </c>
    </row>
    <row r="333" spans="1:11" x14ac:dyDescent="0.3">
      <c r="A333" s="9">
        <v>1277</v>
      </c>
      <c r="B333" s="9" t="s">
        <v>56</v>
      </c>
      <c r="C333" s="4" t="s">
        <v>23</v>
      </c>
      <c r="D333" s="4" t="s">
        <v>20</v>
      </c>
      <c r="E333" s="4" t="s">
        <v>36</v>
      </c>
      <c r="F333" s="4">
        <v>14</v>
      </c>
      <c r="G333" s="4">
        <v>276</v>
      </c>
      <c r="H333" s="4">
        <v>0</v>
      </c>
      <c r="I333" s="7">
        <v>46086</v>
      </c>
      <c r="J333" s="7">
        <v>46089</v>
      </c>
      <c r="K333" s="4" t="s">
        <v>78</v>
      </c>
    </row>
    <row r="334" spans="1:11" x14ac:dyDescent="0.3">
      <c r="A334" s="9">
        <v>1151</v>
      </c>
      <c r="B334" s="9" t="s">
        <v>44</v>
      </c>
      <c r="C334" s="4" t="s">
        <v>42</v>
      </c>
      <c r="D334" s="4" t="s">
        <v>20</v>
      </c>
      <c r="E334" s="4" t="s">
        <v>48</v>
      </c>
      <c r="F334" s="4">
        <v>20</v>
      </c>
      <c r="G334" s="4">
        <v>272</v>
      </c>
      <c r="H334" s="4">
        <v>15</v>
      </c>
      <c r="I334" s="7">
        <v>46024</v>
      </c>
      <c r="J334" s="7">
        <v>46029</v>
      </c>
      <c r="K334" s="4" t="s">
        <v>81</v>
      </c>
    </row>
    <row r="335" spans="1:11" x14ac:dyDescent="0.3">
      <c r="A335" s="9">
        <v>1132</v>
      </c>
      <c r="B335" s="9" t="s">
        <v>18</v>
      </c>
      <c r="C335" s="4" t="s">
        <v>31</v>
      </c>
      <c r="D335" s="4" t="s">
        <v>20</v>
      </c>
      <c r="E335" s="4" t="s">
        <v>48</v>
      </c>
      <c r="F335" s="4">
        <v>10</v>
      </c>
      <c r="G335" s="4">
        <v>270</v>
      </c>
      <c r="H335" s="4">
        <v>7</v>
      </c>
      <c r="I335" s="7">
        <v>46024</v>
      </c>
      <c r="J335" s="7">
        <v>46034</v>
      </c>
      <c r="K335" s="4" t="s">
        <v>80</v>
      </c>
    </row>
    <row r="336" spans="1:11" x14ac:dyDescent="0.3">
      <c r="A336" s="9">
        <v>1137</v>
      </c>
      <c r="B336" s="9" t="s">
        <v>50</v>
      </c>
      <c r="C336" s="4" t="s">
        <v>19</v>
      </c>
      <c r="D336" s="4" t="s">
        <v>20</v>
      </c>
      <c r="E336" s="4" t="s">
        <v>37</v>
      </c>
      <c r="F336" s="4">
        <v>16</v>
      </c>
      <c r="G336" s="4">
        <v>270</v>
      </c>
      <c r="H336" s="4">
        <v>10</v>
      </c>
      <c r="I336" s="7">
        <v>46184</v>
      </c>
      <c r="J336" s="7">
        <v>46190</v>
      </c>
      <c r="K336" s="4" t="s">
        <v>49</v>
      </c>
    </row>
    <row r="337" spans="1:11" x14ac:dyDescent="0.3">
      <c r="A337" s="9">
        <v>1235</v>
      </c>
      <c r="B337" s="9" t="s">
        <v>54</v>
      </c>
      <c r="C337" s="4" t="s">
        <v>27</v>
      </c>
      <c r="D337" s="4" t="s">
        <v>20</v>
      </c>
      <c r="E337" s="4" t="s">
        <v>48</v>
      </c>
      <c r="F337" s="4">
        <v>15</v>
      </c>
      <c r="G337" s="4">
        <v>267</v>
      </c>
      <c r="H337" s="4">
        <v>15</v>
      </c>
      <c r="I337" s="7">
        <v>46172</v>
      </c>
      <c r="J337" s="7">
        <v>46177</v>
      </c>
      <c r="K337" s="4" t="s">
        <v>49</v>
      </c>
    </row>
    <row r="338" spans="1:11" x14ac:dyDescent="0.3">
      <c r="A338" s="9">
        <v>1027</v>
      </c>
      <c r="B338" s="9" t="s">
        <v>49</v>
      </c>
      <c r="C338" s="4" t="s">
        <v>42</v>
      </c>
      <c r="D338" s="4" t="s">
        <v>20</v>
      </c>
      <c r="E338" s="4" t="s">
        <v>48</v>
      </c>
      <c r="F338" s="4">
        <v>4</v>
      </c>
      <c r="G338" s="4">
        <v>264</v>
      </c>
      <c r="H338" s="4">
        <v>0</v>
      </c>
      <c r="I338" s="7">
        <v>46155</v>
      </c>
      <c r="J338" s="7">
        <v>46161</v>
      </c>
      <c r="K338" s="4" t="s">
        <v>81</v>
      </c>
    </row>
    <row r="339" spans="1:11" x14ac:dyDescent="0.3">
      <c r="A339" s="9">
        <v>1252</v>
      </c>
      <c r="B339" s="9" t="s">
        <v>45</v>
      </c>
      <c r="C339" s="4" t="s">
        <v>27</v>
      </c>
      <c r="D339" s="4" t="s">
        <v>20</v>
      </c>
      <c r="E339" s="4" t="s">
        <v>36</v>
      </c>
      <c r="F339" s="4">
        <v>15</v>
      </c>
      <c r="G339" s="4">
        <v>257</v>
      </c>
      <c r="H339" s="4">
        <v>5</v>
      </c>
      <c r="I339" s="7">
        <v>46166</v>
      </c>
      <c r="J339" s="7">
        <v>46173</v>
      </c>
      <c r="K339" s="4" t="s">
        <v>79</v>
      </c>
    </row>
    <row r="340" spans="1:11" x14ac:dyDescent="0.3">
      <c r="A340" s="9">
        <v>1281</v>
      </c>
      <c r="B340" s="9" t="s">
        <v>53</v>
      </c>
      <c r="C340" s="4" t="s">
        <v>23</v>
      </c>
      <c r="D340" s="4" t="s">
        <v>20</v>
      </c>
      <c r="E340" s="4" t="s">
        <v>48</v>
      </c>
      <c r="F340" s="4">
        <v>6</v>
      </c>
      <c r="G340" s="4">
        <v>253</v>
      </c>
      <c r="H340" s="4">
        <v>0</v>
      </c>
      <c r="I340" s="7">
        <v>46055</v>
      </c>
      <c r="J340" s="7">
        <v>46063</v>
      </c>
      <c r="K340" s="4" t="s">
        <v>80</v>
      </c>
    </row>
    <row r="341" spans="1:11" x14ac:dyDescent="0.3">
      <c r="A341" s="9">
        <v>1287</v>
      </c>
      <c r="B341" s="9" t="s">
        <v>56</v>
      </c>
      <c r="C341" s="4" t="s">
        <v>31</v>
      </c>
      <c r="D341" s="4" t="s">
        <v>20</v>
      </c>
      <c r="E341" s="4" t="s">
        <v>21</v>
      </c>
      <c r="F341" s="4">
        <v>15</v>
      </c>
      <c r="G341" s="4">
        <v>251</v>
      </c>
      <c r="H341" s="4">
        <v>2</v>
      </c>
      <c r="I341" s="7">
        <v>46116</v>
      </c>
      <c r="J341" s="7">
        <v>46122</v>
      </c>
      <c r="K341" s="4" t="s">
        <v>81</v>
      </c>
    </row>
    <row r="342" spans="1:11" x14ac:dyDescent="0.3">
      <c r="A342" s="9">
        <v>1167</v>
      </c>
      <c r="B342" s="9" t="s">
        <v>46</v>
      </c>
      <c r="C342" s="4" t="s">
        <v>23</v>
      </c>
      <c r="D342" s="4" t="s">
        <v>20</v>
      </c>
      <c r="E342" s="4" t="s">
        <v>37</v>
      </c>
      <c r="F342" s="4">
        <v>20</v>
      </c>
      <c r="G342" s="4">
        <v>251</v>
      </c>
      <c r="H342" s="4">
        <v>5</v>
      </c>
      <c r="I342" s="7">
        <v>46160</v>
      </c>
      <c r="J342" s="7">
        <v>46170</v>
      </c>
      <c r="K342" s="4" t="s">
        <v>49</v>
      </c>
    </row>
    <row r="343" spans="1:11" x14ac:dyDescent="0.3">
      <c r="A343" s="9">
        <v>1348</v>
      </c>
      <c r="B343" s="9" t="s">
        <v>18</v>
      </c>
      <c r="C343" s="4" t="s">
        <v>33</v>
      </c>
      <c r="D343" s="4" t="s">
        <v>20</v>
      </c>
      <c r="E343" s="4" t="s">
        <v>48</v>
      </c>
      <c r="F343" s="4">
        <v>12</v>
      </c>
      <c r="G343" s="4">
        <v>244</v>
      </c>
      <c r="H343" s="4">
        <v>7</v>
      </c>
      <c r="I343" s="7">
        <v>46048</v>
      </c>
      <c r="J343" s="7">
        <v>46053</v>
      </c>
      <c r="K343" s="4" t="s">
        <v>78</v>
      </c>
    </row>
    <row r="344" spans="1:11" x14ac:dyDescent="0.3">
      <c r="A344" s="9">
        <v>1207</v>
      </c>
      <c r="B344" s="9" t="s">
        <v>53</v>
      </c>
      <c r="C344" s="4" t="s">
        <v>27</v>
      </c>
      <c r="D344" s="4" t="s">
        <v>20</v>
      </c>
      <c r="E344" s="4" t="s">
        <v>51</v>
      </c>
      <c r="F344" s="4">
        <v>7</v>
      </c>
      <c r="G344" s="4">
        <v>244</v>
      </c>
      <c r="H344" s="4">
        <v>2</v>
      </c>
      <c r="I344" s="7">
        <v>46164</v>
      </c>
      <c r="J344" s="7">
        <v>46173</v>
      </c>
      <c r="K344" s="4" t="s">
        <v>80</v>
      </c>
    </row>
    <row r="345" spans="1:11" x14ac:dyDescent="0.3">
      <c r="A345" s="9">
        <v>1344</v>
      </c>
      <c r="B345" s="9" t="s">
        <v>30</v>
      </c>
      <c r="C345" s="4" t="s">
        <v>23</v>
      </c>
      <c r="D345" s="4" t="s">
        <v>20</v>
      </c>
      <c r="E345" s="4" t="s">
        <v>51</v>
      </c>
      <c r="F345" s="4">
        <v>18</v>
      </c>
      <c r="G345" s="4">
        <v>240</v>
      </c>
      <c r="H345" s="4">
        <v>10</v>
      </c>
      <c r="I345" s="7">
        <v>46155</v>
      </c>
      <c r="J345" s="7">
        <v>46156</v>
      </c>
      <c r="K345" s="4" t="s">
        <v>80</v>
      </c>
    </row>
    <row r="346" spans="1:11" x14ac:dyDescent="0.3">
      <c r="A346" s="9">
        <v>1070</v>
      </c>
      <c r="B346" s="9" t="s">
        <v>50</v>
      </c>
      <c r="C346" s="4" t="s">
        <v>42</v>
      </c>
      <c r="D346" s="4" t="s">
        <v>20</v>
      </c>
      <c r="E346" s="4" t="s">
        <v>36</v>
      </c>
      <c r="F346" s="4">
        <v>10</v>
      </c>
      <c r="G346" s="4">
        <v>233</v>
      </c>
      <c r="H346" s="4">
        <v>7</v>
      </c>
      <c r="I346" s="7">
        <v>46076</v>
      </c>
      <c r="J346" s="7">
        <v>46077</v>
      </c>
      <c r="K346" s="4" t="s">
        <v>49</v>
      </c>
    </row>
    <row r="347" spans="1:11" x14ac:dyDescent="0.3">
      <c r="A347" s="9">
        <v>1042</v>
      </c>
      <c r="B347" s="9" t="s">
        <v>44</v>
      </c>
      <c r="C347" s="4" t="s">
        <v>33</v>
      </c>
      <c r="D347" s="4" t="s">
        <v>20</v>
      </c>
      <c r="E347" s="4" t="s">
        <v>51</v>
      </c>
      <c r="F347" s="4">
        <v>16</v>
      </c>
      <c r="G347" s="4">
        <v>232</v>
      </c>
      <c r="H347" s="4">
        <v>0</v>
      </c>
      <c r="I347" s="7">
        <v>46081</v>
      </c>
      <c r="J347" s="7">
        <v>46088</v>
      </c>
      <c r="K347" s="4" t="s">
        <v>49</v>
      </c>
    </row>
    <row r="348" spans="1:11" x14ac:dyDescent="0.3">
      <c r="A348" s="9">
        <v>1329</v>
      </c>
      <c r="B348" s="9" t="s">
        <v>30</v>
      </c>
      <c r="C348" s="4" t="s">
        <v>42</v>
      </c>
      <c r="D348" s="4" t="s">
        <v>20</v>
      </c>
      <c r="E348" s="4" t="s">
        <v>51</v>
      </c>
      <c r="F348" s="4">
        <v>18</v>
      </c>
      <c r="G348" s="4">
        <v>227</v>
      </c>
      <c r="H348" s="4">
        <v>5</v>
      </c>
      <c r="I348" s="7">
        <v>46126</v>
      </c>
      <c r="J348" s="7">
        <v>46136</v>
      </c>
      <c r="K348" s="4" t="s">
        <v>49</v>
      </c>
    </row>
    <row r="349" spans="1:11" x14ac:dyDescent="0.3">
      <c r="A349" s="9">
        <v>1038</v>
      </c>
      <c r="B349" s="9" t="s">
        <v>53</v>
      </c>
      <c r="C349" s="4" t="s">
        <v>23</v>
      </c>
      <c r="D349" s="4" t="s">
        <v>20</v>
      </c>
      <c r="E349" s="4" t="s">
        <v>36</v>
      </c>
      <c r="F349" s="4">
        <v>17</v>
      </c>
      <c r="G349" s="4">
        <v>223</v>
      </c>
      <c r="H349" s="4">
        <v>7</v>
      </c>
      <c r="I349" s="7">
        <v>46030</v>
      </c>
      <c r="J349" s="7">
        <v>46031</v>
      </c>
      <c r="K349" s="4" t="s">
        <v>81</v>
      </c>
    </row>
    <row r="350" spans="1:11" x14ac:dyDescent="0.3">
      <c r="A350" s="9">
        <v>1001</v>
      </c>
      <c r="B350" s="9" t="s">
        <v>18</v>
      </c>
      <c r="C350" s="4" t="s">
        <v>19</v>
      </c>
      <c r="D350" s="4" t="s">
        <v>20</v>
      </c>
      <c r="E350" s="4" t="s">
        <v>21</v>
      </c>
      <c r="F350" s="4">
        <v>3</v>
      </c>
      <c r="G350" s="4">
        <v>222</v>
      </c>
      <c r="H350" s="4">
        <v>15</v>
      </c>
      <c r="I350" s="7">
        <v>46081</v>
      </c>
      <c r="J350" s="7">
        <v>46083</v>
      </c>
      <c r="K350" s="4" t="s">
        <v>78</v>
      </c>
    </row>
    <row r="351" spans="1:11" x14ac:dyDescent="0.3">
      <c r="A351" s="9">
        <v>1144</v>
      </c>
      <c r="B351" s="9" t="s">
        <v>41</v>
      </c>
      <c r="C351" s="4" t="s">
        <v>27</v>
      </c>
      <c r="D351" s="4" t="s">
        <v>20</v>
      </c>
      <c r="E351" s="4" t="s">
        <v>21</v>
      </c>
      <c r="F351" s="4">
        <v>16</v>
      </c>
      <c r="G351" s="4">
        <v>219</v>
      </c>
      <c r="H351" s="4">
        <v>7</v>
      </c>
      <c r="I351" s="7">
        <v>46138</v>
      </c>
      <c r="J351" s="7">
        <v>46140</v>
      </c>
      <c r="K351" s="4" t="s">
        <v>79</v>
      </c>
    </row>
    <row r="352" spans="1:11" x14ac:dyDescent="0.3">
      <c r="A352" s="9">
        <v>1173</v>
      </c>
      <c r="B352" s="9" t="s">
        <v>39</v>
      </c>
      <c r="C352" s="4" t="s">
        <v>23</v>
      </c>
      <c r="D352" s="4" t="s">
        <v>20</v>
      </c>
      <c r="E352" s="4" t="s">
        <v>37</v>
      </c>
      <c r="F352" s="4">
        <v>15</v>
      </c>
      <c r="G352" s="4">
        <v>214</v>
      </c>
      <c r="H352" s="4">
        <v>10</v>
      </c>
      <c r="I352" s="7">
        <v>46050</v>
      </c>
      <c r="J352" s="7">
        <v>46060</v>
      </c>
      <c r="K352" s="4" t="s">
        <v>81</v>
      </c>
    </row>
    <row r="353" spans="1:11" x14ac:dyDescent="0.3">
      <c r="A353" s="9">
        <v>1311</v>
      </c>
      <c r="B353" s="9" t="s">
        <v>53</v>
      </c>
      <c r="C353" s="4" t="s">
        <v>19</v>
      </c>
      <c r="D353" s="4" t="s">
        <v>20</v>
      </c>
      <c r="E353" s="4" t="s">
        <v>21</v>
      </c>
      <c r="F353" s="4">
        <v>2</v>
      </c>
      <c r="G353" s="4">
        <v>209</v>
      </c>
      <c r="H353" s="4">
        <v>0</v>
      </c>
      <c r="I353" s="7">
        <v>46173</v>
      </c>
      <c r="J353" s="7">
        <v>46176</v>
      </c>
      <c r="K353" s="4" t="s">
        <v>79</v>
      </c>
    </row>
    <row r="354" spans="1:11" x14ac:dyDescent="0.3">
      <c r="A354" s="9">
        <v>1352</v>
      </c>
      <c r="B354" s="9" t="s">
        <v>52</v>
      </c>
      <c r="C354" s="4" t="s">
        <v>26</v>
      </c>
      <c r="D354" s="4" t="s">
        <v>20</v>
      </c>
      <c r="E354" s="4" t="s">
        <v>21</v>
      </c>
      <c r="F354" s="4">
        <v>12</v>
      </c>
      <c r="G354" s="4">
        <v>203</v>
      </c>
      <c r="H354" s="4">
        <v>5</v>
      </c>
      <c r="I354" s="7">
        <v>46024</v>
      </c>
      <c r="J354" s="7">
        <v>46033</v>
      </c>
      <c r="K354" s="4" t="s">
        <v>78</v>
      </c>
    </row>
    <row r="355" spans="1:11" x14ac:dyDescent="0.3">
      <c r="A355" s="9">
        <v>1157</v>
      </c>
      <c r="B355" s="9" t="s">
        <v>50</v>
      </c>
      <c r="C355" s="4" t="s">
        <v>33</v>
      </c>
      <c r="D355" s="4" t="s">
        <v>20</v>
      </c>
      <c r="E355" s="4" t="s">
        <v>48</v>
      </c>
      <c r="F355" s="4">
        <v>3</v>
      </c>
      <c r="G355" s="4">
        <v>203</v>
      </c>
      <c r="H355" s="4">
        <v>15</v>
      </c>
      <c r="I355" s="7">
        <v>46076</v>
      </c>
      <c r="J355" s="7">
        <v>46080</v>
      </c>
      <c r="K355" s="4" t="s">
        <v>49</v>
      </c>
    </row>
    <row r="356" spans="1:11" x14ac:dyDescent="0.3">
      <c r="A356" s="9">
        <v>1296</v>
      </c>
      <c r="B356" s="9" t="s">
        <v>28</v>
      </c>
      <c r="C356" s="4" t="s">
        <v>38</v>
      </c>
      <c r="D356" s="4" t="s">
        <v>20</v>
      </c>
      <c r="E356" s="4" t="s">
        <v>48</v>
      </c>
      <c r="F356" s="4">
        <v>6</v>
      </c>
      <c r="G356" s="4">
        <v>201</v>
      </c>
      <c r="H356" s="4">
        <v>0</v>
      </c>
      <c r="I356" s="7">
        <v>46063</v>
      </c>
      <c r="J356" s="7">
        <v>46072</v>
      </c>
      <c r="K356" s="4" t="s">
        <v>81</v>
      </c>
    </row>
    <row r="357" spans="1:11" x14ac:dyDescent="0.3">
      <c r="A357" s="9">
        <v>1064</v>
      </c>
      <c r="B357" s="9" t="s">
        <v>28</v>
      </c>
      <c r="C357" s="4" t="s">
        <v>23</v>
      </c>
      <c r="D357" s="4" t="s">
        <v>20</v>
      </c>
      <c r="E357" s="4" t="s">
        <v>48</v>
      </c>
      <c r="F357" s="4">
        <v>20</v>
      </c>
      <c r="G357" s="4">
        <v>191</v>
      </c>
      <c r="H357" s="4">
        <v>7</v>
      </c>
      <c r="I357" s="7">
        <v>46185</v>
      </c>
      <c r="J357" s="7">
        <v>46195</v>
      </c>
      <c r="K357" s="4" t="s">
        <v>49</v>
      </c>
    </row>
    <row r="358" spans="1:11" x14ac:dyDescent="0.3">
      <c r="A358" s="9">
        <v>1236</v>
      </c>
      <c r="B358" s="9" t="s">
        <v>52</v>
      </c>
      <c r="C358" s="4" t="s">
        <v>42</v>
      </c>
      <c r="D358" s="4" t="s">
        <v>20</v>
      </c>
      <c r="E358" s="4" t="s">
        <v>37</v>
      </c>
      <c r="F358" s="4">
        <v>12</v>
      </c>
      <c r="G358" s="4">
        <v>189</v>
      </c>
      <c r="H358" s="4">
        <v>7</v>
      </c>
      <c r="I358" s="7">
        <v>46164</v>
      </c>
      <c r="J358" s="7">
        <v>46169</v>
      </c>
      <c r="K358" s="4" t="s">
        <v>49</v>
      </c>
    </row>
    <row r="359" spans="1:11" x14ac:dyDescent="0.3">
      <c r="A359" s="9">
        <v>1055</v>
      </c>
      <c r="B359" s="9" t="s">
        <v>46</v>
      </c>
      <c r="C359" s="4" t="s">
        <v>19</v>
      </c>
      <c r="D359" s="4" t="s">
        <v>20</v>
      </c>
      <c r="E359" s="4" t="s">
        <v>37</v>
      </c>
      <c r="F359" s="4">
        <v>18</v>
      </c>
      <c r="G359" s="4">
        <v>185</v>
      </c>
      <c r="H359" s="4">
        <v>15</v>
      </c>
      <c r="I359" s="7">
        <v>46077</v>
      </c>
      <c r="J359" s="7">
        <v>46078</v>
      </c>
      <c r="K359" s="4" t="s">
        <v>78</v>
      </c>
    </row>
    <row r="360" spans="1:11" x14ac:dyDescent="0.3">
      <c r="A360" s="9">
        <v>1031</v>
      </c>
      <c r="B360" s="9" t="s">
        <v>52</v>
      </c>
      <c r="C360" s="4" t="s">
        <v>31</v>
      </c>
      <c r="D360" s="4" t="s">
        <v>20</v>
      </c>
      <c r="E360" s="4" t="s">
        <v>51</v>
      </c>
      <c r="F360" s="4">
        <v>2</v>
      </c>
      <c r="G360" s="4">
        <v>184</v>
      </c>
      <c r="H360" s="4">
        <v>5</v>
      </c>
      <c r="I360" s="7">
        <v>46089</v>
      </c>
      <c r="J360" s="7">
        <v>46093</v>
      </c>
      <c r="K360" s="4" t="s">
        <v>79</v>
      </c>
    </row>
    <row r="361" spans="1:11" x14ac:dyDescent="0.3">
      <c r="A361" s="9">
        <v>1238</v>
      </c>
      <c r="B361" s="9" t="s">
        <v>30</v>
      </c>
      <c r="C361" s="4" t="s">
        <v>31</v>
      </c>
      <c r="D361" s="4" t="s">
        <v>20</v>
      </c>
      <c r="E361" s="4" t="s">
        <v>21</v>
      </c>
      <c r="F361" s="4">
        <v>6</v>
      </c>
      <c r="G361" s="4">
        <v>180</v>
      </c>
      <c r="H361" s="4">
        <v>12</v>
      </c>
      <c r="I361" s="7">
        <v>46096</v>
      </c>
      <c r="J361" s="7">
        <v>46097</v>
      </c>
      <c r="K361" s="4" t="s">
        <v>81</v>
      </c>
    </row>
    <row r="362" spans="1:11" x14ac:dyDescent="0.3">
      <c r="A362" s="9">
        <v>1017</v>
      </c>
      <c r="B362" s="9" t="s">
        <v>44</v>
      </c>
      <c r="C362" s="4" t="s">
        <v>38</v>
      </c>
      <c r="D362" s="4" t="s">
        <v>20</v>
      </c>
      <c r="E362" s="4" t="s">
        <v>36</v>
      </c>
      <c r="F362" s="4">
        <v>8</v>
      </c>
      <c r="G362" s="4">
        <v>179</v>
      </c>
      <c r="H362" s="4">
        <v>15</v>
      </c>
      <c r="I362" s="7">
        <v>46082</v>
      </c>
      <c r="J362" s="7">
        <v>46084</v>
      </c>
      <c r="K362" s="4" t="s">
        <v>78</v>
      </c>
    </row>
    <row r="363" spans="1:11" x14ac:dyDescent="0.3">
      <c r="A363" s="9">
        <v>1052</v>
      </c>
      <c r="B363" s="9" t="s">
        <v>53</v>
      </c>
      <c r="C363" s="4" t="s">
        <v>19</v>
      </c>
      <c r="D363" s="4" t="s">
        <v>20</v>
      </c>
      <c r="E363" s="4" t="s">
        <v>21</v>
      </c>
      <c r="F363" s="4">
        <v>17</v>
      </c>
      <c r="G363" s="4">
        <v>172</v>
      </c>
      <c r="H363" s="4">
        <v>10</v>
      </c>
      <c r="I363" s="7">
        <v>46159</v>
      </c>
      <c r="J363" s="7">
        <v>46165</v>
      </c>
      <c r="K363" s="4" t="s">
        <v>79</v>
      </c>
    </row>
    <row r="364" spans="1:11" x14ac:dyDescent="0.3">
      <c r="A364" s="9">
        <v>1242</v>
      </c>
      <c r="B364" s="9" t="s">
        <v>52</v>
      </c>
      <c r="C364" s="4" t="s">
        <v>38</v>
      </c>
      <c r="D364" s="4" t="s">
        <v>20</v>
      </c>
      <c r="E364" s="4" t="s">
        <v>48</v>
      </c>
      <c r="F364" s="4">
        <v>7</v>
      </c>
      <c r="G364" s="4">
        <v>168</v>
      </c>
      <c r="H364" s="4">
        <v>10</v>
      </c>
      <c r="I364" s="7">
        <v>46191</v>
      </c>
      <c r="J364" s="7">
        <v>46196</v>
      </c>
      <c r="K364" s="4" t="s">
        <v>81</v>
      </c>
    </row>
    <row r="365" spans="1:11" x14ac:dyDescent="0.3">
      <c r="A365" s="9">
        <v>1261</v>
      </c>
      <c r="B365" s="9" t="s">
        <v>39</v>
      </c>
      <c r="C365" s="4" t="s">
        <v>23</v>
      </c>
      <c r="D365" s="4" t="s">
        <v>20</v>
      </c>
      <c r="E365" s="4" t="s">
        <v>48</v>
      </c>
      <c r="F365" s="4">
        <v>20</v>
      </c>
      <c r="G365" s="4">
        <v>162</v>
      </c>
      <c r="H365" s="4">
        <v>7</v>
      </c>
      <c r="I365" s="7">
        <v>46119</v>
      </c>
      <c r="J365" s="7">
        <v>46120</v>
      </c>
      <c r="K365" s="4" t="s">
        <v>81</v>
      </c>
    </row>
    <row r="366" spans="1:11" x14ac:dyDescent="0.3">
      <c r="A366" s="9">
        <v>1036</v>
      </c>
      <c r="B366" s="9" t="s">
        <v>18</v>
      </c>
      <c r="C366" s="4" t="s">
        <v>27</v>
      </c>
      <c r="D366" s="4" t="s">
        <v>20</v>
      </c>
      <c r="E366" s="4" t="s">
        <v>36</v>
      </c>
      <c r="F366" s="4">
        <v>20</v>
      </c>
      <c r="G366" s="4">
        <v>161</v>
      </c>
      <c r="H366" s="4">
        <v>7</v>
      </c>
      <c r="I366" s="7">
        <v>46071</v>
      </c>
      <c r="J366" s="7">
        <v>46077</v>
      </c>
      <c r="K366" s="4" t="s">
        <v>80</v>
      </c>
    </row>
    <row r="367" spans="1:11" x14ac:dyDescent="0.3">
      <c r="A367" s="9">
        <v>1174</v>
      </c>
      <c r="B367" s="9" t="s">
        <v>55</v>
      </c>
      <c r="C367" s="4" t="s">
        <v>38</v>
      </c>
      <c r="D367" s="4" t="s">
        <v>20</v>
      </c>
      <c r="E367" s="4" t="s">
        <v>21</v>
      </c>
      <c r="F367" s="4">
        <v>13</v>
      </c>
      <c r="G367" s="4">
        <v>155</v>
      </c>
      <c r="H367" s="4">
        <v>2</v>
      </c>
      <c r="I367" s="7">
        <v>46066</v>
      </c>
      <c r="J367" s="7">
        <v>46069</v>
      </c>
      <c r="K367" s="4" t="s">
        <v>80</v>
      </c>
    </row>
    <row r="368" spans="1:11" x14ac:dyDescent="0.3">
      <c r="A368" s="9">
        <v>1007</v>
      </c>
      <c r="B368" s="9" t="s">
        <v>25</v>
      </c>
      <c r="C368" s="4" t="s">
        <v>26</v>
      </c>
      <c r="D368" s="4" t="s">
        <v>20</v>
      </c>
      <c r="E368" s="4" t="s">
        <v>21</v>
      </c>
      <c r="F368" s="4">
        <v>19</v>
      </c>
      <c r="G368" s="4">
        <v>149</v>
      </c>
      <c r="H368" s="4">
        <v>7</v>
      </c>
      <c r="I368" s="7">
        <v>46162</v>
      </c>
      <c r="J368" s="7">
        <v>46168</v>
      </c>
      <c r="K368" s="4" t="s">
        <v>80</v>
      </c>
    </row>
    <row r="369" spans="1:11" x14ac:dyDescent="0.3">
      <c r="A369" s="9">
        <v>1171</v>
      </c>
      <c r="B369" s="9" t="s">
        <v>54</v>
      </c>
      <c r="C369" s="4" t="s">
        <v>27</v>
      </c>
      <c r="D369" s="4" t="s">
        <v>20</v>
      </c>
      <c r="E369" s="4" t="s">
        <v>48</v>
      </c>
      <c r="F369" s="4">
        <v>17</v>
      </c>
      <c r="G369" s="4">
        <v>147</v>
      </c>
      <c r="H369" s="4">
        <v>12</v>
      </c>
      <c r="I369" s="7">
        <v>46155</v>
      </c>
      <c r="J369" s="7">
        <v>46160</v>
      </c>
      <c r="K369" s="4" t="s">
        <v>79</v>
      </c>
    </row>
    <row r="370" spans="1:11" x14ac:dyDescent="0.3">
      <c r="A370" s="9">
        <v>1201</v>
      </c>
      <c r="B370" s="9" t="s">
        <v>52</v>
      </c>
      <c r="C370" s="4" t="s">
        <v>31</v>
      </c>
      <c r="D370" s="4" t="s">
        <v>20</v>
      </c>
      <c r="E370" s="4" t="s">
        <v>51</v>
      </c>
      <c r="F370" s="4">
        <v>18</v>
      </c>
      <c r="G370" s="4">
        <v>139</v>
      </c>
      <c r="H370" s="4">
        <v>12</v>
      </c>
      <c r="I370" s="7">
        <v>46075</v>
      </c>
      <c r="J370" s="7">
        <v>46076</v>
      </c>
      <c r="K370" s="4" t="s">
        <v>79</v>
      </c>
    </row>
    <row r="371" spans="1:11" x14ac:dyDescent="0.3">
      <c r="A371" s="9">
        <v>1394</v>
      </c>
      <c r="B371" s="9" t="s">
        <v>52</v>
      </c>
      <c r="C371" s="4" t="s">
        <v>19</v>
      </c>
      <c r="D371" s="4" t="s">
        <v>20</v>
      </c>
      <c r="E371" s="4" t="s">
        <v>21</v>
      </c>
      <c r="F371" s="4">
        <v>10</v>
      </c>
      <c r="G371" s="4">
        <v>138</v>
      </c>
      <c r="H371" s="4">
        <v>2</v>
      </c>
      <c r="I371" s="7">
        <v>46056</v>
      </c>
      <c r="J371" s="7">
        <v>46057</v>
      </c>
      <c r="K371" s="4" t="s">
        <v>78</v>
      </c>
    </row>
    <row r="372" spans="1:11" x14ac:dyDescent="0.3">
      <c r="A372" s="9">
        <v>1379</v>
      </c>
      <c r="B372" s="9" t="s">
        <v>45</v>
      </c>
      <c r="C372" s="4" t="s">
        <v>23</v>
      </c>
      <c r="D372" s="4" t="s">
        <v>20</v>
      </c>
      <c r="E372" s="4" t="s">
        <v>21</v>
      </c>
      <c r="F372" s="4">
        <v>11</v>
      </c>
      <c r="G372" s="4">
        <v>136</v>
      </c>
      <c r="H372" s="4">
        <v>15</v>
      </c>
      <c r="I372" s="7">
        <v>46106</v>
      </c>
      <c r="J372" s="7">
        <v>46107</v>
      </c>
      <c r="K372" s="4" t="s">
        <v>79</v>
      </c>
    </row>
    <row r="373" spans="1:11" x14ac:dyDescent="0.3">
      <c r="A373" s="9">
        <v>1218</v>
      </c>
      <c r="B373" s="9" t="s">
        <v>53</v>
      </c>
      <c r="C373" s="4" t="s">
        <v>38</v>
      </c>
      <c r="D373" s="4" t="s">
        <v>20</v>
      </c>
      <c r="E373" s="4" t="s">
        <v>21</v>
      </c>
      <c r="F373" s="4">
        <v>1</v>
      </c>
      <c r="G373" s="4">
        <v>134</v>
      </c>
      <c r="H373" s="4">
        <v>10</v>
      </c>
      <c r="I373" s="7">
        <v>46143</v>
      </c>
      <c r="J373" s="7">
        <v>46151</v>
      </c>
      <c r="K373" s="4" t="s">
        <v>81</v>
      </c>
    </row>
    <row r="374" spans="1:11" x14ac:dyDescent="0.3">
      <c r="A374" s="9">
        <v>1082</v>
      </c>
      <c r="B374" s="9" t="s">
        <v>25</v>
      </c>
      <c r="C374" s="4" t="s">
        <v>19</v>
      </c>
      <c r="D374" s="4" t="s">
        <v>20</v>
      </c>
      <c r="E374" s="4" t="s">
        <v>21</v>
      </c>
      <c r="F374" s="4">
        <v>7</v>
      </c>
      <c r="G374" s="4">
        <v>133</v>
      </c>
      <c r="H374" s="4">
        <v>10</v>
      </c>
      <c r="I374" s="7">
        <v>46075</v>
      </c>
      <c r="J374" s="7">
        <v>46085</v>
      </c>
      <c r="K374" s="4" t="s">
        <v>81</v>
      </c>
    </row>
    <row r="375" spans="1:11" x14ac:dyDescent="0.3">
      <c r="A375" s="9">
        <v>1328</v>
      </c>
      <c r="B375" s="9" t="s">
        <v>22</v>
      </c>
      <c r="C375" s="4" t="s">
        <v>38</v>
      </c>
      <c r="D375" s="4" t="s">
        <v>20</v>
      </c>
      <c r="E375" s="4" t="s">
        <v>36</v>
      </c>
      <c r="F375" s="4">
        <v>4</v>
      </c>
      <c r="G375" s="4">
        <v>132</v>
      </c>
      <c r="H375" s="4">
        <v>0</v>
      </c>
      <c r="I375" s="7">
        <v>46109</v>
      </c>
      <c r="J375" s="7">
        <v>46114</v>
      </c>
      <c r="K375" s="4" t="s">
        <v>49</v>
      </c>
    </row>
    <row r="376" spans="1:11" x14ac:dyDescent="0.3">
      <c r="A376" s="9">
        <v>1077</v>
      </c>
      <c r="B376" s="9" t="s">
        <v>53</v>
      </c>
      <c r="C376" s="4" t="s">
        <v>27</v>
      </c>
      <c r="D376" s="4" t="s">
        <v>20</v>
      </c>
      <c r="E376" s="4" t="s">
        <v>21</v>
      </c>
      <c r="F376" s="4">
        <v>1</v>
      </c>
      <c r="G376" s="4">
        <v>123</v>
      </c>
      <c r="H376" s="4">
        <v>10</v>
      </c>
      <c r="I376" s="7">
        <v>46113</v>
      </c>
      <c r="J376" s="7">
        <v>46121</v>
      </c>
      <c r="K376" s="4" t="s">
        <v>81</v>
      </c>
    </row>
    <row r="377" spans="1:11" x14ac:dyDescent="0.3">
      <c r="A377" s="9">
        <v>1365</v>
      </c>
      <c r="B377" s="9" t="s">
        <v>44</v>
      </c>
      <c r="C377" s="4" t="s">
        <v>33</v>
      </c>
      <c r="D377" s="4" t="s">
        <v>20</v>
      </c>
      <c r="E377" s="4" t="s">
        <v>48</v>
      </c>
      <c r="F377" s="4">
        <v>17</v>
      </c>
      <c r="G377" s="4">
        <v>119</v>
      </c>
      <c r="H377" s="4">
        <v>7</v>
      </c>
      <c r="I377" s="7">
        <v>46070</v>
      </c>
      <c r="J377" s="7">
        <v>46072</v>
      </c>
      <c r="K377" s="4" t="s">
        <v>79</v>
      </c>
    </row>
    <row r="378" spans="1:11" x14ac:dyDescent="0.3">
      <c r="A378" s="9">
        <v>1219</v>
      </c>
      <c r="B378" s="9" t="s">
        <v>44</v>
      </c>
      <c r="C378" s="4" t="s">
        <v>26</v>
      </c>
      <c r="D378" s="4" t="s">
        <v>20</v>
      </c>
      <c r="E378" s="4" t="s">
        <v>21</v>
      </c>
      <c r="F378" s="4">
        <v>4</v>
      </c>
      <c r="G378" s="4">
        <v>117</v>
      </c>
      <c r="H378" s="4">
        <v>15</v>
      </c>
      <c r="I378" s="7">
        <v>46202</v>
      </c>
      <c r="J378" s="7">
        <v>46206</v>
      </c>
      <c r="K378" s="4" t="s">
        <v>49</v>
      </c>
    </row>
    <row r="379" spans="1:11" x14ac:dyDescent="0.3">
      <c r="A379" s="9">
        <v>1368</v>
      </c>
      <c r="B379" s="9" t="s">
        <v>53</v>
      </c>
      <c r="C379" s="4" t="s">
        <v>38</v>
      </c>
      <c r="D379" s="4" t="s">
        <v>20</v>
      </c>
      <c r="E379" s="4" t="s">
        <v>36</v>
      </c>
      <c r="F379" s="4">
        <v>9</v>
      </c>
      <c r="G379" s="4">
        <v>115</v>
      </c>
      <c r="H379" s="4">
        <v>0</v>
      </c>
      <c r="I379" s="7">
        <v>46036</v>
      </c>
      <c r="J379" s="7">
        <v>46045</v>
      </c>
      <c r="K379" s="4" t="s">
        <v>80</v>
      </c>
    </row>
    <row r="380" spans="1:11" x14ac:dyDescent="0.3">
      <c r="A380" s="9">
        <v>1205</v>
      </c>
      <c r="B380" s="9" t="s">
        <v>25</v>
      </c>
      <c r="C380" s="4" t="s">
        <v>38</v>
      </c>
      <c r="D380" s="4" t="s">
        <v>20</v>
      </c>
      <c r="E380" s="4" t="s">
        <v>36</v>
      </c>
      <c r="F380" s="4">
        <v>1</v>
      </c>
      <c r="G380" s="4">
        <v>112</v>
      </c>
      <c r="H380" s="4">
        <v>7</v>
      </c>
      <c r="I380" s="7">
        <v>46033</v>
      </c>
      <c r="J380" s="7">
        <v>46040</v>
      </c>
      <c r="K380" s="4" t="s">
        <v>81</v>
      </c>
    </row>
    <row r="381" spans="1:11" x14ac:dyDescent="0.3">
      <c r="A381" s="9">
        <v>1059</v>
      </c>
      <c r="B381" s="9" t="s">
        <v>52</v>
      </c>
      <c r="C381" s="4" t="s">
        <v>27</v>
      </c>
      <c r="D381" s="4" t="s">
        <v>20</v>
      </c>
      <c r="E381" s="4" t="s">
        <v>48</v>
      </c>
      <c r="F381" s="4">
        <v>20</v>
      </c>
      <c r="G381" s="4">
        <v>112</v>
      </c>
      <c r="H381" s="4">
        <v>10</v>
      </c>
      <c r="I381" s="7">
        <v>46113</v>
      </c>
      <c r="J381" s="7">
        <v>46122</v>
      </c>
      <c r="K381" s="4" t="s">
        <v>81</v>
      </c>
    </row>
    <row r="382" spans="1:11" x14ac:dyDescent="0.3">
      <c r="A382" s="9">
        <v>1011</v>
      </c>
      <c r="B382" s="9" t="s">
        <v>18</v>
      </c>
      <c r="C382" s="4" t="s">
        <v>23</v>
      </c>
      <c r="D382" s="4" t="s">
        <v>20</v>
      </c>
      <c r="E382" s="4" t="s">
        <v>37</v>
      </c>
      <c r="F382" s="4">
        <v>14</v>
      </c>
      <c r="G382" s="4">
        <v>88</v>
      </c>
      <c r="H382" s="4">
        <v>12</v>
      </c>
      <c r="I382" s="7">
        <v>46161</v>
      </c>
      <c r="J382" s="7">
        <v>46163</v>
      </c>
      <c r="K382" s="4" t="s">
        <v>78</v>
      </c>
    </row>
    <row r="383" spans="1:11" x14ac:dyDescent="0.3">
      <c r="A383" s="9">
        <v>1399</v>
      </c>
      <c r="B383" s="9" t="s">
        <v>46</v>
      </c>
      <c r="C383" s="4" t="s">
        <v>31</v>
      </c>
      <c r="D383" s="4" t="s">
        <v>20</v>
      </c>
      <c r="E383" s="4" t="s">
        <v>21</v>
      </c>
      <c r="F383" s="4">
        <v>15</v>
      </c>
      <c r="G383" s="4">
        <v>87</v>
      </c>
      <c r="H383" s="4">
        <v>15</v>
      </c>
      <c r="I383" s="7">
        <v>46089</v>
      </c>
      <c r="J383" s="7">
        <v>46093</v>
      </c>
      <c r="K383" s="4" t="s">
        <v>79</v>
      </c>
    </row>
    <row r="384" spans="1:11" x14ac:dyDescent="0.3">
      <c r="A384" s="9">
        <v>1129</v>
      </c>
      <c r="B384" s="9" t="s">
        <v>55</v>
      </c>
      <c r="C384" s="4" t="s">
        <v>23</v>
      </c>
      <c r="D384" s="4" t="s">
        <v>20</v>
      </c>
      <c r="E384" s="4" t="s">
        <v>48</v>
      </c>
      <c r="F384" s="4">
        <v>15</v>
      </c>
      <c r="G384" s="4">
        <v>75</v>
      </c>
      <c r="H384" s="4">
        <v>7</v>
      </c>
      <c r="I384" s="7">
        <v>46160</v>
      </c>
      <c r="J384" s="7">
        <v>46164</v>
      </c>
      <c r="K384" s="4" t="s">
        <v>49</v>
      </c>
    </row>
    <row r="385" spans="1:11" x14ac:dyDescent="0.3">
      <c r="A385" s="9">
        <v>1041</v>
      </c>
      <c r="B385" s="9" t="s">
        <v>52</v>
      </c>
      <c r="C385" s="4" t="s">
        <v>38</v>
      </c>
      <c r="D385" s="4" t="s">
        <v>20</v>
      </c>
      <c r="E385" s="4" t="s">
        <v>48</v>
      </c>
      <c r="F385" s="4">
        <v>9</v>
      </c>
      <c r="G385" s="4">
        <v>71</v>
      </c>
      <c r="H385" s="4">
        <v>7</v>
      </c>
      <c r="I385" s="7">
        <v>46185</v>
      </c>
      <c r="J385" s="7">
        <v>46188</v>
      </c>
      <c r="K385" s="4" t="s">
        <v>78</v>
      </c>
    </row>
    <row r="386" spans="1:11" x14ac:dyDescent="0.3">
      <c r="A386" s="9">
        <v>1005</v>
      </c>
      <c r="B386" s="9" t="s">
        <v>28</v>
      </c>
      <c r="C386" s="4" t="s">
        <v>23</v>
      </c>
      <c r="D386" s="4" t="s">
        <v>20</v>
      </c>
      <c r="E386" s="4" t="s">
        <v>21</v>
      </c>
      <c r="F386" s="4">
        <v>18</v>
      </c>
      <c r="G386" s="4">
        <v>70</v>
      </c>
      <c r="H386" s="4">
        <v>0</v>
      </c>
      <c r="I386" s="7">
        <v>46171</v>
      </c>
      <c r="J386" s="7">
        <v>46179</v>
      </c>
      <c r="K386" s="4" t="s">
        <v>80</v>
      </c>
    </row>
    <row r="387" spans="1:11" x14ac:dyDescent="0.3">
      <c r="A387" s="9">
        <v>1206</v>
      </c>
      <c r="B387" s="9" t="s">
        <v>53</v>
      </c>
      <c r="C387" s="4" t="s">
        <v>33</v>
      </c>
      <c r="D387" s="4" t="s">
        <v>20</v>
      </c>
      <c r="E387" s="4" t="s">
        <v>21</v>
      </c>
      <c r="F387" s="4">
        <v>9</v>
      </c>
      <c r="G387" s="4">
        <v>60</v>
      </c>
      <c r="H387" s="4">
        <v>0</v>
      </c>
      <c r="I387" s="7">
        <v>46166</v>
      </c>
      <c r="J387" s="7">
        <v>46174</v>
      </c>
      <c r="K387" s="4" t="s">
        <v>78</v>
      </c>
    </row>
    <row r="388" spans="1:11" x14ac:dyDescent="0.3">
      <c r="A388" s="9">
        <v>1217</v>
      </c>
      <c r="B388" s="9" t="s">
        <v>30</v>
      </c>
      <c r="C388" s="4" t="s">
        <v>26</v>
      </c>
      <c r="D388" s="4" t="s">
        <v>20</v>
      </c>
      <c r="E388" s="4" t="s">
        <v>48</v>
      </c>
      <c r="F388" s="4">
        <v>18</v>
      </c>
      <c r="G388" s="4">
        <v>60</v>
      </c>
      <c r="H388" s="4">
        <v>0</v>
      </c>
      <c r="I388" s="7">
        <v>46171</v>
      </c>
      <c r="J388" s="7">
        <v>46172</v>
      </c>
      <c r="K388" s="4" t="s">
        <v>49</v>
      </c>
    </row>
    <row r="389" spans="1:11" x14ac:dyDescent="0.3">
      <c r="A389" s="9">
        <v>1320</v>
      </c>
      <c r="B389" s="9" t="s">
        <v>45</v>
      </c>
      <c r="C389" s="4" t="s">
        <v>38</v>
      </c>
      <c r="D389" s="4" t="s">
        <v>20</v>
      </c>
      <c r="E389" s="4" t="s">
        <v>36</v>
      </c>
      <c r="F389" s="4">
        <v>20</v>
      </c>
      <c r="G389" s="4">
        <v>55</v>
      </c>
      <c r="H389" s="4">
        <v>7</v>
      </c>
      <c r="I389" s="7">
        <v>46183</v>
      </c>
      <c r="J389" s="7">
        <v>46186</v>
      </c>
      <c r="K389" s="4" t="s">
        <v>79</v>
      </c>
    </row>
    <row r="390" spans="1:11" x14ac:dyDescent="0.3">
      <c r="A390" s="9">
        <v>1396</v>
      </c>
      <c r="B390" s="9" t="s">
        <v>25</v>
      </c>
      <c r="C390" s="4" t="s">
        <v>38</v>
      </c>
      <c r="D390" s="4" t="s">
        <v>20</v>
      </c>
      <c r="E390" s="4" t="s">
        <v>51</v>
      </c>
      <c r="F390" s="4">
        <v>8</v>
      </c>
      <c r="G390" s="4">
        <v>54</v>
      </c>
      <c r="H390" s="4">
        <v>15</v>
      </c>
      <c r="I390" s="7">
        <v>46031</v>
      </c>
      <c r="J390" s="7">
        <v>46035</v>
      </c>
      <c r="K390" s="4" t="s">
        <v>78</v>
      </c>
    </row>
    <row r="391" spans="1:11" x14ac:dyDescent="0.3">
      <c r="A391" s="9">
        <v>1280</v>
      </c>
      <c r="B391" s="9" t="s">
        <v>56</v>
      </c>
      <c r="C391" s="4" t="s">
        <v>38</v>
      </c>
      <c r="D391" s="4" t="s">
        <v>20</v>
      </c>
      <c r="E391" s="4" t="s">
        <v>51</v>
      </c>
      <c r="F391" s="4">
        <v>9</v>
      </c>
      <c r="G391" s="4">
        <v>50</v>
      </c>
      <c r="H391" s="4">
        <v>7</v>
      </c>
      <c r="I391" s="7">
        <v>46085</v>
      </c>
      <c r="J391" s="7">
        <v>46095</v>
      </c>
      <c r="K391" s="4" t="s">
        <v>81</v>
      </c>
    </row>
    <row r="392" spans="1:11" x14ac:dyDescent="0.3">
      <c r="A392" s="9">
        <v>1178</v>
      </c>
      <c r="B392" s="9" t="s">
        <v>54</v>
      </c>
      <c r="C392" s="4" t="s">
        <v>23</v>
      </c>
      <c r="D392" s="4" t="s">
        <v>20</v>
      </c>
      <c r="E392" s="4" t="s">
        <v>48</v>
      </c>
      <c r="F392" s="4">
        <v>5</v>
      </c>
      <c r="G392" s="4">
        <v>50</v>
      </c>
      <c r="H392" s="4">
        <v>0</v>
      </c>
      <c r="I392" s="7">
        <v>46111</v>
      </c>
      <c r="J392" s="7">
        <v>46117</v>
      </c>
      <c r="K392" s="4" t="s">
        <v>79</v>
      </c>
    </row>
    <row r="393" spans="1:11" x14ac:dyDescent="0.3">
      <c r="A393" s="9">
        <v>1130</v>
      </c>
      <c r="B393" s="9" t="s">
        <v>46</v>
      </c>
      <c r="C393" s="4" t="s">
        <v>33</v>
      </c>
      <c r="D393" s="4" t="s">
        <v>20</v>
      </c>
      <c r="E393" s="4" t="s">
        <v>21</v>
      </c>
      <c r="F393" s="4">
        <v>12</v>
      </c>
      <c r="G393" s="4">
        <v>50</v>
      </c>
      <c r="H393" s="4">
        <v>2</v>
      </c>
      <c r="I393" s="7">
        <v>46125</v>
      </c>
      <c r="J393" s="7">
        <v>46131</v>
      </c>
      <c r="K393" s="4" t="s">
        <v>80</v>
      </c>
    </row>
    <row r="394" spans="1:11" x14ac:dyDescent="0.3">
      <c r="A394" s="9">
        <v>1267</v>
      </c>
      <c r="B394" s="9" t="s">
        <v>29</v>
      </c>
      <c r="C394" s="4" t="s">
        <v>38</v>
      </c>
      <c r="D394" s="4" t="s">
        <v>20</v>
      </c>
      <c r="E394" s="4" t="s">
        <v>48</v>
      </c>
      <c r="F394" s="4">
        <v>1</v>
      </c>
      <c r="G394" s="4">
        <v>50</v>
      </c>
      <c r="H394" s="4">
        <v>0</v>
      </c>
      <c r="I394" s="7">
        <v>46129</v>
      </c>
      <c r="J394" s="7">
        <v>46138</v>
      </c>
      <c r="K394" s="4" t="s">
        <v>79</v>
      </c>
    </row>
    <row r="395" spans="1:11" x14ac:dyDescent="0.3">
      <c r="A395" s="9">
        <v>1192</v>
      </c>
      <c r="B395" s="9" t="s">
        <v>25</v>
      </c>
      <c r="C395" s="4" t="s">
        <v>33</v>
      </c>
      <c r="D395" s="4" t="s">
        <v>20</v>
      </c>
      <c r="E395" s="4" t="s">
        <v>51</v>
      </c>
      <c r="F395" s="4">
        <v>18</v>
      </c>
      <c r="G395" s="4">
        <v>49</v>
      </c>
      <c r="H395" s="4">
        <v>12</v>
      </c>
      <c r="I395" s="7">
        <v>46089</v>
      </c>
      <c r="J395" s="7">
        <v>46095</v>
      </c>
      <c r="K395" s="4" t="s">
        <v>80</v>
      </c>
    </row>
    <row r="396" spans="1:11" x14ac:dyDescent="0.3">
      <c r="A396" s="9">
        <v>1051</v>
      </c>
      <c r="B396" s="9" t="s">
        <v>55</v>
      </c>
      <c r="C396" s="4" t="s">
        <v>23</v>
      </c>
      <c r="D396" s="4" t="s">
        <v>20</v>
      </c>
      <c r="E396" s="4" t="s">
        <v>36</v>
      </c>
      <c r="F396" s="4">
        <v>12</v>
      </c>
      <c r="G396" s="4">
        <v>47</v>
      </c>
      <c r="H396" s="4">
        <v>2</v>
      </c>
      <c r="I396" s="7">
        <v>46037</v>
      </c>
      <c r="J396" s="7">
        <v>46045</v>
      </c>
      <c r="K396" s="4" t="s">
        <v>78</v>
      </c>
    </row>
    <row r="397" spans="1:11" x14ac:dyDescent="0.3">
      <c r="A397" s="9">
        <v>1086</v>
      </c>
      <c r="B397" s="9" t="s">
        <v>32</v>
      </c>
      <c r="C397" s="4" t="s">
        <v>19</v>
      </c>
      <c r="D397" s="4" t="s">
        <v>20</v>
      </c>
      <c r="E397" s="4" t="s">
        <v>51</v>
      </c>
      <c r="F397" s="4">
        <v>15</v>
      </c>
      <c r="G397" s="4">
        <v>40</v>
      </c>
      <c r="H397" s="4">
        <v>10</v>
      </c>
      <c r="I397" s="7">
        <v>46045</v>
      </c>
      <c r="J397" s="7">
        <v>46049</v>
      </c>
      <c r="K397" s="4" t="s">
        <v>80</v>
      </c>
    </row>
    <row r="398" spans="1:11" x14ac:dyDescent="0.3">
      <c r="A398" s="9">
        <v>1318</v>
      </c>
      <c r="B398" s="9" t="s">
        <v>18</v>
      </c>
      <c r="C398" s="4" t="s">
        <v>42</v>
      </c>
      <c r="D398" s="4" t="s">
        <v>20</v>
      </c>
      <c r="E398" s="4" t="s">
        <v>48</v>
      </c>
      <c r="F398" s="4">
        <v>4</v>
      </c>
      <c r="G398" s="4">
        <v>38</v>
      </c>
      <c r="H398" s="4">
        <v>12</v>
      </c>
      <c r="I398" s="7">
        <v>46169</v>
      </c>
      <c r="J398" s="7">
        <v>46175</v>
      </c>
      <c r="K398" s="4" t="s">
        <v>49</v>
      </c>
    </row>
    <row r="399" spans="1:11" x14ac:dyDescent="0.3">
      <c r="A399" s="9">
        <v>1309</v>
      </c>
      <c r="B399" s="9" t="s">
        <v>49</v>
      </c>
      <c r="C399" s="4" t="s">
        <v>31</v>
      </c>
      <c r="D399" s="4" t="s">
        <v>20</v>
      </c>
      <c r="E399" s="4" t="s">
        <v>48</v>
      </c>
      <c r="F399" s="4">
        <v>2</v>
      </c>
      <c r="G399" s="4">
        <v>35</v>
      </c>
      <c r="H399" s="4">
        <v>5</v>
      </c>
      <c r="I399" s="7">
        <v>46197</v>
      </c>
      <c r="J399" s="7">
        <v>46198</v>
      </c>
      <c r="K399" s="4" t="s">
        <v>80</v>
      </c>
    </row>
    <row r="400" spans="1:11" x14ac:dyDescent="0.3">
      <c r="A400" s="9">
        <v>1114</v>
      </c>
      <c r="B400" s="9" t="s">
        <v>22</v>
      </c>
      <c r="C400" s="4" t="s">
        <v>27</v>
      </c>
      <c r="D400" s="4" t="s">
        <v>20</v>
      </c>
      <c r="E400" s="4" t="s">
        <v>48</v>
      </c>
      <c r="F400" s="4">
        <v>13</v>
      </c>
      <c r="G400" s="4">
        <v>32</v>
      </c>
      <c r="H400" s="4">
        <v>15</v>
      </c>
      <c r="I400" s="7">
        <v>46066</v>
      </c>
      <c r="J400" s="7">
        <v>46069</v>
      </c>
      <c r="K400" s="4" t="s">
        <v>78</v>
      </c>
    </row>
    <row r="401" spans="1:11" x14ac:dyDescent="0.3">
      <c r="A401" s="9">
        <v>1125</v>
      </c>
      <c r="B401" s="9" t="s">
        <v>47</v>
      </c>
      <c r="C401" s="4" t="s">
        <v>33</v>
      </c>
      <c r="D401" s="4" t="s">
        <v>20</v>
      </c>
      <c r="E401" s="4" t="s">
        <v>21</v>
      </c>
      <c r="F401" s="4">
        <v>6</v>
      </c>
      <c r="G401" s="4">
        <v>30</v>
      </c>
      <c r="H401" s="4">
        <v>2</v>
      </c>
      <c r="I401" s="7">
        <v>46133</v>
      </c>
      <c r="J401" s="7">
        <v>46138</v>
      </c>
      <c r="K401" s="4" t="s">
        <v>80</v>
      </c>
    </row>
  </sheetData>
  <sortState xmlns:xlrd2="http://schemas.microsoft.com/office/spreadsheetml/2017/richdata2" ref="A2:K401">
    <sortCondition descending="1" ref="G2:G4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8D14-8F0C-4211-BC21-EDA09C4E0F19}">
  <dimension ref="A1:K7"/>
  <sheetViews>
    <sheetView workbookViewId="0">
      <selection activeCell="D5" sqref="A1:K7"/>
    </sheetView>
  </sheetViews>
  <sheetFormatPr defaultRowHeight="14.4" x14ac:dyDescent="0.3"/>
  <cols>
    <col min="1" max="1" width="8.5546875" bestFit="1" customWidth="1"/>
    <col min="2" max="2" width="9.109375" bestFit="1" customWidth="1"/>
    <col min="3" max="3" width="5" bestFit="1" customWidth="1"/>
    <col min="4" max="4" width="9.88671875" bestFit="1" customWidth="1"/>
    <col min="5" max="5" width="8.6640625" bestFit="1" customWidth="1"/>
    <col min="6" max="6" width="8.33203125" bestFit="1" customWidth="1"/>
    <col min="7" max="7" width="9.6640625" bestFit="1" customWidth="1"/>
    <col min="8" max="8" width="10.77734375" bestFit="1" customWidth="1"/>
    <col min="9" max="9" width="10.6640625" bestFit="1" customWidth="1"/>
    <col min="10" max="10" width="12.6640625" bestFit="1" customWidth="1"/>
    <col min="11" max="11" width="11" bestFit="1" customWidth="1"/>
  </cols>
  <sheetData>
    <row r="1" spans="1:11" x14ac:dyDescent="0.3">
      <c r="A1" s="11" t="s">
        <v>0</v>
      </c>
      <c r="B1" s="11" t="s">
        <v>13</v>
      </c>
      <c r="C1" s="10" t="s">
        <v>14</v>
      </c>
      <c r="D1" s="10" t="s">
        <v>15</v>
      </c>
      <c r="E1" s="10" t="s">
        <v>1</v>
      </c>
      <c r="F1" s="10" t="s">
        <v>4</v>
      </c>
      <c r="G1" s="10" t="s">
        <v>16</v>
      </c>
      <c r="H1" s="10" t="s">
        <v>17</v>
      </c>
      <c r="I1" s="10" t="s">
        <v>2</v>
      </c>
      <c r="J1" s="10" t="s">
        <v>3</v>
      </c>
      <c r="K1" s="13" t="s">
        <v>77</v>
      </c>
    </row>
    <row r="2" spans="1:11" x14ac:dyDescent="0.3">
      <c r="A2" s="9">
        <v>1075</v>
      </c>
      <c r="B2" s="9" t="s">
        <v>41</v>
      </c>
      <c r="C2" s="4" t="s">
        <v>42</v>
      </c>
      <c r="D2" s="4" t="s">
        <v>34</v>
      </c>
      <c r="E2" s="4" t="s">
        <v>12</v>
      </c>
      <c r="F2" s="4">
        <v>4</v>
      </c>
      <c r="G2" s="4">
        <v>64773</v>
      </c>
      <c r="H2" s="4">
        <v>10</v>
      </c>
      <c r="I2" s="7">
        <v>46185</v>
      </c>
      <c r="J2" s="7">
        <v>46186</v>
      </c>
      <c r="K2" s="4" t="s">
        <v>81</v>
      </c>
    </row>
    <row r="3" spans="1:11" x14ac:dyDescent="0.3">
      <c r="A3" s="9">
        <v>1325</v>
      </c>
      <c r="B3" s="9" t="s">
        <v>46</v>
      </c>
      <c r="C3" s="4" t="s">
        <v>42</v>
      </c>
      <c r="D3" s="4" t="s">
        <v>34</v>
      </c>
      <c r="E3" s="4" t="s">
        <v>5</v>
      </c>
      <c r="F3" s="4">
        <v>9</v>
      </c>
      <c r="G3" s="4">
        <v>58442</v>
      </c>
      <c r="H3" s="4">
        <v>12</v>
      </c>
      <c r="I3" s="7">
        <v>46076</v>
      </c>
      <c r="J3" s="7">
        <v>46085</v>
      </c>
      <c r="K3" s="4" t="s">
        <v>79</v>
      </c>
    </row>
    <row r="4" spans="1:11" x14ac:dyDescent="0.3">
      <c r="A4" s="9">
        <v>1019</v>
      </c>
      <c r="B4" s="9" t="s">
        <v>18</v>
      </c>
      <c r="C4" s="4" t="s">
        <v>42</v>
      </c>
      <c r="D4" s="4" t="s">
        <v>34</v>
      </c>
      <c r="E4" s="4" t="s">
        <v>40</v>
      </c>
      <c r="F4" s="4">
        <v>18</v>
      </c>
      <c r="G4" s="4">
        <v>45652</v>
      </c>
      <c r="H4" s="4">
        <v>10</v>
      </c>
      <c r="I4" s="7">
        <v>46023</v>
      </c>
      <c r="J4" s="7">
        <v>46030</v>
      </c>
      <c r="K4" s="4" t="s">
        <v>79</v>
      </c>
    </row>
    <row r="5" spans="1:11" x14ac:dyDescent="0.3">
      <c r="A5" s="9">
        <v>1164</v>
      </c>
      <c r="B5" s="9" t="s">
        <v>39</v>
      </c>
      <c r="C5" s="4" t="s">
        <v>42</v>
      </c>
      <c r="D5" s="4" t="s">
        <v>34</v>
      </c>
      <c r="E5" s="4" t="s">
        <v>12</v>
      </c>
      <c r="F5" s="4">
        <v>7</v>
      </c>
      <c r="G5" s="4">
        <v>24615</v>
      </c>
      <c r="H5" s="4">
        <v>12</v>
      </c>
      <c r="I5" s="7">
        <v>46196</v>
      </c>
      <c r="J5" s="7">
        <v>46203</v>
      </c>
      <c r="K5" s="4" t="s">
        <v>81</v>
      </c>
    </row>
    <row r="6" spans="1:11" x14ac:dyDescent="0.3">
      <c r="A6" s="9">
        <v>1354</v>
      </c>
      <c r="B6" s="9" t="s">
        <v>45</v>
      </c>
      <c r="C6" s="4" t="s">
        <v>42</v>
      </c>
      <c r="D6" s="4" t="s">
        <v>34</v>
      </c>
      <c r="E6" s="4" t="s">
        <v>35</v>
      </c>
      <c r="F6" s="4">
        <v>15</v>
      </c>
      <c r="G6" s="4">
        <v>14927</v>
      </c>
      <c r="H6" s="4">
        <v>15</v>
      </c>
      <c r="I6" s="7">
        <v>46118</v>
      </c>
      <c r="J6" s="7">
        <v>46120</v>
      </c>
      <c r="K6" s="4" t="s">
        <v>81</v>
      </c>
    </row>
    <row r="7" spans="1:11" x14ac:dyDescent="0.3">
      <c r="A7" s="9">
        <v>1307</v>
      </c>
      <c r="B7" s="9" t="s">
        <v>54</v>
      </c>
      <c r="C7" s="4" t="s">
        <v>42</v>
      </c>
      <c r="D7" s="4" t="s">
        <v>34</v>
      </c>
      <c r="E7" s="4" t="s">
        <v>35</v>
      </c>
      <c r="F7" s="4">
        <v>18</v>
      </c>
      <c r="G7" s="4">
        <v>7541</v>
      </c>
      <c r="H7" s="4">
        <v>12</v>
      </c>
      <c r="I7" s="7">
        <v>46048</v>
      </c>
      <c r="J7" s="7">
        <v>46051</v>
      </c>
      <c r="K7" s="4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4AD9-B727-4286-B05A-C0F6DB9C08CA}">
  <dimension ref="A1:P401"/>
  <sheetViews>
    <sheetView workbookViewId="0">
      <pane ySplit="1" topLeftCell="A2" activePane="bottomLeft" state="frozen"/>
      <selection pane="bottomLeft" sqref="A1:K1"/>
    </sheetView>
  </sheetViews>
  <sheetFormatPr defaultRowHeight="14.4" x14ac:dyDescent="0.3"/>
  <cols>
    <col min="1" max="1" width="8.5546875" bestFit="1" customWidth="1"/>
    <col min="2" max="2" width="15.21875" bestFit="1" customWidth="1"/>
    <col min="3" max="3" width="10.6640625" bestFit="1" customWidth="1"/>
    <col min="4" max="4" width="9.88671875" bestFit="1" customWidth="1"/>
    <col min="5" max="5" width="11.109375" bestFit="1" customWidth="1"/>
    <col min="6" max="6" width="11.6640625" bestFit="1" customWidth="1"/>
    <col min="7" max="7" width="12.6640625" bestFit="1" customWidth="1"/>
    <col min="8" max="8" width="10.77734375" bestFit="1" customWidth="1"/>
    <col min="9" max="9" width="10.6640625" bestFit="1" customWidth="1"/>
    <col min="10" max="10" width="12.6640625" bestFit="1" customWidth="1"/>
    <col min="11" max="11" width="11" bestFit="1" customWidth="1"/>
    <col min="12" max="12" width="17" bestFit="1" customWidth="1"/>
    <col min="13" max="13" width="16.5546875" bestFit="1" customWidth="1"/>
    <col min="14" max="14" width="18.44140625" bestFit="1" customWidth="1"/>
    <col min="15" max="15" width="18.33203125" bestFit="1" customWidth="1"/>
    <col min="16" max="16" width="11" bestFit="1" customWidth="1"/>
  </cols>
  <sheetData>
    <row r="1" spans="1:16" x14ac:dyDescent="0.3">
      <c r="A1" s="11" t="s">
        <v>0</v>
      </c>
      <c r="B1" s="11" t="s">
        <v>13</v>
      </c>
      <c r="C1" s="10" t="s">
        <v>14</v>
      </c>
      <c r="D1" s="10" t="s">
        <v>15</v>
      </c>
      <c r="E1" s="10" t="s">
        <v>1</v>
      </c>
      <c r="F1" s="10" t="s">
        <v>4</v>
      </c>
      <c r="G1" s="10" t="s">
        <v>16</v>
      </c>
      <c r="H1" s="10" t="s">
        <v>17</v>
      </c>
      <c r="I1" s="10" t="s">
        <v>2</v>
      </c>
      <c r="J1" s="10" t="s">
        <v>3</v>
      </c>
      <c r="K1" s="13" t="s">
        <v>77</v>
      </c>
      <c r="L1" s="25" t="s">
        <v>57</v>
      </c>
      <c r="M1" s="1" t="s">
        <v>58</v>
      </c>
      <c r="N1" s="1" t="s">
        <v>59</v>
      </c>
      <c r="O1" s="1" t="s">
        <v>60</v>
      </c>
      <c r="P1" s="2" t="s">
        <v>61</v>
      </c>
    </row>
    <row r="2" spans="1:16" x14ac:dyDescent="0.3">
      <c r="A2" s="9">
        <v>1001</v>
      </c>
      <c r="B2" s="9" t="s">
        <v>18</v>
      </c>
      <c r="C2" s="4" t="s">
        <v>19</v>
      </c>
      <c r="D2" s="4" t="s">
        <v>20</v>
      </c>
      <c r="E2" s="4" t="s">
        <v>21</v>
      </c>
      <c r="F2" s="4">
        <v>3</v>
      </c>
      <c r="G2" s="4">
        <v>222</v>
      </c>
      <c r="H2" s="4">
        <v>15</v>
      </c>
      <c r="I2" s="7">
        <v>46081</v>
      </c>
      <c r="J2" s="7">
        <v>46083</v>
      </c>
      <c r="K2" s="4" t="s">
        <v>78</v>
      </c>
      <c r="L2" s="26">
        <f>SUM(F2:F401)</f>
        <v>4446</v>
      </c>
      <c r="M2" s="12">
        <f>AVERAGE(G2:G401)</f>
        <v>16067.842500000001</v>
      </c>
      <c r="N2" s="4">
        <f>MIN(G2:G401)</f>
        <v>30</v>
      </c>
      <c r="O2" s="4">
        <f>MAX(G2:G401)</f>
        <v>69793</v>
      </c>
      <c r="P2" s="4">
        <f>COUNT(A2:A401)</f>
        <v>400</v>
      </c>
    </row>
    <row r="3" spans="1:16" x14ac:dyDescent="0.3">
      <c r="A3" s="9">
        <v>1002</v>
      </c>
      <c r="B3" s="9" t="s">
        <v>22</v>
      </c>
      <c r="C3" s="4" t="s">
        <v>23</v>
      </c>
      <c r="D3" s="4" t="s">
        <v>24</v>
      </c>
      <c r="E3" s="4" t="s">
        <v>7</v>
      </c>
      <c r="F3" s="4">
        <v>7</v>
      </c>
      <c r="G3" s="4">
        <v>8448</v>
      </c>
      <c r="H3" s="4">
        <v>12</v>
      </c>
      <c r="I3" s="7">
        <v>46174</v>
      </c>
      <c r="J3" s="7">
        <v>46179</v>
      </c>
      <c r="K3" s="4" t="s">
        <v>79</v>
      </c>
    </row>
    <row r="4" spans="1:16" x14ac:dyDescent="0.3">
      <c r="A4" s="9">
        <v>1003</v>
      </c>
      <c r="B4" s="9" t="s">
        <v>25</v>
      </c>
      <c r="C4" s="4" t="s">
        <v>26</v>
      </c>
      <c r="D4" s="4" t="s">
        <v>24</v>
      </c>
      <c r="E4" s="4" t="s">
        <v>10</v>
      </c>
      <c r="F4" s="4">
        <v>20</v>
      </c>
      <c r="G4" s="4">
        <v>2123</v>
      </c>
      <c r="H4" s="4">
        <v>15</v>
      </c>
      <c r="I4" s="7">
        <v>46183</v>
      </c>
      <c r="J4" s="7">
        <v>46192</v>
      </c>
      <c r="K4" s="4" t="s">
        <v>80</v>
      </c>
    </row>
    <row r="5" spans="1:16" x14ac:dyDescent="0.3">
      <c r="A5" s="9">
        <v>1004</v>
      </c>
      <c r="B5" s="9" t="s">
        <v>22</v>
      </c>
      <c r="C5" s="4" t="s">
        <v>27</v>
      </c>
      <c r="D5" s="4" t="s">
        <v>24</v>
      </c>
      <c r="E5" s="4" t="s">
        <v>10</v>
      </c>
      <c r="F5" s="4">
        <v>16</v>
      </c>
      <c r="G5" s="4">
        <v>11739</v>
      </c>
      <c r="H5" s="4">
        <v>12</v>
      </c>
      <c r="I5" s="7">
        <v>46034</v>
      </c>
      <c r="J5" s="7">
        <v>46040</v>
      </c>
      <c r="K5" s="4" t="s">
        <v>79</v>
      </c>
    </row>
    <row r="6" spans="1:16" x14ac:dyDescent="0.3">
      <c r="A6" s="9">
        <v>1005</v>
      </c>
      <c r="B6" s="9" t="s">
        <v>28</v>
      </c>
      <c r="C6" s="4" t="s">
        <v>23</v>
      </c>
      <c r="D6" s="4" t="s">
        <v>20</v>
      </c>
      <c r="E6" s="4" t="s">
        <v>21</v>
      </c>
      <c r="F6" s="4">
        <v>18</v>
      </c>
      <c r="G6" s="4">
        <v>70</v>
      </c>
      <c r="H6" s="4">
        <v>0</v>
      </c>
      <c r="I6" s="7">
        <v>46171</v>
      </c>
      <c r="J6" s="7">
        <v>46179</v>
      </c>
      <c r="K6" s="4" t="s">
        <v>80</v>
      </c>
    </row>
    <row r="7" spans="1:16" x14ac:dyDescent="0.3">
      <c r="A7" s="9">
        <v>1006</v>
      </c>
      <c r="B7" s="9" t="s">
        <v>29</v>
      </c>
      <c r="C7" s="4" t="s">
        <v>27</v>
      </c>
      <c r="D7" s="4" t="s">
        <v>24</v>
      </c>
      <c r="E7" s="4" t="s">
        <v>8</v>
      </c>
      <c r="F7" s="4">
        <v>3</v>
      </c>
      <c r="G7" s="4">
        <v>2714</v>
      </c>
      <c r="H7" s="4">
        <v>5</v>
      </c>
      <c r="I7" s="7">
        <v>46055</v>
      </c>
      <c r="J7" s="7">
        <v>46062</v>
      </c>
      <c r="K7" s="4" t="s">
        <v>49</v>
      </c>
    </row>
    <row r="8" spans="1:16" x14ac:dyDescent="0.3">
      <c r="A8" s="9">
        <v>1007</v>
      </c>
      <c r="B8" s="9" t="s">
        <v>25</v>
      </c>
      <c r="C8" s="4" t="s">
        <v>26</v>
      </c>
      <c r="D8" s="4" t="s">
        <v>20</v>
      </c>
      <c r="E8" s="4" t="s">
        <v>21</v>
      </c>
      <c r="F8" s="4">
        <v>19</v>
      </c>
      <c r="G8" s="4">
        <v>149</v>
      </c>
      <c r="H8" s="4">
        <v>7</v>
      </c>
      <c r="I8" s="7">
        <v>46162</v>
      </c>
      <c r="J8" s="7">
        <v>46168</v>
      </c>
      <c r="K8" s="4" t="s">
        <v>80</v>
      </c>
    </row>
    <row r="9" spans="1:16" x14ac:dyDescent="0.3">
      <c r="A9" s="9">
        <v>1008</v>
      </c>
      <c r="B9" s="9" t="s">
        <v>30</v>
      </c>
      <c r="C9" s="4" t="s">
        <v>31</v>
      </c>
      <c r="D9" s="4" t="s">
        <v>24</v>
      </c>
      <c r="E9" s="4" t="s">
        <v>8</v>
      </c>
      <c r="F9" s="4">
        <v>1</v>
      </c>
      <c r="G9" s="4">
        <v>1134</v>
      </c>
      <c r="H9" s="4">
        <v>0</v>
      </c>
      <c r="I9" s="7">
        <v>46033</v>
      </c>
      <c r="J9" s="7">
        <v>46041</v>
      </c>
      <c r="K9" s="4" t="s">
        <v>80</v>
      </c>
    </row>
    <row r="10" spans="1:16" x14ac:dyDescent="0.3">
      <c r="A10" s="9">
        <v>1009</v>
      </c>
      <c r="B10" s="9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7">
        <v>46183</v>
      </c>
      <c r="J10" s="7">
        <v>46193</v>
      </c>
      <c r="K10" s="4" t="s">
        <v>80</v>
      </c>
    </row>
    <row r="11" spans="1:16" x14ac:dyDescent="0.3">
      <c r="A11" s="9">
        <v>1010</v>
      </c>
      <c r="B11" s="9" t="s">
        <v>18</v>
      </c>
      <c r="C11" s="4" t="s">
        <v>23</v>
      </c>
      <c r="D11" s="4" t="s">
        <v>20</v>
      </c>
      <c r="E11" s="4" t="s">
        <v>36</v>
      </c>
      <c r="F11" s="4">
        <v>14</v>
      </c>
      <c r="G11" s="4">
        <v>470</v>
      </c>
      <c r="H11" s="4">
        <v>5</v>
      </c>
      <c r="I11" s="7">
        <v>46062</v>
      </c>
      <c r="J11" s="7">
        <v>46068</v>
      </c>
      <c r="K11" s="4" t="s">
        <v>78</v>
      </c>
    </row>
    <row r="12" spans="1:16" x14ac:dyDescent="0.3">
      <c r="A12" s="9">
        <v>1011</v>
      </c>
      <c r="B12" s="9" t="s">
        <v>18</v>
      </c>
      <c r="C12" s="4" t="s">
        <v>23</v>
      </c>
      <c r="D12" s="4" t="s">
        <v>20</v>
      </c>
      <c r="E12" s="4" t="s">
        <v>37</v>
      </c>
      <c r="F12" s="4">
        <v>14</v>
      </c>
      <c r="G12" s="4">
        <v>88</v>
      </c>
      <c r="H12" s="4">
        <v>12</v>
      </c>
      <c r="I12" s="7">
        <v>46161</v>
      </c>
      <c r="J12" s="7">
        <v>46163</v>
      </c>
      <c r="K12" s="4" t="s">
        <v>78</v>
      </c>
    </row>
    <row r="13" spans="1:16" x14ac:dyDescent="0.3">
      <c r="A13" s="9">
        <v>1012</v>
      </c>
      <c r="B13" s="9" t="s">
        <v>28</v>
      </c>
      <c r="C13" s="4" t="s">
        <v>38</v>
      </c>
      <c r="D13" s="4" t="s">
        <v>34</v>
      </c>
      <c r="E13" s="4" t="s">
        <v>5</v>
      </c>
      <c r="F13" s="4">
        <v>3</v>
      </c>
      <c r="G13" s="4">
        <v>64615</v>
      </c>
      <c r="H13" s="4">
        <v>10</v>
      </c>
      <c r="I13" s="7">
        <v>46086</v>
      </c>
      <c r="J13" s="7">
        <v>46095</v>
      </c>
      <c r="K13" s="4" t="s">
        <v>49</v>
      </c>
    </row>
    <row r="14" spans="1:16" x14ac:dyDescent="0.3">
      <c r="A14" s="9">
        <v>1013</v>
      </c>
      <c r="B14" s="9" t="s">
        <v>22</v>
      </c>
      <c r="C14" s="4" t="s">
        <v>31</v>
      </c>
      <c r="D14" s="4" t="s">
        <v>20</v>
      </c>
      <c r="E14" s="4" t="s">
        <v>36</v>
      </c>
      <c r="F14" s="4">
        <v>17</v>
      </c>
      <c r="G14" s="4">
        <v>459</v>
      </c>
      <c r="H14" s="4">
        <v>12</v>
      </c>
      <c r="I14" s="7">
        <v>46095</v>
      </c>
      <c r="J14" s="7">
        <v>46105</v>
      </c>
      <c r="K14" s="4" t="s">
        <v>49</v>
      </c>
    </row>
    <row r="15" spans="1:16" x14ac:dyDescent="0.3">
      <c r="A15" s="9">
        <v>1014</v>
      </c>
      <c r="B15" s="9" t="s">
        <v>39</v>
      </c>
      <c r="C15" s="4" t="s">
        <v>23</v>
      </c>
      <c r="D15" s="4" t="s">
        <v>34</v>
      </c>
      <c r="E15" s="4" t="s">
        <v>40</v>
      </c>
      <c r="F15" s="4">
        <v>19</v>
      </c>
      <c r="G15" s="4">
        <v>53683</v>
      </c>
      <c r="H15" s="4">
        <v>12</v>
      </c>
      <c r="I15" s="7">
        <v>46129</v>
      </c>
      <c r="J15" s="7">
        <v>46134</v>
      </c>
      <c r="K15" s="4" t="s">
        <v>49</v>
      </c>
    </row>
    <row r="16" spans="1:16" x14ac:dyDescent="0.3">
      <c r="A16" s="9">
        <v>1015</v>
      </c>
      <c r="B16" s="9" t="s">
        <v>41</v>
      </c>
      <c r="C16" s="4" t="s">
        <v>42</v>
      </c>
      <c r="D16" s="4" t="s">
        <v>24</v>
      </c>
      <c r="E16" s="4" t="s">
        <v>43</v>
      </c>
      <c r="F16" s="4">
        <v>11</v>
      </c>
      <c r="G16" s="4">
        <v>14511</v>
      </c>
      <c r="H16" s="4">
        <v>2</v>
      </c>
      <c r="I16" s="7">
        <v>46175</v>
      </c>
      <c r="J16" s="7">
        <v>46185</v>
      </c>
      <c r="K16" s="4" t="s">
        <v>79</v>
      </c>
    </row>
    <row r="17" spans="1:11" x14ac:dyDescent="0.3">
      <c r="A17" s="9">
        <v>1016</v>
      </c>
      <c r="B17" s="9" t="s">
        <v>32</v>
      </c>
      <c r="C17" s="4" t="s">
        <v>33</v>
      </c>
      <c r="D17" s="4" t="s">
        <v>34</v>
      </c>
      <c r="E17" s="4" t="s">
        <v>6</v>
      </c>
      <c r="F17" s="4">
        <v>16</v>
      </c>
      <c r="G17" s="4">
        <v>30234</v>
      </c>
      <c r="H17" s="4">
        <v>15</v>
      </c>
      <c r="I17" s="7">
        <v>46137</v>
      </c>
      <c r="J17" s="7">
        <v>46140</v>
      </c>
      <c r="K17" s="4" t="s">
        <v>80</v>
      </c>
    </row>
    <row r="18" spans="1:11" x14ac:dyDescent="0.3">
      <c r="A18" s="9">
        <v>1017</v>
      </c>
      <c r="B18" s="9" t="s">
        <v>44</v>
      </c>
      <c r="C18" s="4" t="s">
        <v>38</v>
      </c>
      <c r="D18" s="4" t="s">
        <v>20</v>
      </c>
      <c r="E18" s="4" t="s">
        <v>36</v>
      </c>
      <c r="F18" s="4">
        <v>8</v>
      </c>
      <c r="G18" s="4">
        <v>179</v>
      </c>
      <c r="H18" s="4">
        <v>15</v>
      </c>
      <c r="I18" s="7">
        <v>46082</v>
      </c>
      <c r="J18" s="7">
        <v>46084</v>
      </c>
      <c r="K18" s="4" t="s">
        <v>78</v>
      </c>
    </row>
    <row r="19" spans="1:11" x14ac:dyDescent="0.3">
      <c r="A19" s="9">
        <v>1018</v>
      </c>
      <c r="B19" s="9" t="s">
        <v>45</v>
      </c>
      <c r="C19" s="4" t="s">
        <v>27</v>
      </c>
      <c r="D19" s="4" t="s">
        <v>20</v>
      </c>
      <c r="E19" s="4" t="s">
        <v>21</v>
      </c>
      <c r="F19" s="4">
        <v>20</v>
      </c>
      <c r="G19" s="4">
        <v>301</v>
      </c>
      <c r="H19" s="4">
        <v>0</v>
      </c>
      <c r="I19" s="7">
        <v>46089</v>
      </c>
      <c r="J19" s="7">
        <v>46094</v>
      </c>
      <c r="K19" s="4" t="s">
        <v>49</v>
      </c>
    </row>
    <row r="20" spans="1:11" x14ac:dyDescent="0.3">
      <c r="A20" s="9">
        <v>1019</v>
      </c>
      <c r="B20" s="9" t="s">
        <v>18</v>
      </c>
      <c r="C20" s="4" t="s">
        <v>42</v>
      </c>
      <c r="D20" s="4" t="s">
        <v>34</v>
      </c>
      <c r="E20" s="4" t="s">
        <v>40</v>
      </c>
      <c r="F20" s="4">
        <v>18</v>
      </c>
      <c r="G20" s="4">
        <v>45652</v>
      </c>
      <c r="H20" s="4">
        <v>10</v>
      </c>
      <c r="I20" s="7">
        <v>46023</v>
      </c>
      <c r="J20" s="7">
        <v>46030</v>
      </c>
      <c r="K20" s="4" t="s">
        <v>79</v>
      </c>
    </row>
    <row r="21" spans="1:11" x14ac:dyDescent="0.3">
      <c r="A21" s="9">
        <v>1020</v>
      </c>
      <c r="B21" s="9" t="s">
        <v>44</v>
      </c>
      <c r="C21" s="4" t="s">
        <v>19</v>
      </c>
      <c r="D21" s="4" t="s">
        <v>24</v>
      </c>
      <c r="E21" s="4" t="s">
        <v>7</v>
      </c>
      <c r="F21" s="4">
        <v>5</v>
      </c>
      <c r="G21" s="4">
        <v>4582</v>
      </c>
      <c r="H21" s="4">
        <v>5</v>
      </c>
      <c r="I21" s="7">
        <v>46078</v>
      </c>
      <c r="J21" s="7">
        <v>46083</v>
      </c>
      <c r="K21" s="4" t="s">
        <v>78</v>
      </c>
    </row>
    <row r="22" spans="1:11" x14ac:dyDescent="0.3">
      <c r="A22" s="9">
        <v>1021</v>
      </c>
      <c r="B22" s="9" t="s">
        <v>46</v>
      </c>
      <c r="C22" s="4" t="s">
        <v>42</v>
      </c>
      <c r="D22" s="4" t="s">
        <v>20</v>
      </c>
      <c r="E22" s="4" t="s">
        <v>21</v>
      </c>
      <c r="F22" s="4">
        <v>3</v>
      </c>
      <c r="G22" s="4">
        <v>484</v>
      </c>
      <c r="H22" s="4">
        <v>2</v>
      </c>
      <c r="I22" s="7">
        <v>46144</v>
      </c>
      <c r="J22" s="7">
        <v>46148</v>
      </c>
      <c r="K22" s="4" t="s">
        <v>80</v>
      </c>
    </row>
    <row r="23" spans="1:11" x14ac:dyDescent="0.3">
      <c r="A23" s="9">
        <v>1022</v>
      </c>
      <c r="B23" s="9" t="s">
        <v>28</v>
      </c>
      <c r="C23" s="4" t="s">
        <v>23</v>
      </c>
      <c r="D23" s="4" t="s">
        <v>34</v>
      </c>
      <c r="E23" s="4" t="s">
        <v>6</v>
      </c>
      <c r="F23" s="4">
        <v>15</v>
      </c>
      <c r="G23" s="4">
        <v>11596</v>
      </c>
      <c r="H23" s="4">
        <v>0</v>
      </c>
      <c r="I23" s="7">
        <v>46117</v>
      </c>
      <c r="J23" s="7">
        <v>46121</v>
      </c>
      <c r="K23" s="4" t="s">
        <v>49</v>
      </c>
    </row>
    <row r="24" spans="1:11" x14ac:dyDescent="0.3">
      <c r="A24" s="9">
        <v>1023</v>
      </c>
      <c r="B24" s="9" t="s">
        <v>39</v>
      </c>
      <c r="C24" s="4" t="s">
        <v>19</v>
      </c>
      <c r="D24" s="4" t="s">
        <v>24</v>
      </c>
      <c r="E24" s="4" t="s">
        <v>43</v>
      </c>
      <c r="F24" s="4">
        <v>15</v>
      </c>
      <c r="G24" s="4">
        <v>3506</v>
      </c>
      <c r="H24" s="4">
        <v>2</v>
      </c>
      <c r="I24" s="7">
        <v>46193</v>
      </c>
      <c r="J24" s="7">
        <v>46194</v>
      </c>
      <c r="K24" s="4" t="s">
        <v>49</v>
      </c>
    </row>
    <row r="25" spans="1:11" x14ac:dyDescent="0.3">
      <c r="A25" s="9">
        <v>1024</v>
      </c>
      <c r="B25" s="9" t="s">
        <v>32</v>
      </c>
      <c r="C25" s="4" t="s">
        <v>38</v>
      </c>
      <c r="D25" s="4" t="s">
        <v>34</v>
      </c>
      <c r="E25" s="4" t="s">
        <v>40</v>
      </c>
      <c r="F25" s="4">
        <v>12</v>
      </c>
      <c r="G25" s="4">
        <v>1682</v>
      </c>
      <c r="H25" s="4">
        <v>5</v>
      </c>
      <c r="I25" s="7">
        <v>46161</v>
      </c>
      <c r="J25" s="7">
        <v>46165</v>
      </c>
      <c r="K25" s="4" t="s">
        <v>78</v>
      </c>
    </row>
    <row r="26" spans="1:11" x14ac:dyDescent="0.3">
      <c r="A26" s="9">
        <v>1025</v>
      </c>
      <c r="B26" s="9" t="s">
        <v>25</v>
      </c>
      <c r="C26" s="4" t="s">
        <v>19</v>
      </c>
      <c r="D26" s="4" t="s">
        <v>24</v>
      </c>
      <c r="E26" s="4" t="s">
        <v>7</v>
      </c>
      <c r="F26" s="4">
        <v>18</v>
      </c>
      <c r="G26" s="4">
        <v>7924</v>
      </c>
      <c r="H26" s="4">
        <v>0</v>
      </c>
      <c r="I26" s="7">
        <v>46175</v>
      </c>
      <c r="J26" s="7">
        <v>46181</v>
      </c>
      <c r="K26" s="4" t="s">
        <v>78</v>
      </c>
    </row>
    <row r="27" spans="1:11" x14ac:dyDescent="0.3">
      <c r="A27" s="9">
        <v>1026</v>
      </c>
      <c r="B27" s="9" t="s">
        <v>47</v>
      </c>
      <c r="C27" s="4" t="s">
        <v>31</v>
      </c>
      <c r="D27" s="4" t="s">
        <v>20</v>
      </c>
      <c r="E27" s="4" t="s">
        <v>48</v>
      </c>
      <c r="F27" s="4">
        <v>17</v>
      </c>
      <c r="G27" s="4">
        <v>323</v>
      </c>
      <c r="H27" s="4">
        <v>10</v>
      </c>
      <c r="I27" s="7">
        <v>46039</v>
      </c>
      <c r="J27" s="7">
        <v>46040</v>
      </c>
      <c r="K27" s="4" t="s">
        <v>49</v>
      </c>
    </row>
    <row r="28" spans="1:11" x14ac:dyDescent="0.3">
      <c r="A28" s="9">
        <v>1027</v>
      </c>
      <c r="B28" s="9" t="s">
        <v>49</v>
      </c>
      <c r="C28" s="4" t="s">
        <v>42</v>
      </c>
      <c r="D28" s="4" t="s">
        <v>20</v>
      </c>
      <c r="E28" s="4" t="s">
        <v>48</v>
      </c>
      <c r="F28" s="4">
        <v>4</v>
      </c>
      <c r="G28" s="4">
        <v>264</v>
      </c>
      <c r="H28" s="4">
        <v>0</v>
      </c>
      <c r="I28" s="7">
        <v>46155</v>
      </c>
      <c r="J28" s="7">
        <v>46161</v>
      </c>
      <c r="K28" s="4" t="s">
        <v>81</v>
      </c>
    </row>
    <row r="29" spans="1:11" x14ac:dyDescent="0.3">
      <c r="A29" s="9">
        <v>1028</v>
      </c>
      <c r="B29" s="9" t="s">
        <v>45</v>
      </c>
      <c r="C29" s="4" t="s">
        <v>26</v>
      </c>
      <c r="D29" s="4" t="s">
        <v>20</v>
      </c>
      <c r="E29" s="4" t="s">
        <v>36</v>
      </c>
      <c r="F29" s="4">
        <v>13</v>
      </c>
      <c r="G29" s="4">
        <v>433</v>
      </c>
      <c r="H29" s="4">
        <v>2</v>
      </c>
      <c r="I29" s="7">
        <v>46116</v>
      </c>
      <c r="J29" s="7">
        <v>46121</v>
      </c>
      <c r="K29" s="4" t="s">
        <v>80</v>
      </c>
    </row>
    <row r="30" spans="1:11" x14ac:dyDescent="0.3">
      <c r="A30" s="9">
        <v>1029</v>
      </c>
      <c r="B30" s="9" t="s">
        <v>30</v>
      </c>
      <c r="C30" s="4" t="s">
        <v>27</v>
      </c>
      <c r="D30" s="4" t="s">
        <v>20</v>
      </c>
      <c r="E30" s="4" t="s">
        <v>36</v>
      </c>
      <c r="F30" s="4">
        <v>18</v>
      </c>
      <c r="G30" s="4">
        <v>443</v>
      </c>
      <c r="H30" s="4">
        <v>5</v>
      </c>
      <c r="I30" s="7">
        <v>46046</v>
      </c>
      <c r="J30" s="7">
        <v>46054</v>
      </c>
      <c r="K30" s="4" t="s">
        <v>80</v>
      </c>
    </row>
    <row r="31" spans="1:11" x14ac:dyDescent="0.3">
      <c r="A31" s="9">
        <v>1030</v>
      </c>
      <c r="B31" s="9" t="s">
        <v>50</v>
      </c>
      <c r="C31" s="4" t="s">
        <v>19</v>
      </c>
      <c r="D31" s="4" t="s">
        <v>20</v>
      </c>
      <c r="E31" s="4" t="s">
        <v>51</v>
      </c>
      <c r="F31" s="4">
        <v>13</v>
      </c>
      <c r="G31" s="4">
        <v>336</v>
      </c>
      <c r="H31" s="4">
        <v>10</v>
      </c>
      <c r="I31" s="7">
        <v>46098</v>
      </c>
      <c r="J31" s="7">
        <v>46108</v>
      </c>
      <c r="K31" s="4" t="s">
        <v>78</v>
      </c>
    </row>
    <row r="32" spans="1:11" x14ac:dyDescent="0.3">
      <c r="A32" s="9">
        <v>1031</v>
      </c>
      <c r="B32" s="9" t="s">
        <v>52</v>
      </c>
      <c r="C32" s="4" t="s">
        <v>31</v>
      </c>
      <c r="D32" s="4" t="s">
        <v>20</v>
      </c>
      <c r="E32" s="4" t="s">
        <v>51</v>
      </c>
      <c r="F32" s="4">
        <v>2</v>
      </c>
      <c r="G32" s="4">
        <v>184</v>
      </c>
      <c r="H32" s="4">
        <v>5</v>
      </c>
      <c r="I32" s="7">
        <v>46089</v>
      </c>
      <c r="J32" s="7">
        <v>46093</v>
      </c>
      <c r="K32" s="4" t="s">
        <v>79</v>
      </c>
    </row>
    <row r="33" spans="1:11" x14ac:dyDescent="0.3">
      <c r="A33" s="9">
        <v>1032</v>
      </c>
      <c r="B33" s="9" t="s">
        <v>52</v>
      </c>
      <c r="C33" s="4" t="s">
        <v>42</v>
      </c>
      <c r="D33" s="4" t="s">
        <v>34</v>
      </c>
      <c r="E33" s="4" t="s">
        <v>5</v>
      </c>
      <c r="F33" s="4">
        <v>20</v>
      </c>
      <c r="G33" s="4">
        <v>11305</v>
      </c>
      <c r="H33" s="4">
        <v>2</v>
      </c>
      <c r="I33" s="7">
        <v>46163</v>
      </c>
      <c r="J33" s="7">
        <v>46165</v>
      </c>
      <c r="K33" s="4" t="s">
        <v>49</v>
      </c>
    </row>
    <row r="34" spans="1:11" x14ac:dyDescent="0.3">
      <c r="A34" s="9">
        <v>1033</v>
      </c>
      <c r="B34" s="9" t="s">
        <v>18</v>
      </c>
      <c r="C34" s="4" t="s">
        <v>42</v>
      </c>
      <c r="D34" s="4" t="s">
        <v>24</v>
      </c>
      <c r="E34" s="4" t="s">
        <v>7</v>
      </c>
      <c r="F34" s="4">
        <v>9</v>
      </c>
      <c r="G34" s="4">
        <v>4895</v>
      </c>
      <c r="H34" s="4">
        <v>2</v>
      </c>
      <c r="I34" s="7">
        <v>46082</v>
      </c>
      <c r="J34" s="7">
        <v>46084</v>
      </c>
      <c r="K34" s="4" t="s">
        <v>49</v>
      </c>
    </row>
    <row r="35" spans="1:11" x14ac:dyDescent="0.3">
      <c r="A35" s="9">
        <v>1034</v>
      </c>
      <c r="B35" s="9" t="s">
        <v>53</v>
      </c>
      <c r="C35" s="4" t="s">
        <v>33</v>
      </c>
      <c r="D35" s="4" t="s">
        <v>24</v>
      </c>
      <c r="E35" s="4" t="s">
        <v>8</v>
      </c>
      <c r="F35" s="4">
        <v>17</v>
      </c>
      <c r="G35" s="4">
        <v>5104</v>
      </c>
      <c r="H35" s="4">
        <v>12</v>
      </c>
      <c r="I35" s="7">
        <v>46052</v>
      </c>
      <c r="J35" s="7">
        <v>46061</v>
      </c>
      <c r="K35" s="4" t="s">
        <v>81</v>
      </c>
    </row>
    <row r="36" spans="1:11" x14ac:dyDescent="0.3">
      <c r="A36" s="9">
        <v>1035</v>
      </c>
      <c r="B36" s="9" t="s">
        <v>47</v>
      </c>
      <c r="C36" s="4" t="s">
        <v>42</v>
      </c>
      <c r="D36" s="4" t="s">
        <v>24</v>
      </c>
      <c r="E36" s="4" t="s">
        <v>11</v>
      </c>
      <c r="F36" s="4">
        <v>3</v>
      </c>
      <c r="G36" s="4">
        <v>9149</v>
      </c>
      <c r="H36" s="4">
        <v>0</v>
      </c>
      <c r="I36" s="7">
        <v>46031</v>
      </c>
      <c r="J36" s="7">
        <v>46034</v>
      </c>
      <c r="K36" s="4" t="s">
        <v>80</v>
      </c>
    </row>
    <row r="37" spans="1:11" x14ac:dyDescent="0.3">
      <c r="A37" s="9">
        <v>1036</v>
      </c>
      <c r="B37" s="9" t="s">
        <v>18</v>
      </c>
      <c r="C37" s="4" t="s">
        <v>27</v>
      </c>
      <c r="D37" s="4" t="s">
        <v>20</v>
      </c>
      <c r="E37" s="4" t="s">
        <v>36</v>
      </c>
      <c r="F37" s="4">
        <v>20</v>
      </c>
      <c r="G37" s="4">
        <v>161</v>
      </c>
      <c r="H37" s="4">
        <v>7</v>
      </c>
      <c r="I37" s="7">
        <v>46071</v>
      </c>
      <c r="J37" s="7">
        <v>46077</v>
      </c>
      <c r="K37" s="4" t="s">
        <v>80</v>
      </c>
    </row>
    <row r="38" spans="1:11" x14ac:dyDescent="0.3">
      <c r="A38" s="9">
        <v>1037</v>
      </c>
      <c r="B38" s="9" t="s">
        <v>44</v>
      </c>
      <c r="C38" s="4" t="s">
        <v>42</v>
      </c>
      <c r="D38" s="4" t="s">
        <v>24</v>
      </c>
      <c r="E38" s="4" t="s">
        <v>11</v>
      </c>
      <c r="F38" s="4">
        <v>6</v>
      </c>
      <c r="G38" s="4">
        <v>14385</v>
      </c>
      <c r="H38" s="4">
        <v>12</v>
      </c>
      <c r="I38" s="7">
        <v>46033</v>
      </c>
      <c r="J38" s="7">
        <v>46043</v>
      </c>
      <c r="K38" s="4" t="s">
        <v>80</v>
      </c>
    </row>
    <row r="39" spans="1:11" x14ac:dyDescent="0.3">
      <c r="A39" s="9">
        <v>1038</v>
      </c>
      <c r="B39" s="9" t="s">
        <v>53</v>
      </c>
      <c r="C39" s="4" t="s">
        <v>23</v>
      </c>
      <c r="D39" s="4" t="s">
        <v>20</v>
      </c>
      <c r="E39" s="4" t="s">
        <v>36</v>
      </c>
      <c r="F39" s="4">
        <v>17</v>
      </c>
      <c r="G39" s="4">
        <v>223</v>
      </c>
      <c r="H39" s="4">
        <v>7</v>
      </c>
      <c r="I39" s="7">
        <v>46030</v>
      </c>
      <c r="J39" s="7">
        <v>46031</v>
      </c>
      <c r="K39" s="4" t="s">
        <v>81</v>
      </c>
    </row>
    <row r="40" spans="1:11" x14ac:dyDescent="0.3">
      <c r="A40" s="9">
        <v>1039</v>
      </c>
      <c r="B40" s="9" t="s">
        <v>46</v>
      </c>
      <c r="C40" s="4" t="s">
        <v>38</v>
      </c>
      <c r="D40" s="4" t="s">
        <v>34</v>
      </c>
      <c r="E40" s="4" t="s">
        <v>6</v>
      </c>
      <c r="F40" s="4">
        <v>5</v>
      </c>
      <c r="G40" s="4">
        <v>60236</v>
      </c>
      <c r="H40" s="4">
        <v>10</v>
      </c>
      <c r="I40" s="7">
        <v>46107</v>
      </c>
      <c r="J40" s="7">
        <v>46110</v>
      </c>
      <c r="K40" s="4" t="s">
        <v>79</v>
      </c>
    </row>
    <row r="41" spans="1:11" x14ac:dyDescent="0.3">
      <c r="A41" s="9">
        <v>1040</v>
      </c>
      <c r="B41" s="9" t="s">
        <v>47</v>
      </c>
      <c r="C41" s="4" t="s">
        <v>38</v>
      </c>
      <c r="D41" s="4" t="s">
        <v>24</v>
      </c>
      <c r="E41" s="4" t="s">
        <v>8</v>
      </c>
      <c r="F41" s="4">
        <v>10</v>
      </c>
      <c r="G41" s="4">
        <v>7531</v>
      </c>
      <c r="H41" s="4">
        <v>2</v>
      </c>
      <c r="I41" s="7">
        <v>46171</v>
      </c>
      <c r="J41" s="7">
        <v>46178</v>
      </c>
      <c r="K41" s="4" t="s">
        <v>80</v>
      </c>
    </row>
    <row r="42" spans="1:11" x14ac:dyDescent="0.3">
      <c r="A42" s="9">
        <v>1041</v>
      </c>
      <c r="B42" s="9" t="s">
        <v>52</v>
      </c>
      <c r="C42" s="4" t="s">
        <v>38</v>
      </c>
      <c r="D42" s="4" t="s">
        <v>20</v>
      </c>
      <c r="E42" s="4" t="s">
        <v>48</v>
      </c>
      <c r="F42" s="4">
        <v>9</v>
      </c>
      <c r="G42" s="4">
        <v>71</v>
      </c>
      <c r="H42" s="4">
        <v>7</v>
      </c>
      <c r="I42" s="7">
        <v>46185</v>
      </c>
      <c r="J42" s="7">
        <v>46188</v>
      </c>
      <c r="K42" s="4" t="s">
        <v>78</v>
      </c>
    </row>
    <row r="43" spans="1:11" x14ac:dyDescent="0.3">
      <c r="A43" s="9">
        <v>1042</v>
      </c>
      <c r="B43" s="9" t="s">
        <v>44</v>
      </c>
      <c r="C43" s="4" t="s">
        <v>33</v>
      </c>
      <c r="D43" s="4" t="s">
        <v>20</v>
      </c>
      <c r="E43" s="4" t="s">
        <v>51</v>
      </c>
      <c r="F43" s="4">
        <v>16</v>
      </c>
      <c r="G43" s="4">
        <v>232</v>
      </c>
      <c r="H43" s="4">
        <v>0</v>
      </c>
      <c r="I43" s="7">
        <v>46081</v>
      </c>
      <c r="J43" s="7">
        <v>46088</v>
      </c>
      <c r="K43" s="4" t="s">
        <v>49</v>
      </c>
    </row>
    <row r="44" spans="1:11" x14ac:dyDescent="0.3">
      <c r="A44" s="9">
        <v>1043</v>
      </c>
      <c r="B44" s="9" t="s">
        <v>47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7">
        <v>46091</v>
      </c>
      <c r="J44" s="7">
        <v>46098</v>
      </c>
      <c r="K44" s="4" t="s">
        <v>49</v>
      </c>
    </row>
    <row r="45" spans="1:11" x14ac:dyDescent="0.3">
      <c r="A45" s="9">
        <v>1044</v>
      </c>
      <c r="B45" s="9" t="s">
        <v>46</v>
      </c>
      <c r="C45" s="4" t="s">
        <v>38</v>
      </c>
      <c r="D45" s="4" t="s">
        <v>24</v>
      </c>
      <c r="E45" s="4" t="s">
        <v>7</v>
      </c>
      <c r="F45" s="4">
        <v>4</v>
      </c>
      <c r="G45" s="4">
        <v>14731</v>
      </c>
      <c r="H45" s="4">
        <v>2</v>
      </c>
      <c r="I45" s="7">
        <v>46173</v>
      </c>
      <c r="J45" s="7">
        <v>46176</v>
      </c>
      <c r="K45" s="4" t="s">
        <v>79</v>
      </c>
    </row>
    <row r="46" spans="1:11" x14ac:dyDescent="0.3">
      <c r="A46" s="9">
        <v>1045</v>
      </c>
      <c r="B46" s="9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7">
        <v>46038</v>
      </c>
      <c r="J46" s="7">
        <v>46039</v>
      </c>
      <c r="K46" s="4" t="s">
        <v>49</v>
      </c>
    </row>
    <row r="47" spans="1:11" x14ac:dyDescent="0.3">
      <c r="A47" s="9">
        <v>1046</v>
      </c>
      <c r="B47" s="9" t="s">
        <v>54</v>
      </c>
      <c r="C47" s="4" t="s">
        <v>38</v>
      </c>
      <c r="D47" s="4" t="s">
        <v>34</v>
      </c>
      <c r="E47" s="4" t="s">
        <v>6</v>
      </c>
      <c r="F47" s="4">
        <v>3</v>
      </c>
      <c r="G47" s="4">
        <v>19443</v>
      </c>
      <c r="H47" s="4">
        <v>10</v>
      </c>
      <c r="I47" s="7">
        <v>46153</v>
      </c>
      <c r="J47" s="7">
        <v>46158</v>
      </c>
      <c r="K47" s="4" t="s">
        <v>49</v>
      </c>
    </row>
    <row r="48" spans="1:11" x14ac:dyDescent="0.3">
      <c r="A48" s="9">
        <v>1047</v>
      </c>
      <c r="B48" s="9" t="s">
        <v>55</v>
      </c>
      <c r="C48" s="4" t="s">
        <v>38</v>
      </c>
      <c r="D48" s="4" t="s">
        <v>24</v>
      </c>
      <c r="E48" s="4" t="s">
        <v>11</v>
      </c>
      <c r="F48" s="4">
        <v>11</v>
      </c>
      <c r="G48" s="4">
        <v>9976</v>
      </c>
      <c r="H48" s="4">
        <v>12</v>
      </c>
      <c r="I48" s="7">
        <v>46200</v>
      </c>
      <c r="J48" s="7">
        <v>46209</v>
      </c>
      <c r="K48" s="4" t="s">
        <v>78</v>
      </c>
    </row>
    <row r="49" spans="1:11" x14ac:dyDescent="0.3">
      <c r="A49" s="9">
        <v>1048</v>
      </c>
      <c r="B49" s="9" t="s">
        <v>56</v>
      </c>
      <c r="C49" s="4" t="s">
        <v>27</v>
      </c>
      <c r="D49" s="4" t="s">
        <v>34</v>
      </c>
      <c r="E49" s="4" t="s">
        <v>9</v>
      </c>
      <c r="F49" s="4">
        <v>14</v>
      </c>
      <c r="G49" s="4">
        <v>11762</v>
      </c>
      <c r="H49" s="4">
        <v>7</v>
      </c>
      <c r="I49" s="7">
        <v>46180</v>
      </c>
      <c r="J49" s="7">
        <v>46186</v>
      </c>
      <c r="K49" s="4" t="s">
        <v>80</v>
      </c>
    </row>
    <row r="50" spans="1:11" x14ac:dyDescent="0.3">
      <c r="A50" s="9">
        <v>1049</v>
      </c>
      <c r="B50" s="9" t="s">
        <v>50</v>
      </c>
      <c r="C50" s="4" t="s">
        <v>27</v>
      </c>
      <c r="D50" s="4" t="s">
        <v>34</v>
      </c>
      <c r="E50" s="4" t="s">
        <v>6</v>
      </c>
      <c r="F50" s="4">
        <v>2</v>
      </c>
      <c r="G50" s="4">
        <v>40789</v>
      </c>
      <c r="H50" s="4">
        <v>0</v>
      </c>
      <c r="I50" s="7">
        <v>46102</v>
      </c>
      <c r="J50" s="7">
        <v>46108</v>
      </c>
      <c r="K50" s="4" t="s">
        <v>80</v>
      </c>
    </row>
    <row r="51" spans="1:11" x14ac:dyDescent="0.3">
      <c r="A51" s="9">
        <v>1050</v>
      </c>
      <c r="B51" s="9" t="s">
        <v>32</v>
      </c>
      <c r="C51" s="4" t="s">
        <v>27</v>
      </c>
      <c r="D51" s="4" t="s">
        <v>20</v>
      </c>
      <c r="E51" s="4" t="s">
        <v>51</v>
      </c>
      <c r="F51" s="4">
        <v>12</v>
      </c>
      <c r="G51" s="4">
        <v>360</v>
      </c>
      <c r="H51" s="4">
        <v>5</v>
      </c>
      <c r="I51" s="7">
        <v>46127</v>
      </c>
      <c r="J51" s="7">
        <v>46137</v>
      </c>
      <c r="K51" s="4" t="s">
        <v>49</v>
      </c>
    </row>
    <row r="52" spans="1:11" x14ac:dyDescent="0.3">
      <c r="A52" s="9">
        <v>1051</v>
      </c>
      <c r="B52" s="9" t="s">
        <v>55</v>
      </c>
      <c r="C52" s="4" t="s">
        <v>23</v>
      </c>
      <c r="D52" s="4" t="s">
        <v>20</v>
      </c>
      <c r="E52" s="4" t="s">
        <v>36</v>
      </c>
      <c r="F52" s="4">
        <v>12</v>
      </c>
      <c r="G52" s="4">
        <v>47</v>
      </c>
      <c r="H52" s="4">
        <v>2</v>
      </c>
      <c r="I52" s="7">
        <v>46037</v>
      </c>
      <c r="J52" s="7">
        <v>46045</v>
      </c>
      <c r="K52" s="4" t="s">
        <v>78</v>
      </c>
    </row>
    <row r="53" spans="1:11" x14ac:dyDescent="0.3">
      <c r="A53" s="9">
        <v>1052</v>
      </c>
      <c r="B53" s="9" t="s">
        <v>53</v>
      </c>
      <c r="C53" s="4" t="s">
        <v>19</v>
      </c>
      <c r="D53" s="4" t="s">
        <v>20</v>
      </c>
      <c r="E53" s="4" t="s">
        <v>21</v>
      </c>
      <c r="F53" s="4">
        <v>17</v>
      </c>
      <c r="G53" s="4">
        <v>172</v>
      </c>
      <c r="H53" s="4">
        <v>10</v>
      </c>
      <c r="I53" s="7">
        <v>46159</v>
      </c>
      <c r="J53" s="7">
        <v>46165</v>
      </c>
      <c r="K53" s="4" t="s">
        <v>79</v>
      </c>
    </row>
    <row r="54" spans="1:11" x14ac:dyDescent="0.3">
      <c r="A54" s="9">
        <v>1053</v>
      </c>
      <c r="B54" s="9" t="s">
        <v>22</v>
      </c>
      <c r="C54" s="4" t="s">
        <v>33</v>
      </c>
      <c r="D54" s="4" t="s">
        <v>24</v>
      </c>
      <c r="E54" s="4" t="s">
        <v>8</v>
      </c>
      <c r="F54" s="4">
        <v>1</v>
      </c>
      <c r="G54" s="4">
        <v>9749</v>
      </c>
      <c r="H54" s="4">
        <v>15</v>
      </c>
      <c r="I54" s="7">
        <v>46064</v>
      </c>
      <c r="J54" s="7">
        <v>46070</v>
      </c>
      <c r="K54" s="4" t="s">
        <v>80</v>
      </c>
    </row>
    <row r="55" spans="1:11" x14ac:dyDescent="0.3">
      <c r="A55" s="9">
        <v>1054</v>
      </c>
      <c r="B55" s="9" t="s">
        <v>28</v>
      </c>
      <c r="C55" s="4" t="s">
        <v>27</v>
      </c>
      <c r="D55" s="4" t="s">
        <v>24</v>
      </c>
      <c r="E55" s="4" t="s">
        <v>10</v>
      </c>
      <c r="F55" s="4">
        <v>8</v>
      </c>
      <c r="G55" s="4">
        <v>9798</v>
      </c>
      <c r="H55" s="4">
        <v>12</v>
      </c>
      <c r="I55" s="7">
        <v>46200</v>
      </c>
      <c r="J55" s="7">
        <v>46201</v>
      </c>
      <c r="K55" s="4" t="s">
        <v>81</v>
      </c>
    </row>
    <row r="56" spans="1:11" x14ac:dyDescent="0.3">
      <c r="A56" s="9">
        <v>1055</v>
      </c>
      <c r="B56" s="9" t="s">
        <v>46</v>
      </c>
      <c r="C56" s="4" t="s">
        <v>19</v>
      </c>
      <c r="D56" s="4" t="s">
        <v>20</v>
      </c>
      <c r="E56" s="4" t="s">
        <v>37</v>
      </c>
      <c r="F56" s="4">
        <v>18</v>
      </c>
      <c r="G56" s="4">
        <v>185</v>
      </c>
      <c r="H56" s="4">
        <v>15</v>
      </c>
      <c r="I56" s="7">
        <v>46077</v>
      </c>
      <c r="J56" s="7">
        <v>46078</v>
      </c>
      <c r="K56" s="4" t="s">
        <v>78</v>
      </c>
    </row>
    <row r="57" spans="1:11" x14ac:dyDescent="0.3">
      <c r="A57" s="9">
        <v>1056</v>
      </c>
      <c r="B57" s="9" t="s">
        <v>18</v>
      </c>
      <c r="C57" s="4" t="s">
        <v>26</v>
      </c>
      <c r="D57" s="4" t="s">
        <v>24</v>
      </c>
      <c r="E57" s="4" t="s">
        <v>7</v>
      </c>
      <c r="F57" s="4">
        <v>3</v>
      </c>
      <c r="G57" s="4">
        <v>9771</v>
      </c>
      <c r="H57" s="4">
        <v>5</v>
      </c>
      <c r="I57" s="7">
        <v>46133</v>
      </c>
      <c r="J57" s="7">
        <v>46139</v>
      </c>
      <c r="K57" s="4" t="s">
        <v>80</v>
      </c>
    </row>
    <row r="58" spans="1:11" x14ac:dyDescent="0.3">
      <c r="A58" s="9">
        <v>1057</v>
      </c>
      <c r="B58" s="9" t="s">
        <v>56</v>
      </c>
      <c r="C58" s="4" t="s">
        <v>26</v>
      </c>
      <c r="D58" s="4" t="s">
        <v>24</v>
      </c>
      <c r="E58" s="4" t="s">
        <v>8</v>
      </c>
      <c r="F58" s="4">
        <v>2</v>
      </c>
      <c r="G58" s="4">
        <v>9531</v>
      </c>
      <c r="H58" s="4">
        <v>15</v>
      </c>
      <c r="I58" s="7">
        <v>46067</v>
      </c>
      <c r="J58" s="7">
        <v>46076</v>
      </c>
      <c r="K58" s="4" t="s">
        <v>81</v>
      </c>
    </row>
    <row r="59" spans="1:11" x14ac:dyDescent="0.3">
      <c r="A59" s="9">
        <v>1058</v>
      </c>
      <c r="B59" s="9" t="s">
        <v>50</v>
      </c>
      <c r="C59" s="4" t="s">
        <v>38</v>
      </c>
      <c r="D59" s="4" t="s">
        <v>24</v>
      </c>
      <c r="E59" s="4" t="s">
        <v>8</v>
      </c>
      <c r="F59" s="4">
        <v>10</v>
      </c>
      <c r="G59" s="4">
        <v>5532</v>
      </c>
      <c r="H59" s="4">
        <v>7</v>
      </c>
      <c r="I59" s="7">
        <v>46074</v>
      </c>
      <c r="J59" s="7">
        <v>46084</v>
      </c>
      <c r="K59" s="4" t="s">
        <v>80</v>
      </c>
    </row>
    <row r="60" spans="1:11" x14ac:dyDescent="0.3">
      <c r="A60" s="9">
        <v>1059</v>
      </c>
      <c r="B60" s="9" t="s">
        <v>52</v>
      </c>
      <c r="C60" s="4" t="s">
        <v>27</v>
      </c>
      <c r="D60" s="4" t="s">
        <v>20</v>
      </c>
      <c r="E60" s="4" t="s">
        <v>48</v>
      </c>
      <c r="F60" s="4">
        <v>20</v>
      </c>
      <c r="G60" s="4">
        <v>112</v>
      </c>
      <c r="H60" s="4">
        <v>10</v>
      </c>
      <c r="I60" s="7">
        <v>46113</v>
      </c>
      <c r="J60" s="7">
        <v>46122</v>
      </c>
      <c r="K60" s="4" t="s">
        <v>81</v>
      </c>
    </row>
    <row r="61" spans="1:11" x14ac:dyDescent="0.3">
      <c r="A61" s="9">
        <v>1060</v>
      </c>
      <c r="B61" s="9" t="s">
        <v>47</v>
      </c>
      <c r="C61" s="4" t="s">
        <v>19</v>
      </c>
      <c r="D61" s="4" t="s">
        <v>24</v>
      </c>
      <c r="E61" s="4" t="s">
        <v>43</v>
      </c>
      <c r="F61" s="4">
        <v>9</v>
      </c>
      <c r="G61" s="4">
        <v>9727</v>
      </c>
      <c r="H61" s="4">
        <v>2</v>
      </c>
      <c r="I61" s="7">
        <v>46024</v>
      </c>
      <c r="J61" s="7">
        <v>46030</v>
      </c>
      <c r="K61" s="4" t="s">
        <v>79</v>
      </c>
    </row>
    <row r="62" spans="1:11" x14ac:dyDescent="0.3">
      <c r="A62" s="9">
        <v>1061</v>
      </c>
      <c r="B62" s="9" t="s">
        <v>54</v>
      </c>
      <c r="C62" s="4" t="s">
        <v>19</v>
      </c>
      <c r="D62" s="4" t="s">
        <v>34</v>
      </c>
      <c r="E62" s="4" t="s">
        <v>40</v>
      </c>
      <c r="F62" s="4">
        <v>16</v>
      </c>
      <c r="G62" s="4">
        <v>59084</v>
      </c>
      <c r="H62" s="4">
        <v>0</v>
      </c>
      <c r="I62" s="7">
        <v>46060</v>
      </c>
      <c r="J62" s="7">
        <v>46069</v>
      </c>
      <c r="K62" s="4" t="s">
        <v>79</v>
      </c>
    </row>
    <row r="63" spans="1:11" x14ac:dyDescent="0.3">
      <c r="A63" s="9">
        <v>1062</v>
      </c>
      <c r="B63" s="9" t="s">
        <v>39</v>
      </c>
      <c r="C63" s="4" t="s">
        <v>42</v>
      </c>
      <c r="D63" s="4" t="s">
        <v>24</v>
      </c>
      <c r="E63" s="4" t="s">
        <v>10</v>
      </c>
      <c r="F63" s="4">
        <v>8</v>
      </c>
      <c r="G63" s="4">
        <v>8360</v>
      </c>
      <c r="H63" s="4">
        <v>2</v>
      </c>
      <c r="I63" s="7">
        <v>46190</v>
      </c>
      <c r="J63" s="7">
        <v>46200</v>
      </c>
      <c r="K63" s="4" t="s">
        <v>81</v>
      </c>
    </row>
    <row r="64" spans="1:11" x14ac:dyDescent="0.3">
      <c r="A64" s="9">
        <v>1063</v>
      </c>
      <c r="B64" s="9" t="s">
        <v>52</v>
      </c>
      <c r="C64" s="4" t="s">
        <v>26</v>
      </c>
      <c r="D64" s="4" t="s">
        <v>34</v>
      </c>
      <c r="E64" s="4" t="s">
        <v>6</v>
      </c>
      <c r="F64" s="4">
        <v>7</v>
      </c>
      <c r="G64" s="4">
        <v>66744</v>
      </c>
      <c r="H64" s="4">
        <v>7</v>
      </c>
      <c r="I64" s="7">
        <v>46148</v>
      </c>
      <c r="J64" s="7">
        <v>46155</v>
      </c>
      <c r="K64" s="4" t="s">
        <v>78</v>
      </c>
    </row>
    <row r="65" spans="1:11" x14ac:dyDescent="0.3">
      <c r="A65" s="9">
        <v>1064</v>
      </c>
      <c r="B65" s="9" t="s">
        <v>28</v>
      </c>
      <c r="C65" s="4" t="s">
        <v>23</v>
      </c>
      <c r="D65" s="4" t="s">
        <v>20</v>
      </c>
      <c r="E65" s="4" t="s">
        <v>48</v>
      </c>
      <c r="F65" s="4">
        <v>20</v>
      </c>
      <c r="G65" s="4">
        <v>191</v>
      </c>
      <c r="H65" s="4">
        <v>7</v>
      </c>
      <c r="I65" s="7">
        <v>46185</v>
      </c>
      <c r="J65" s="7">
        <v>46195</v>
      </c>
      <c r="K65" s="4" t="s">
        <v>49</v>
      </c>
    </row>
    <row r="66" spans="1:11" x14ac:dyDescent="0.3">
      <c r="A66" s="9">
        <v>1065</v>
      </c>
      <c r="B66" s="9" t="s">
        <v>41</v>
      </c>
      <c r="C66" s="4" t="s">
        <v>42</v>
      </c>
      <c r="D66" s="4" t="s">
        <v>24</v>
      </c>
      <c r="E66" s="4" t="s">
        <v>43</v>
      </c>
      <c r="F66" s="4">
        <v>1</v>
      </c>
      <c r="G66" s="4">
        <v>7730</v>
      </c>
      <c r="H66" s="4">
        <v>5</v>
      </c>
      <c r="I66" s="7">
        <v>46192</v>
      </c>
      <c r="J66" s="7">
        <v>46195</v>
      </c>
      <c r="K66" s="4" t="s">
        <v>81</v>
      </c>
    </row>
    <row r="67" spans="1:11" x14ac:dyDescent="0.3">
      <c r="A67" s="9">
        <v>1066</v>
      </c>
      <c r="B67" s="9" t="s">
        <v>45</v>
      </c>
      <c r="C67" s="4" t="s">
        <v>27</v>
      </c>
      <c r="D67" s="4" t="s">
        <v>24</v>
      </c>
      <c r="E67" s="4" t="s">
        <v>43</v>
      </c>
      <c r="F67" s="4">
        <v>15</v>
      </c>
      <c r="G67" s="4">
        <v>11987</v>
      </c>
      <c r="H67" s="4">
        <v>5</v>
      </c>
      <c r="I67" s="7">
        <v>46082</v>
      </c>
      <c r="J67" s="7">
        <v>46083</v>
      </c>
      <c r="K67" s="4" t="s">
        <v>78</v>
      </c>
    </row>
    <row r="68" spans="1:11" x14ac:dyDescent="0.3">
      <c r="A68" s="9">
        <v>1067</v>
      </c>
      <c r="B68" s="9" t="s">
        <v>32</v>
      </c>
      <c r="C68" s="4" t="s">
        <v>42</v>
      </c>
      <c r="D68" s="4" t="s">
        <v>24</v>
      </c>
      <c r="E68" s="4" t="s">
        <v>11</v>
      </c>
      <c r="F68" s="4">
        <v>14</v>
      </c>
      <c r="G68" s="4">
        <v>10869</v>
      </c>
      <c r="H68" s="4">
        <v>0</v>
      </c>
      <c r="I68" s="7">
        <v>46058</v>
      </c>
      <c r="J68" s="7">
        <v>46062</v>
      </c>
      <c r="K68" s="4" t="s">
        <v>49</v>
      </c>
    </row>
    <row r="69" spans="1:11" x14ac:dyDescent="0.3">
      <c r="A69" s="9">
        <v>1068</v>
      </c>
      <c r="B69" s="9" t="s">
        <v>50</v>
      </c>
      <c r="C69" s="4" t="s">
        <v>42</v>
      </c>
      <c r="D69" s="4" t="s">
        <v>34</v>
      </c>
      <c r="E69" s="4" t="s">
        <v>9</v>
      </c>
      <c r="F69" s="4">
        <v>15</v>
      </c>
      <c r="G69" s="4">
        <v>14534</v>
      </c>
      <c r="H69" s="4">
        <v>5</v>
      </c>
      <c r="I69" s="7">
        <v>46196</v>
      </c>
      <c r="J69" s="7">
        <v>46199</v>
      </c>
      <c r="K69" s="4" t="s">
        <v>49</v>
      </c>
    </row>
    <row r="70" spans="1:11" x14ac:dyDescent="0.3">
      <c r="A70" s="9">
        <v>1069</v>
      </c>
      <c r="B70" s="9" t="s">
        <v>50</v>
      </c>
      <c r="C70" s="4" t="s">
        <v>31</v>
      </c>
      <c r="D70" s="4" t="s">
        <v>24</v>
      </c>
      <c r="E70" s="4" t="s">
        <v>8</v>
      </c>
      <c r="F70" s="4">
        <v>9</v>
      </c>
      <c r="G70" s="4">
        <v>4415</v>
      </c>
      <c r="H70" s="4">
        <v>5</v>
      </c>
      <c r="I70" s="7">
        <v>46039</v>
      </c>
      <c r="J70" s="7">
        <v>46046</v>
      </c>
      <c r="K70" s="4" t="s">
        <v>78</v>
      </c>
    </row>
    <row r="71" spans="1:11" x14ac:dyDescent="0.3">
      <c r="A71" s="9">
        <v>1070</v>
      </c>
      <c r="B71" s="9" t="s">
        <v>50</v>
      </c>
      <c r="C71" s="4" t="s">
        <v>42</v>
      </c>
      <c r="D71" s="4" t="s">
        <v>20</v>
      </c>
      <c r="E71" s="4" t="s">
        <v>36</v>
      </c>
      <c r="F71" s="4">
        <v>10</v>
      </c>
      <c r="G71" s="4">
        <v>233</v>
      </c>
      <c r="H71" s="4">
        <v>7</v>
      </c>
      <c r="I71" s="7">
        <v>46076</v>
      </c>
      <c r="J71" s="7">
        <v>46077</v>
      </c>
      <c r="K71" s="4" t="s">
        <v>49</v>
      </c>
    </row>
    <row r="72" spans="1:11" x14ac:dyDescent="0.3">
      <c r="A72" s="9">
        <v>1071</v>
      </c>
      <c r="B72" s="9" t="s">
        <v>56</v>
      </c>
      <c r="C72" s="4" t="s">
        <v>26</v>
      </c>
      <c r="D72" s="4" t="s">
        <v>34</v>
      </c>
      <c r="E72" s="4" t="s">
        <v>12</v>
      </c>
      <c r="F72" s="4">
        <v>18</v>
      </c>
      <c r="G72" s="4">
        <v>32197</v>
      </c>
      <c r="H72" s="4">
        <v>5</v>
      </c>
      <c r="I72" s="7">
        <v>46129</v>
      </c>
      <c r="J72" s="7">
        <v>46137</v>
      </c>
      <c r="K72" s="4" t="s">
        <v>79</v>
      </c>
    </row>
    <row r="73" spans="1:11" x14ac:dyDescent="0.3">
      <c r="A73" s="9">
        <v>1072</v>
      </c>
      <c r="B73" s="9" t="s">
        <v>22</v>
      </c>
      <c r="C73" s="4" t="s">
        <v>27</v>
      </c>
      <c r="D73" s="4" t="s">
        <v>34</v>
      </c>
      <c r="E73" s="4" t="s">
        <v>12</v>
      </c>
      <c r="F73" s="4">
        <v>20</v>
      </c>
      <c r="G73" s="4">
        <v>58779</v>
      </c>
      <c r="H73" s="4">
        <v>0</v>
      </c>
      <c r="I73" s="7">
        <v>46035</v>
      </c>
      <c r="J73" s="7">
        <v>46036</v>
      </c>
      <c r="K73" s="4" t="s">
        <v>80</v>
      </c>
    </row>
    <row r="74" spans="1:11" x14ac:dyDescent="0.3">
      <c r="A74" s="9">
        <v>1073</v>
      </c>
      <c r="B74" s="9" t="s">
        <v>55</v>
      </c>
      <c r="C74" s="4" t="s">
        <v>23</v>
      </c>
      <c r="D74" s="4" t="s">
        <v>24</v>
      </c>
      <c r="E74" s="4" t="s">
        <v>11</v>
      </c>
      <c r="F74" s="4">
        <v>4</v>
      </c>
      <c r="G74" s="4">
        <v>2453</v>
      </c>
      <c r="H74" s="4">
        <v>7</v>
      </c>
      <c r="I74" s="7">
        <v>46126</v>
      </c>
      <c r="J74" s="7">
        <v>46129</v>
      </c>
      <c r="K74" s="4" t="s">
        <v>81</v>
      </c>
    </row>
    <row r="75" spans="1:11" x14ac:dyDescent="0.3">
      <c r="A75" s="9">
        <v>1074</v>
      </c>
      <c r="B75" s="9" t="s">
        <v>28</v>
      </c>
      <c r="C75" s="4" t="s">
        <v>31</v>
      </c>
      <c r="D75" s="4" t="s">
        <v>20</v>
      </c>
      <c r="E75" s="4" t="s">
        <v>48</v>
      </c>
      <c r="F75" s="4">
        <v>11</v>
      </c>
      <c r="G75" s="4">
        <v>390</v>
      </c>
      <c r="H75" s="4">
        <v>15</v>
      </c>
      <c r="I75" s="7">
        <v>46114</v>
      </c>
      <c r="J75" s="7">
        <v>46123</v>
      </c>
      <c r="K75" s="4" t="s">
        <v>49</v>
      </c>
    </row>
    <row r="76" spans="1:11" x14ac:dyDescent="0.3">
      <c r="A76" s="9">
        <v>1075</v>
      </c>
      <c r="B76" s="9" t="s">
        <v>41</v>
      </c>
      <c r="C76" s="4" t="s">
        <v>42</v>
      </c>
      <c r="D76" s="4" t="s">
        <v>34</v>
      </c>
      <c r="E76" s="4" t="s">
        <v>12</v>
      </c>
      <c r="F76" s="4">
        <v>4</v>
      </c>
      <c r="G76" s="4">
        <v>64773</v>
      </c>
      <c r="H76" s="4">
        <v>10</v>
      </c>
      <c r="I76" s="7">
        <v>46185</v>
      </c>
      <c r="J76" s="7">
        <v>46186</v>
      </c>
      <c r="K76" s="4" t="s">
        <v>81</v>
      </c>
    </row>
    <row r="77" spans="1:11" x14ac:dyDescent="0.3">
      <c r="A77" s="9">
        <v>1076</v>
      </c>
      <c r="B77" s="9" t="s">
        <v>49</v>
      </c>
      <c r="C77" s="4" t="s">
        <v>23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7">
        <v>46045</v>
      </c>
      <c r="J77" s="7">
        <v>46055</v>
      </c>
      <c r="K77" s="4" t="s">
        <v>49</v>
      </c>
    </row>
    <row r="78" spans="1:11" x14ac:dyDescent="0.3">
      <c r="A78" s="9">
        <v>1077</v>
      </c>
      <c r="B78" s="9" t="s">
        <v>53</v>
      </c>
      <c r="C78" s="4" t="s">
        <v>27</v>
      </c>
      <c r="D78" s="4" t="s">
        <v>20</v>
      </c>
      <c r="E78" s="4" t="s">
        <v>21</v>
      </c>
      <c r="F78" s="4">
        <v>1</v>
      </c>
      <c r="G78" s="4">
        <v>123</v>
      </c>
      <c r="H78" s="4">
        <v>10</v>
      </c>
      <c r="I78" s="7">
        <v>46113</v>
      </c>
      <c r="J78" s="7">
        <v>46121</v>
      </c>
      <c r="K78" s="4" t="s">
        <v>81</v>
      </c>
    </row>
    <row r="79" spans="1:11" x14ac:dyDescent="0.3">
      <c r="A79" s="9">
        <v>1078</v>
      </c>
      <c r="B79" s="9" t="s">
        <v>50</v>
      </c>
      <c r="C79" s="4" t="s">
        <v>23</v>
      </c>
      <c r="D79" s="4" t="s">
        <v>34</v>
      </c>
      <c r="E79" s="4" t="s">
        <v>5</v>
      </c>
      <c r="F79" s="4">
        <v>11</v>
      </c>
      <c r="G79" s="4">
        <v>24278</v>
      </c>
      <c r="H79" s="4">
        <v>12</v>
      </c>
      <c r="I79" s="7">
        <v>46084</v>
      </c>
      <c r="J79" s="7">
        <v>46090</v>
      </c>
      <c r="K79" s="4" t="s">
        <v>49</v>
      </c>
    </row>
    <row r="80" spans="1:11" x14ac:dyDescent="0.3">
      <c r="A80" s="9">
        <v>1079</v>
      </c>
      <c r="B80" s="9" t="s">
        <v>28</v>
      </c>
      <c r="C80" s="4" t="s">
        <v>38</v>
      </c>
      <c r="D80" s="4" t="s">
        <v>34</v>
      </c>
      <c r="E80" s="4" t="s">
        <v>40</v>
      </c>
      <c r="F80" s="4">
        <v>19</v>
      </c>
      <c r="G80" s="4">
        <v>48956</v>
      </c>
      <c r="H80" s="4">
        <v>12</v>
      </c>
      <c r="I80" s="7">
        <v>46170</v>
      </c>
      <c r="J80" s="7">
        <v>46177</v>
      </c>
      <c r="K80" s="4" t="s">
        <v>81</v>
      </c>
    </row>
    <row r="81" spans="1:11" x14ac:dyDescent="0.3">
      <c r="A81" s="9">
        <v>1080</v>
      </c>
      <c r="B81" s="9" t="s">
        <v>25</v>
      </c>
      <c r="C81" s="4" t="s">
        <v>26</v>
      </c>
      <c r="D81" s="4" t="s">
        <v>34</v>
      </c>
      <c r="E81" s="4" t="s">
        <v>40</v>
      </c>
      <c r="F81" s="4">
        <v>12</v>
      </c>
      <c r="G81" s="4">
        <v>54161</v>
      </c>
      <c r="H81" s="4">
        <v>15</v>
      </c>
      <c r="I81" s="7">
        <v>46133</v>
      </c>
      <c r="J81" s="7">
        <v>46143</v>
      </c>
      <c r="K81" s="4" t="s">
        <v>80</v>
      </c>
    </row>
    <row r="82" spans="1:11" x14ac:dyDescent="0.3">
      <c r="A82" s="9">
        <v>1081</v>
      </c>
      <c r="B82" s="9" t="s">
        <v>45</v>
      </c>
      <c r="C82" s="4" t="s">
        <v>19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7">
        <v>46058</v>
      </c>
      <c r="J82" s="7">
        <v>46060</v>
      </c>
      <c r="K82" s="4" t="s">
        <v>81</v>
      </c>
    </row>
    <row r="83" spans="1:11" x14ac:dyDescent="0.3">
      <c r="A83" s="9">
        <v>1082</v>
      </c>
      <c r="B83" s="9" t="s">
        <v>25</v>
      </c>
      <c r="C83" s="4" t="s">
        <v>19</v>
      </c>
      <c r="D83" s="4" t="s">
        <v>20</v>
      </c>
      <c r="E83" s="4" t="s">
        <v>21</v>
      </c>
      <c r="F83" s="4">
        <v>7</v>
      </c>
      <c r="G83" s="4">
        <v>133</v>
      </c>
      <c r="H83" s="4">
        <v>10</v>
      </c>
      <c r="I83" s="7">
        <v>46075</v>
      </c>
      <c r="J83" s="7">
        <v>46085</v>
      </c>
      <c r="K83" s="4" t="s">
        <v>81</v>
      </c>
    </row>
    <row r="84" spans="1:11" x14ac:dyDescent="0.3">
      <c r="A84" s="9">
        <v>1083</v>
      </c>
      <c r="B84" s="9" t="s">
        <v>53</v>
      </c>
      <c r="C84" s="4" t="s">
        <v>33</v>
      </c>
      <c r="D84" s="4" t="s">
        <v>20</v>
      </c>
      <c r="E84" s="4" t="s">
        <v>51</v>
      </c>
      <c r="F84" s="4">
        <v>4</v>
      </c>
      <c r="G84" s="4">
        <v>397</v>
      </c>
      <c r="H84" s="4">
        <v>7</v>
      </c>
      <c r="I84" s="7">
        <v>46185</v>
      </c>
      <c r="J84" s="7">
        <v>46193</v>
      </c>
      <c r="K84" s="4" t="s">
        <v>78</v>
      </c>
    </row>
    <row r="85" spans="1:11" x14ac:dyDescent="0.3">
      <c r="A85" s="9">
        <v>1084</v>
      </c>
      <c r="B85" s="9" t="s">
        <v>47</v>
      </c>
      <c r="C85" s="4" t="s">
        <v>31</v>
      </c>
      <c r="D85" s="4" t="s">
        <v>24</v>
      </c>
      <c r="E85" s="4" t="s">
        <v>8</v>
      </c>
      <c r="F85" s="4">
        <v>4</v>
      </c>
      <c r="G85" s="4">
        <v>6901</v>
      </c>
      <c r="H85" s="4">
        <v>10</v>
      </c>
      <c r="I85" s="7">
        <v>46047</v>
      </c>
      <c r="J85" s="7">
        <v>46057</v>
      </c>
      <c r="K85" s="4" t="s">
        <v>79</v>
      </c>
    </row>
    <row r="86" spans="1:11" x14ac:dyDescent="0.3">
      <c r="A86" s="9">
        <v>1085</v>
      </c>
      <c r="B86" s="9" t="s">
        <v>32</v>
      </c>
      <c r="C86" s="4" t="s">
        <v>38</v>
      </c>
      <c r="D86" s="4" t="s">
        <v>34</v>
      </c>
      <c r="E86" s="4" t="s">
        <v>9</v>
      </c>
      <c r="F86" s="4">
        <v>19</v>
      </c>
      <c r="G86" s="4">
        <v>45307</v>
      </c>
      <c r="H86" s="4">
        <v>12</v>
      </c>
      <c r="I86" s="7">
        <v>46146</v>
      </c>
      <c r="J86" s="7">
        <v>46150</v>
      </c>
      <c r="K86" s="4" t="s">
        <v>80</v>
      </c>
    </row>
    <row r="87" spans="1:11" x14ac:dyDescent="0.3">
      <c r="A87" s="9">
        <v>1086</v>
      </c>
      <c r="B87" s="9" t="s">
        <v>32</v>
      </c>
      <c r="C87" s="4" t="s">
        <v>19</v>
      </c>
      <c r="D87" s="4" t="s">
        <v>20</v>
      </c>
      <c r="E87" s="4" t="s">
        <v>51</v>
      </c>
      <c r="F87" s="4">
        <v>15</v>
      </c>
      <c r="G87" s="4">
        <v>40</v>
      </c>
      <c r="H87" s="4">
        <v>10</v>
      </c>
      <c r="I87" s="7">
        <v>46045</v>
      </c>
      <c r="J87" s="7">
        <v>46049</v>
      </c>
      <c r="K87" s="4" t="s">
        <v>80</v>
      </c>
    </row>
    <row r="88" spans="1:11" x14ac:dyDescent="0.3">
      <c r="A88" s="9">
        <v>1087</v>
      </c>
      <c r="B88" s="9" t="s">
        <v>18</v>
      </c>
      <c r="C88" s="4" t="s">
        <v>31</v>
      </c>
      <c r="D88" s="4" t="s">
        <v>20</v>
      </c>
      <c r="E88" s="4" t="s">
        <v>37</v>
      </c>
      <c r="F88" s="4">
        <v>13</v>
      </c>
      <c r="G88" s="4">
        <v>387</v>
      </c>
      <c r="H88" s="4">
        <v>7</v>
      </c>
      <c r="I88" s="7">
        <v>46171</v>
      </c>
      <c r="J88" s="7">
        <v>46176</v>
      </c>
      <c r="K88" s="4" t="s">
        <v>80</v>
      </c>
    </row>
    <row r="89" spans="1:11" x14ac:dyDescent="0.3">
      <c r="A89" s="9">
        <v>1088</v>
      </c>
      <c r="B89" s="9" t="s">
        <v>39</v>
      </c>
      <c r="C89" s="4" t="s">
        <v>33</v>
      </c>
      <c r="D89" s="4" t="s">
        <v>34</v>
      </c>
      <c r="E89" s="4" t="s">
        <v>40</v>
      </c>
      <c r="F89" s="4">
        <v>20</v>
      </c>
      <c r="G89" s="4">
        <v>41165</v>
      </c>
      <c r="H89" s="4">
        <v>0</v>
      </c>
      <c r="I89" s="7">
        <v>46068</v>
      </c>
      <c r="J89" s="7">
        <v>46069</v>
      </c>
      <c r="K89" s="4" t="s">
        <v>79</v>
      </c>
    </row>
    <row r="90" spans="1:11" x14ac:dyDescent="0.3">
      <c r="A90" s="9">
        <v>1089</v>
      </c>
      <c r="B90" s="9" t="s">
        <v>44</v>
      </c>
      <c r="C90" s="4" t="s">
        <v>19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7">
        <v>46066</v>
      </c>
      <c r="J90" s="7">
        <v>46071</v>
      </c>
      <c r="K90" s="4" t="s">
        <v>80</v>
      </c>
    </row>
    <row r="91" spans="1:11" x14ac:dyDescent="0.3">
      <c r="A91" s="9">
        <v>1090</v>
      </c>
      <c r="B91" s="9" t="s">
        <v>47</v>
      </c>
      <c r="C91" s="4" t="s">
        <v>31</v>
      </c>
      <c r="D91" s="4" t="s">
        <v>34</v>
      </c>
      <c r="E91" s="4" t="s">
        <v>6</v>
      </c>
      <c r="F91" s="4">
        <v>19</v>
      </c>
      <c r="G91" s="4">
        <v>66139</v>
      </c>
      <c r="H91" s="4">
        <v>5</v>
      </c>
      <c r="I91" s="7">
        <v>46088</v>
      </c>
      <c r="J91" s="7">
        <v>46095</v>
      </c>
      <c r="K91" s="4" t="s">
        <v>80</v>
      </c>
    </row>
    <row r="92" spans="1:11" x14ac:dyDescent="0.3">
      <c r="A92" s="9">
        <v>1091</v>
      </c>
      <c r="B92" s="9" t="s">
        <v>53</v>
      </c>
      <c r="C92" s="4" t="s">
        <v>23</v>
      </c>
      <c r="D92" s="4" t="s">
        <v>20</v>
      </c>
      <c r="E92" s="4" t="s">
        <v>51</v>
      </c>
      <c r="F92" s="4">
        <v>2</v>
      </c>
      <c r="G92" s="4">
        <v>305</v>
      </c>
      <c r="H92" s="4">
        <v>0</v>
      </c>
      <c r="I92" s="7">
        <v>46136</v>
      </c>
      <c r="J92" s="7">
        <v>46144</v>
      </c>
      <c r="K92" s="4" t="s">
        <v>78</v>
      </c>
    </row>
    <row r="93" spans="1:11" x14ac:dyDescent="0.3">
      <c r="A93" s="9">
        <v>1092</v>
      </c>
      <c r="B93" s="9" t="s">
        <v>25</v>
      </c>
      <c r="C93" s="4" t="s">
        <v>26</v>
      </c>
      <c r="D93" s="4" t="s">
        <v>34</v>
      </c>
      <c r="E93" s="4" t="s">
        <v>40</v>
      </c>
      <c r="F93" s="4">
        <v>9</v>
      </c>
      <c r="G93" s="4">
        <v>23438</v>
      </c>
      <c r="H93" s="4">
        <v>2</v>
      </c>
      <c r="I93" s="7">
        <v>46049</v>
      </c>
      <c r="J93" s="7">
        <v>46055</v>
      </c>
      <c r="K93" s="4" t="s">
        <v>49</v>
      </c>
    </row>
    <row r="94" spans="1:11" x14ac:dyDescent="0.3">
      <c r="A94" s="9">
        <v>1093</v>
      </c>
      <c r="B94" s="9" t="s">
        <v>45</v>
      </c>
      <c r="C94" s="4" t="s">
        <v>27</v>
      </c>
      <c r="D94" s="4" t="s">
        <v>24</v>
      </c>
      <c r="E94" s="4" t="s">
        <v>10</v>
      </c>
      <c r="F94" s="4">
        <v>6</v>
      </c>
      <c r="G94" s="4">
        <v>8224</v>
      </c>
      <c r="H94" s="4">
        <v>15</v>
      </c>
      <c r="I94" s="7">
        <v>46175</v>
      </c>
      <c r="J94" s="7">
        <v>46185</v>
      </c>
      <c r="K94" s="4" t="s">
        <v>81</v>
      </c>
    </row>
    <row r="95" spans="1:11" x14ac:dyDescent="0.3">
      <c r="A95" s="9">
        <v>1094</v>
      </c>
      <c r="B95" s="9" t="s">
        <v>45</v>
      </c>
      <c r="C95" s="4" t="s">
        <v>42</v>
      </c>
      <c r="D95" s="4" t="s">
        <v>34</v>
      </c>
      <c r="E95" s="4" t="s">
        <v>12</v>
      </c>
      <c r="F95" s="4">
        <v>4</v>
      </c>
      <c r="G95" s="4">
        <v>7073</v>
      </c>
      <c r="H95" s="4">
        <v>0</v>
      </c>
      <c r="I95" s="7">
        <v>46101</v>
      </c>
      <c r="J95" s="7">
        <v>46105</v>
      </c>
      <c r="K95" s="4" t="s">
        <v>49</v>
      </c>
    </row>
    <row r="96" spans="1:11" x14ac:dyDescent="0.3">
      <c r="A96" s="9">
        <v>1095</v>
      </c>
      <c r="B96" s="9" t="s">
        <v>45</v>
      </c>
      <c r="C96" s="4" t="s">
        <v>27</v>
      </c>
      <c r="D96" s="4" t="s">
        <v>34</v>
      </c>
      <c r="E96" s="4" t="s">
        <v>40</v>
      </c>
      <c r="F96" s="4">
        <v>18</v>
      </c>
      <c r="G96" s="4">
        <v>587</v>
      </c>
      <c r="H96" s="4">
        <v>2</v>
      </c>
      <c r="I96" s="7">
        <v>46167</v>
      </c>
      <c r="J96" s="7">
        <v>46171</v>
      </c>
      <c r="K96" s="4" t="s">
        <v>79</v>
      </c>
    </row>
    <row r="97" spans="1:11" x14ac:dyDescent="0.3">
      <c r="A97" s="9">
        <v>1096</v>
      </c>
      <c r="B97" s="9" t="s">
        <v>47</v>
      </c>
      <c r="C97" s="4" t="s">
        <v>23</v>
      </c>
      <c r="D97" s="4" t="s">
        <v>24</v>
      </c>
      <c r="E97" s="4" t="s">
        <v>10</v>
      </c>
      <c r="F97" s="4">
        <v>15</v>
      </c>
      <c r="G97" s="4">
        <v>14724</v>
      </c>
      <c r="H97" s="4">
        <v>15</v>
      </c>
      <c r="I97" s="7">
        <v>46054</v>
      </c>
      <c r="J97" s="7">
        <v>46061</v>
      </c>
      <c r="K97" s="4" t="s">
        <v>79</v>
      </c>
    </row>
    <row r="98" spans="1:11" x14ac:dyDescent="0.3">
      <c r="A98" s="9">
        <v>1097</v>
      </c>
      <c r="B98" s="9" t="s">
        <v>50</v>
      </c>
      <c r="C98" s="4" t="s">
        <v>26</v>
      </c>
      <c r="D98" s="4" t="s">
        <v>34</v>
      </c>
      <c r="E98" s="4" t="s">
        <v>12</v>
      </c>
      <c r="F98" s="4">
        <v>10</v>
      </c>
      <c r="G98" s="4">
        <v>28980</v>
      </c>
      <c r="H98" s="4">
        <v>10</v>
      </c>
      <c r="I98" s="7">
        <v>46089</v>
      </c>
      <c r="J98" s="7">
        <v>46094</v>
      </c>
      <c r="K98" s="4" t="s">
        <v>80</v>
      </c>
    </row>
    <row r="99" spans="1:11" x14ac:dyDescent="0.3">
      <c r="A99" s="9">
        <v>1098</v>
      </c>
      <c r="B99" s="9" t="s">
        <v>28</v>
      </c>
      <c r="C99" s="4" t="s">
        <v>27</v>
      </c>
      <c r="D99" s="4" t="s">
        <v>20</v>
      </c>
      <c r="E99" s="4" t="s">
        <v>51</v>
      </c>
      <c r="F99" s="4">
        <v>17</v>
      </c>
      <c r="G99" s="4">
        <v>345</v>
      </c>
      <c r="H99" s="4">
        <v>2</v>
      </c>
      <c r="I99" s="7">
        <v>46126</v>
      </c>
      <c r="J99" s="7">
        <v>46127</v>
      </c>
      <c r="K99" s="4" t="s">
        <v>81</v>
      </c>
    </row>
    <row r="100" spans="1:11" x14ac:dyDescent="0.3">
      <c r="A100" s="9">
        <v>1099</v>
      </c>
      <c r="B100" s="9" t="s">
        <v>28</v>
      </c>
      <c r="C100" s="4" t="s">
        <v>31</v>
      </c>
      <c r="D100" s="4" t="s">
        <v>24</v>
      </c>
      <c r="E100" s="4" t="s">
        <v>7</v>
      </c>
      <c r="F100" s="4">
        <v>1</v>
      </c>
      <c r="G100" s="4">
        <v>5165</v>
      </c>
      <c r="H100" s="4">
        <v>2</v>
      </c>
      <c r="I100" s="7">
        <v>46058</v>
      </c>
      <c r="J100" s="7">
        <v>46060</v>
      </c>
      <c r="K100" s="4" t="s">
        <v>78</v>
      </c>
    </row>
    <row r="101" spans="1:11" x14ac:dyDescent="0.3">
      <c r="A101" s="9">
        <v>1100</v>
      </c>
      <c r="B101" s="9" t="s">
        <v>18</v>
      </c>
      <c r="C101" s="4" t="s">
        <v>31</v>
      </c>
      <c r="D101" s="4" t="s">
        <v>20</v>
      </c>
      <c r="E101" s="4" t="s">
        <v>21</v>
      </c>
      <c r="F101" s="4">
        <v>11</v>
      </c>
      <c r="G101" s="4">
        <v>296</v>
      </c>
      <c r="H101" s="4">
        <v>10</v>
      </c>
      <c r="I101" s="7">
        <v>46027</v>
      </c>
      <c r="J101" s="7">
        <v>46031</v>
      </c>
      <c r="K101" s="4" t="s">
        <v>81</v>
      </c>
    </row>
    <row r="102" spans="1:11" x14ac:dyDescent="0.3">
      <c r="A102" s="9">
        <v>1101</v>
      </c>
      <c r="B102" s="9" t="s">
        <v>29</v>
      </c>
      <c r="C102" s="4" t="s">
        <v>26</v>
      </c>
      <c r="D102" s="4" t="s">
        <v>34</v>
      </c>
      <c r="E102" s="4" t="s">
        <v>12</v>
      </c>
      <c r="F102" s="4">
        <v>9</v>
      </c>
      <c r="G102" s="4">
        <v>37361</v>
      </c>
      <c r="H102" s="4">
        <v>10</v>
      </c>
      <c r="I102" s="7">
        <v>46141</v>
      </c>
      <c r="J102" s="7">
        <v>46142</v>
      </c>
      <c r="K102" s="4" t="s">
        <v>80</v>
      </c>
    </row>
    <row r="103" spans="1:11" x14ac:dyDescent="0.3">
      <c r="A103" s="9">
        <v>1102</v>
      </c>
      <c r="B103" s="9" t="s">
        <v>52</v>
      </c>
      <c r="C103" s="4" t="s">
        <v>27</v>
      </c>
      <c r="D103" s="4" t="s">
        <v>34</v>
      </c>
      <c r="E103" s="4" t="s">
        <v>6</v>
      </c>
      <c r="F103" s="4">
        <v>12</v>
      </c>
      <c r="G103" s="4">
        <v>63402</v>
      </c>
      <c r="H103" s="4">
        <v>7</v>
      </c>
      <c r="I103" s="7">
        <v>46106</v>
      </c>
      <c r="J103" s="7">
        <v>46113</v>
      </c>
      <c r="K103" s="4" t="s">
        <v>81</v>
      </c>
    </row>
    <row r="104" spans="1:11" x14ac:dyDescent="0.3">
      <c r="A104" s="9">
        <v>1103</v>
      </c>
      <c r="B104" s="9" t="s">
        <v>22</v>
      </c>
      <c r="C104" s="4" t="s">
        <v>19</v>
      </c>
      <c r="D104" s="4" t="s">
        <v>24</v>
      </c>
      <c r="E104" s="4" t="s">
        <v>10</v>
      </c>
      <c r="F104" s="4">
        <v>7</v>
      </c>
      <c r="G104" s="4">
        <v>11925</v>
      </c>
      <c r="H104" s="4">
        <v>5</v>
      </c>
      <c r="I104" s="7">
        <v>46040</v>
      </c>
      <c r="J104" s="7">
        <v>46041</v>
      </c>
      <c r="K104" s="4" t="s">
        <v>49</v>
      </c>
    </row>
    <row r="105" spans="1:11" x14ac:dyDescent="0.3">
      <c r="A105" s="9">
        <v>1104</v>
      </c>
      <c r="B105" s="9" t="s">
        <v>22</v>
      </c>
      <c r="C105" s="4" t="s">
        <v>42</v>
      </c>
      <c r="D105" s="4" t="s">
        <v>24</v>
      </c>
      <c r="E105" s="4" t="s">
        <v>7</v>
      </c>
      <c r="F105" s="4">
        <v>10</v>
      </c>
      <c r="G105" s="4">
        <v>12848</v>
      </c>
      <c r="H105" s="4">
        <v>15</v>
      </c>
      <c r="I105" s="7">
        <v>46060</v>
      </c>
      <c r="J105" s="7">
        <v>46064</v>
      </c>
      <c r="K105" s="4" t="s">
        <v>49</v>
      </c>
    </row>
    <row r="106" spans="1:11" x14ac:dyDescent="0.3">
      <c r="A106" s="9">
        <v>1105</v>
      </c>
      <c r="B106" s="9" t="s">
        <v>56</v>
      </c>
      <c r="C106" s="4" t="s">
        <v>27</v>
      </c>
      <c r="D106" s="4" t="s">
        <v>20</v>
      </c>
      <c r="E106" s="4" t="s">
        <v>48</v>
      </c>
      <c r="F106" s="4">
        <v>2</v>
      </c>
      <c r="G106" s="4">
        <v>493</v>
      </c>
      <c r="H106" s="4">
        <v>12</v>
      </c>
      <c r="I106" s="7">
        <v>46057</v>
      </c>
      <c r="J106" s="7">
        <v>46066</v>
      </c>
      <c r="K106" s="4" t="s">
        <v>81</v>
      </c>
    </row>
    <row r="107" spans="1:11" x14ac:dyDescent="0.3">
      <c r="A107" s="9">
        <v>1106</v>
      </c>
      <c r="B107" s="9" t="s">
        <v>29</v>
      </c>
      <c r="C107" s="4" t="s">
        <v>42</v>
      </c>
      <c r="D107" s="4" t="s">
        <v>24</v>
      </c>
      <c r="E107" s="4" t="s">
        <v>10</v>
      </c>
      <c r="F107" s="4">
        <v>20</v>
      </c>
      <c r="G107" s="4">
        <v>2141</v>
      </c>
      <c r="H107" s="4">
        <v>2</v>
      </c>
      <c r="I107" s="7">
        <v>46091</v>
      </c>
      <c r="J107" s="7">
        <v>46097</v>
      </c>
      <c r="K107" s="4" t="s">
        <v>49</v>
      </c>
    </row>
    <row r="108" spans="1:11" x14ac:dyDescent="0.3">
      <c r="A108" s="9">
        <v>1107</v>
      </c>
      <c r="B108" s="9" t="s">
        <v>50</v>
      </c>
      <c r="C108" s="4" t="s">
        <v>23</v>
      </c>
      <c r="D108" s="4" t="s">
        <v>34</v>
      </c>
      <c r="E108" s="4" t="s">
        <v>9</v>
      </c>
      <c r="F108" s="4">
        <v>4</v>
      </c>
      <c r="G108" s="4">
        <v>14291</v>
      </c>
      <c r="H108" s="4">
        <v>2</v>
      </c>
      <c r="I108" s="7">
        <v>46076</v>
      </c>
      <c r="J108" s="7">
        <v>46078</v>
      </c>
      <c r="K108" s="4" t="s">
        <v>78</v>
      </c>
    </row>
    <row r="109" spans="1:11" x14ac:dyDescent="0.3">
      <c r="A109" s="9">
        <v>1108</v>
      </c>
      <c r="B109" s="9" t="s">
        <v>41</v>
      </c>
      <c r="C109" s="4" t="s">
        <v>33</v>
      </c>
      <c r="D109" s="4" t="s">
        <v>24</v>
      </c>
      <c r="E109" s="4" t="s">
        <v>8</v>
      </c>
      <c r="F109" s="4">
        <v>15</v>
      </c>
      <c r="G109" s="4">
        <v>13843</v>
      </c>
      <c r="H109" s="4">
        <v>7</v>
      </c>
      <c r="I109" s="7">
        <v>46119</v>
      </c>
      <c r="J109" s="7">
        <v>46127</v>
      </c>
      <c r="K109" s="4" t="s">
        <v>79</v>
      </c>
    </row>
    <row r="110" spans="1:11" x14ac:dyDescent="0.3">
      <c r="A110" s="9">
        <v>1109</v>
      </c>
      <c r="B110" s="9" t="s">
        <v>25</v>
      </c>
      <c r="C110" s="4" t="s">
        <v>31</v>
      </c>
      <c r="D110" s="4" t="s">
        <v>24</v>
      </c>
      <c r="E110" s="4" t="s">
        <v>43</v>
      </c>
      <c r="F110" s="4">
        <v>19</v>
      </c>
      <c r="G110" s="4">
        <v>6512</v>
      </c>
      <c r="H110" s="4">
        <v>10</v>
      </c>
      <c r="I110" s="7">
        <v>46033</v>
      </c>
      <c r="J110" s="7">
        <v>46037</v>
      </c>
      <c r="K110" s="4" t="s">
        <v>79</v>
      </c>
    </row>
    <row r="111" spans="1:11" x14ac:dyDescent="0.3">
      <c r="A111" s="9">
        <v>1110</v>
      </c>
      <c r="B111" s="9" t="s">
        <v>47</v>
      </c>
      <c r="C111" s="4" t="s">
        <v>38</v>
      </c>
      <c r="D111" s="4" t="s">
        <v>24</v>
      </c>
      <c r="E111" s="4" t="s">
        <v>10</v>
      </c>
      <c r="F111" s="4">
        <v>14</v>
      </c>
      <c r="G111" s="4">
        <v>6793</v>
      </c>
      <c r="H111" s="4">
        <v>7</v>
      </c>
      <c r="I111" s="7">
        <v>46077</v>
      </c>
      <c r="J111" s="7">
        <v>46082</v>
      </c>
      <c r="K111" s="4" t="s">
        <v>49</v>
      </c>
    </row>
    <row r="112" spans="1:11" x14ac:dyDescent="0.3">
      <c r="A112" s="9">
        <v>1111</v>
      </c>
      <c r="B112" s="9" t="s">
        <v>45</v>
      </c>
      <c r="C112" s="4" t="s">
        <v>23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7">
        <v>46133</v>
      </c>
      <c r="J112" s="7">
        <v>46141</v>
      </c>
      <c r="K112" s="4" t="s">
        <v>49</v>
      </c>
    </row>
    <row r="113" spans="1:11" x14ac:dyDescent="0.3">
      <c r="A113" s="9">
        <v>1112</v>
      </c>
      <c r="B113" s="9" t="s">
        <v>25</v>
      </c>
      <c r="C113" s="4" t="s">
        <v>42</v>
      </c>
      <c r="D113" s="4" t="s">
        <v>24</v>
      </c>
      <c r="E113" s="4" t="s">
        <v>43</v>
      </c>
      <c r="F113" s="4">
        <v>7</v>
      </c>
      <c r="G113" s="4">
        <v>1959</v>
      </c>
      <c r="H113" s="4">
        <v>15</v>
      </c>
      <c r="I113" s="7">
        <v>46090</v>
      </c>
      <c r="J113" s="7">
        <v>46100</v>
      </c>
      <c r="K113" s="4" t="s">
        <v>78</v>
      </c>
    </row>
    <row r="114" spans="1:11" x14ac:dyDescent="0.3">
      <c r="A114" s="9">
        <v>1113</v>
      </c>
      <c r="B114" s="9" t="s">
        <v>28</v>
      </c>
      <c r="C114" s="4" t="s">
        <v>42</v>
      </c>
      <c r="D114" s="4" t="s">
        <v>24</v>
      </c>
      <c r="E114" s="4" t="s">
        <v>11</v>
      </c>
      <c r="F114" s="4">
        <v>13</v>
      </c>
      <c r="G114" s="4">
        <v>6719</v>
      </c>
      <c r="H114" s="4">
        <v>15</v>
      </c>
      <c r="I114" s="7">
        <v>46076</v>
      </c>
      <c r="J114" s="7">
        <v>46081</v>
      </c>
      <c r="K114" s="4" t="s">
        <v>80</v>
      </c>
    </row>
    <row r="115" spans="1:11" x14ac:dyDescent="0.3">
      <c r="A115" s="9">
        <v>1114</v>
      </c>
      <c r="B115" s="9" t="s">
        <v>22</v>
      </c>
      <c r="C115" s="4" t="s">
        <v>27</v>
      </c>
      <c r="D115" s="4" t="s">
        <v>20</v>
      </c>
      <c r="E115" s="4" t="s">
        <v>48</v>
      </c>
      <c r="F115" s="4">
        <v>13</v>
      </c>
      <c r="G115" s="4">
        <v>32</v>
      </c>
      <c r="H115" s="4">
        <v>15</v>
      </c>
      <c r="I115" s="7">
        <v>46066</v>
      </c>
      <c r="J115" s="7">
        <v>46069</v>
      </c>
      <c r="K115" s="4" t="s">
        <v>78</v>
      </c>
    </row>
    <row r="116" spans="1:11" x14ac:dyDescent="0.3">
      <c r="A116" s="9">
        <v>1115</v>
      </c>
      <c r="B116" s="9" t="s">
        <v>56</v>
      </c>
      <c r="C116" s="4" t="s">
        <v>42</v>
      </c>
      <c r="D116" s="4" t="s">
        <v>20</v>
      </c>
      <c r="E116" s="4" t="s">
        <v>48</v>
      </c>
      <c r="F116" s="4">
        <v>9</v>
      </c>
      <c r="G116" s="4">
        <v>303</v>
      </c>
      <c r="H116" s="4">
        <v>10</v>
      </c>
      <c r="I116" s="7">
        <v>46149</v>
      </c>
      <c r="J116" s="7">
        <v>46157</v>
      </c>
      <c r="K116" s="4" t="s">
        <v>49</v>
      </c>
    </row>
    <row r="117" spans="1:11" x14ac:dyDescent="0.3">
      <c r="A117" s="9">
        <v>1116</v>
      </c>
      <c r="B117" s="9" t="s">
        <v>22</v>
      </c>
      <c r="C117" s="4" t="s">
        <v>27</v>
      </c>
      <c r="D117" s="4" t="s">
        <v>24</v>
      </c>
      <c r="E117" s="4" t="s">
        <v>11</v>
      </c>
      <c r="F117" s="4">
        <v>2</v>
      </c>
      <c r="G117" s="4">
        <v>12692</v>
      </c>
      <c r="H117" s="4">
        <v>15</v>
      </c>
      <c r="I117" s="7">
        <v>46049</v>
      </c>
      <c r="J117" s="7">
        <v>46051</v>
      </c>
      <c r="K117" s="4" t="s">
        <v>78</v>
      </c>
    </row>
    <row r="118" spans="1:11" x14ac:dyDescent="0.3">
      <c r="A118" s="9">
        <v>1117</v>
      </c>
      <c r="B118" s="9" t="s">
        <v>53</v>
      </c>
      <c r="C118" s="4" t="s">
        <v>42</v>
      </c>
      <c r="D118" s="4" t="s">
        <v>34</v>
      </c>
      <c r="E118" s="4" t="s">
        <v>5</v>
      </c>
      <c r="F118" s="4">
        <v>16</v>
      </c>
      <c r="G118" s="4">
        <v>33162</v>
      </c>
      <c r="H118" s="4">
        <v>7</v>
      </c>
      <c r="I118" s="7">
        <v>46147</v>
      </c>
      <c r="J118" s="7">
        <v>46155</v>
      </c>
      <c r="K118" s="4" t="s">
        <v>49</v>
      </c>
    </row>
    <row r="119" spans="1:11" x14ac:dyDescent="0.3">
      <c r="A119" s="9">
        <v>1118</v>
      </c>
      <c r="B119" s="9" t="s">
        <v>25</v>
      </c>
      <c r="C119" s="4" t="s">
        <v>26</v>
      </c>
      <c r="D119" s="4" t="s">
        <v>24</v>
      </c>
      <c r="E119" s="4" t="s">
        <v>10</v>
      </c>
      <c r="F119" s="4">
        <v>18</v>
      </c>
      <c r="G119" s="4">
        <v>9118</v>
      </c>
      <c r="H119" s="4">
        <v>5</v>
      </c>
      <c r="I119" s="7">
        <v>46178</v>
      </c>
      <c r="J119" s="7">
        <v>46187</v>
      </c>
      <c r="K119" s="4" t="s">
        <v>49</v>
      </c>
    </row>
    <row r="120" spans="1:11" x14ac:dyDescent="0.3">
      <c r="A120" s="9">
        <v>1119</v>
      </c>
      <c r="B120" s="9" t="s">
        <v>30</v>
      </c>
      <c r="C120" s="4" t="s">
        <v>42</v>
      </c>
      <c r="D120" s="4" t="s">
        <v>24</v>
      </c>
      <c r="E120" s="4" t="s">
        <v>8</v>
      </c>
      <c r="F120" s="4">
        <v>2</v>
      </c>
      <c r="G120" s="4">
        <v>3706</v>
      </c>
      <c r="H120" s="4">
        <v>5</v>
      </c>
      <c r="I120" s="7">
        <v>46184</v>
      </c>
      <c r="J120" s="7">
        <v>46192</v>
      </c>
      <c r="K120" s="4" t="s">
        <v>81</v>
      </c>
    </row>
    <row r="121" spans="1:11" x14ac:dyDescent="0.3">
      <c r="A121" s="9">
        <v>1120</v>
      </c>
      <c r="B121" s="9" t="s">
        <v>32</v>
      </c>
      <c r="C121" s="4" t="s">
        <v>38</v>
      </c>
      <c r="D121" s="4" t="s">
        <v>20</v>
      </c>
      <c r="E121" s="4" t="s">
        <v>36</v>
      </c>
      <c r="F121" s="4">
        <v>10</v>
      </c>
      <c r="G121" s="4">
        <v>438</v>
      </c>
      <c r="H121" s="4">
        <v>10</v>
      </c>
      <c r="I121" s="7">
        <v>46061</v>
      </c>
      <c r="J121" s="7">
        <v>46065</v>
      </c>
      <c r="K121" s="4" t="s">
        <v>81</v>
      </c>
    </row>
    <row r="122" spans="1:11" x14ac:dyDescent="0.3">
      <c r="A122" s="9">
        <v>1121</v>
      </c>
      <c r="B122" s="9" t="s">
        <v>49</v>
      </c>
      <c r="C122" s="4" t="s">
        <v>19</v>
      </c>
      <c r="D122" s="4" t="s">
        <v>34</v>
      </c>
      <c r="E122" s="4" t="s">
        <v>5</v>
      </c>
      <c r="F122" s="4">
        <v>4</v>
      </c>
      <c r="G122" s="4">
        <v>55809</v>
      </c>
      <c r="H122" s="4">
        <v>2</v>
      </c>
      <c r="I122" s="7">
        <v>46103</v>
      </c>
      <c r="J122" s="7">
        <v>46108</v>
      </c>
      <c r="K122" s="4" t="s">
        <v>49</v>
      </c>
    </row>
    <row r="123" spans="1:11" x14ac:dyDescent="0.3">
      <c r="A123" s="9">
        <v>1122</v>
      </c>
      <c r="B123" s="9" t="s">
        <v>39</v>
      </c>
      <c r="C123" s="4" t="s">
        <v>26</v>
      </c>
      <c r="D123" s="4" t="s">
        <v>34</v>
      </c>
      <c r="E123" s="4" t="s">
        <v>5</v>
      </c>
      <c r="F123" s="4">
        <v>14</v>
      </c>
      <c r="G123" s="4">
        <v>49990</v>
      </c>
      <c r="H123" s="4">
        <v>10</v>
      </c>
      <c r="I123" s="7">
        <v>46132</v>
      </c>
      <c r="J123" s="7">
        <v>46135</v>
      </c>
      <c r="K123" s="4" t="s">
        <v>49</v>
      </c>
    </row>
    <row r="124" spans="1:11" x14ac:dyDescent="0.3">
      <c r="A124" s="9">
        <v>1123</v>
      </c>
      <c r="B124" s="9" t="s">
        <v>32</v>
      </c>
      <c r="C124" s="4" t="s">
        <v>31</v>
      </c>
      <c r="D124" s="4" t="s">
        <v>34</v>
      </c>
      <c r="E124" s="4" t="s">
        <v>6</v>
      </c>
      <c r="F124" s="4">
        <v>16</v>
      </c>
      <c r="G124" s="4">
        <v>1332</v>
      </c>
      <c r="H124" s="4">
        <v>7</v>
      </c>
      <c r="I124" s="7">
        <v>46107</v>
      </c>
      <c r="J124" s="7">
        <v>46109</v>
      </c>
      <c r="K124" s="4" t="s">
        <v>49</v>
      </c>
    </row>
    <row r="125" spans="1:11" x14ac:dyDescent="0.3">
      <c r="A125" s="9">
        <v>1124</v>
      </c>
      <c r="B125" s="9" t="s">
        <v>29</v>
      </c>
      <c r="C125" s="4" t="s">
        <v>38</v>
      </c>
      <c r="D125" s="4" t="s">
        <v>24</v>
      </c>
      <c r="E125" s="4" t="s">
        <v>11</v>
      </c>
      <c r="F125" s="4">
        <v>4</v>
      </c>
      <c r="G125" s="4">
        <v>14195</v>
      </c>
      <c r="H125" s="4">
        <v>15</v>
      </c>
      <c r="I125" s="7">
        <v>46182</v>
      </c>
      <c r="J125" s="7">
        <v>46189</v>
      </c>
      <c r="K125" s="4" t="s">
        <v>81</v>
      </c>
    </row>
    <row r="126" spans="1:11" x14ac:dyDescent="0.3">
      <c r="A126" s="9">
        <v>1125</v>
      </c>
      <c r="B126" s="9" t="s">
        <v>47</v>
      </c>
      <c r="C126" s="4" t="s">
        <v>33</v>
      </c>
      <c r="D126" s="4" t="s">
        <v>20</v>
      </c>
      <c r="E126" s="4" t="s">
        <v>21</v>
      </c>
      <c r="F126" s="4">
        <v>6</v>
      </c>
      <c r="G126" s="4">
        <v>30</v>
      </c>
      <c r="H126" s="4">
        <v>2</v>
      </c>
      <c r="I126" s="7">
        <v>46133</v>
      </c>
      <c r="J126" s="7">
        <v>46138</v>
      </c>
      <c r="K126" s="4" t="s">
        <v>80</v>
      </c>
    </row>
    <row r="127" spans="1:11" x14ac:dyDescent="0.3">
      <c r="A127" s="9">
        <v>1126</v>
      </c>
      <c r="B127" s="9" t="s">
        <v>44</v>
      </c>
      <c r="C127" s="4" t="s">
        <v>26</v>
      </c>
      <c r="D127" s="4" t="s">
        <v>34</v>
      </c>
      <c r="E127" s="4" t="s">
        <v>5</v>
      </c>
      <c r="F127" s="4">
        <v>17</v>
      </c>
      <c r="G127" s="4">
        <v>19390</v>
      </c>
      <c r="H127" s="4">
        <v>12</v>
      </c>
      <c r="I127" s="7">
        <v>46201</v>
      </c>
      <c r="J127" s="7">
        <v>46206</v>
      </c>
      <c r="K127" s="4" t="s">
        <v>49</v>
      </c>
    </row>
    <row r="128" spans="1:11" x14ac:dyDescent="0.3">
      <c r="A128" s="9">
        <v>1127</v>
      </c>
      <c r="B128" s="9" t="s">
        <v>28</v>
      </c>
      <c r="C128" s="4" t="s">
        <v>33</v>
      </c>
      <c r="D128" s="4" t="s">
        <v>24</v>
      </c>
      <c r="E128" s="4" t="s">
        <v>8</v>
      </c>
      <c r="F128" s="4">
        <v>15</v>
      </c>
      <c r="G128" s="4">
        <v>11694</v>
      </c>
      <c r="H128" s="4">
        <v>12</v>
      </c>
      <c r="I128" s="7">
        <v>46170</v>
      </c>
      <c r="J128" s="7">
        <v>46179</v>
      </c>
      <c r="K128" s="4" t="s">
        <v>49</v>
      </c>
    </row>
    <row r="129" spans="1:11" x14ac:dyDescent="0.3">
      <c r="A129" s="9">
        <v>1128</v>
      </c>
      <c r="B129" s="9" t="s">
        <v>30</v>
      </c>
      <c r="C129" s="4" t="s">
        <v>26</v>
      </c>
      <c r="D129" s="4" t="s">
        <v>34</v>
      </c>
      <c r="E129" s="4" t="s">
        <v>12</v>
      </c>
      <c r="F129" s="4">
        <v>6</v>
      </c>
      <c r="G129" s="4">
        <v>5001</v>
      </c>
      <c r="H129" s="4">
        <v>7</v>
      </c>
      <c r="I129" s="7">
        <v>46044</v>
      </c>
      <c r="J129" s="7">
        <v>46050</v>
      </c>
      <c r="K129" s="4" t="s">
        <v>49</v>
      </c>
    </row>
    <row r="130" spans="1:11" x14ac:dyDescent="0.3">
      <c r="A130" s="9">
        <v>1129</v>
      </c>
      <c r="B130" s="9" t="s">
        <v>55</v>
      </c>
      <c r="C130" s="4" t="s">
        <v>23</v>
      </c>
      <c r="D130" s="4" t="s">
        <v>20</v>
      </c>
      <c r="E130" s="4" t="s">
        <v>48</v>
      </c>
      <c r="F130" s="4">
        <v>15</v>
      </c>
      <c r="G130" s="4">
        <v>75</v>
      </c>
      <c r="H130" s="4">
        <v>7</v>
      </c>
      <c r="I130" s="7">
        <v>46160</v>
      </c>
      <c r="J130" s="7">
        <v>46164</v>
      </c>
      <c r="K130" s="4" t="s">
        <v>49</v>
      </c>
    </row>
    <row r="131" spans="1:11" x14ac:dyDescent="0.3">
      <c r="A131" s="9">
        <v>1130</v>
      </c>
      <c r="B131" s="9" t="s">
        <v>46</v>
      </c>
      <c r="C131" s="4" t="s">
        <v>33</v>
      </c>
      <c r="D131" s="4" t="s">
        <v>20</v>
      </c>
      <c r="E131" s="4" t="s">
        <v>21</v>
      </c>
      <c r="F131" s="4">
        <v>12</v>
      </c>
      <c r="G131" s="4">
        <v>50</v>
      </c>
      <c r="H131" s="4">
        <v>2</v>
      </c>
      <c r="I131" s="7">
        <v>46125</v>
      </c>
      <c r="J131" s="7">
        <v>46131</v>
      </c>
      <c r="K131" s="4" t="s">
        <v>80</v>
      </c>
    </row>
    <row r="132" spans="1:11" x14ac:dyDescent="0.3">
      <c r="A132" s="9">
        <v>1131</v>
      </c>
      <c r="B132" s="9" t="s">
        <v>25</v>
      </c>
      <c r="C132" s="4" t="s">
        <v>31</v>
      </c>
      <c r="D132" s="4" t="s">
        <v>24</v>
      </c>
      <c r="E132" s="4" t="s">
        <v>10</v>
      </c>
      <c r="F132" s="4">
        <v>13</v>
      </c>
      <c r="G132" s="4">
        <v>3083</v>
      </c>
      <c r="H132" s="4">
        <v>7</v>
      </c>
      <c r="I132" s="7">
        <v>46168</v>
      </c>
      <c r="J132" s="7">
        <v>46173</v>
      </c>
      <c r="K132" s="4" t="s">
        <v>81</v>
      </c>
    </row>
    <row r="133" spans="1:11" x14ac:dyDescent="0.3">
      <c r="A133" s="9">
        <v>1132</v>
      </c>
      <c r="B133" s="9" t="s">
        <v>18</v>
      </c>
      <c r="C133" s="4" t="s">
        <v>31</v>
      </c>
      <c r="D133" s="4" t="s">
        <v>20</v>
      </c>
      <c r="E133" s="4" t="s">
        <v>48</v>
      </c>
      <c r="F133" s="4">
        <v>10</v>
      </c>
      <c r="G133" s="4">
        <v>270</v>
      </c>
      <c r="H133" s="4">
        <v>7</v>
      </c>
      <c r="I133" s="7">
        <v>46024</v>
      </c>
      <c r="J133" s="7">
        <v>46034</v>
      </c>
      <c r="K133" s="4" t="s">
        <v>80</v>
      </c>
    </row>
    <row r="134" spans="1:11" x14ac:dyDescent="0.3">
      <c r="A134" s="9">
        <v>1133</v>
      </c>
      <c r="B134" s="9" t="s">
        <v>18</v>
      </c>
      <c r="C134" s="4" t="s">
        <v>19</v>
      </c>
      <c r="D134" s="4" t="s">
        <v>24</v>
      </c>
      <c r="E134" s="4" t="s">
        <v>11</v>
      </c>
      <c r="F134" s="4">
        <v>6</v>
      </c>
      <c r="G134" s="4">
        <v>9037</v>
      </c>
      <c r="H134" s="4">
        <v>2</v>
      </c>
      <c r="I134" s="7">
        <v>46112</v>
      </c>
      <c r="J134" s="7">
        <v>46121</v>
      </c>
      <c r="K134" s="4" t="s">
        <v>81</v>
      </c>
    </row>
    <row r="135" spans="1:11" x14ac:dyDescent="0.3">
      <c r="A135" s="9">
        <v>1134</v>
      </c>
      <c r="B135" s="9" t="s">
        <v>54</v>
      </c>
      <c r="C135" s="4" t="s">
        <v>31</v>
      </c>
      <c r="D135" s="4" t="s">
        <v>34</v>
      </c>
      <c r="E135" s="4" t="s">
        <v>12</v>
      </c>
      <c r="F135" s="4">
        <v>10</v>
      </c>
      <c r="G135" s="4">
        <v>29217</v>
      </c>
      <c r="H135" s="4">
        <v>15</v>
      </c>
      <c r="I135" s="7">
        <v>46148</v>
      </c>
      <c r="J135" s="7">
        <v>46150</v>
      </c>
      <c r="K135" s="4" t="s">
        <v>80</v>
      </c>
    </row>
    <row r="136" spans="1:11" x14ac:dyDescent="0.3">
      <c r="A136" s="9">
        <v>1135</v>
      </c>
      <c r="B136" s="9" t="s">
        <v>47</v>
      </c>
      <c r="C136" s="4" t="s">
        <v>42</v>
      </c>
      <c r="D136" s="4" t="s">
        <v>34</v>
      </c>
      <c r="E136" s="4" t="s">
        <v>5</v>
      </c>
      <c r="F136" s="4">
        <v>14</v>
      </c>
      <c r="G136" s="4">
        <v>68534</v>
      </c>
      <c r="H136" s="4">
        <v>0</v>
      </c>
      <c r="I136" s="7">
        <v>46041</v>
      </c>
      <c r="J136" s="7">
        <v>46042</v>
      </c>
      <c r="K136" s="4" t="s">
        <v>78</v>
      </c>
    </row>
    <row r="137" spans="1:11" x14ac:dyDescent="0.3">
      <c r="A137" s="9">
        <v>1136</v>
      </c>
      <c r="B137" s="9" t="s">
        <v>29</v>
      </c>
      <c r="C137" s="4" t="s">
        <v>42</v>
      </c>
      <c r="D137" s="4" t="s">
        <v>24</v>
      </c>
      <c r="E137" s="4" t="s">
        <v>11</v>
      </c>
      <c r="F137" s="4">
        <v>19</v>
      </c>
      <c r="G137" s="4">
        <v>14528</v>
      </c>
      <c r="H137" s="4">
        <v>12</v>
      </c>
      <c r="I137" s="7">
        <v>46056</v>
      </c>
      <c r="J137" s="7">
        <v>46062</v>
      </c>
      <c r="K137" s="4" t="s">
        <v>80</v>
      </c>
    </row>
    <row r="138" spans="1:11" x14ac:dyDescent="0.3">
      <c r="A138" s="9">
        <v>1137</v>
      </c>
      <c r="B138" s="9" t="s">
        <v>50</v>
      </c>
      <c r="C138" s="4" t="s">
        <v>19</v>
      </c>
      <c r="D138" s="4" t="s">
        <v>20</v>
      </c>
      <c r="E138" s="4" t="s">
        <v>37</v>
      </c>
      <c r="F138" s="4">
        <v>16</v>
      </c>
      <c r="G138" s="4">
        <v>270</v>
      </c>
      <c r="H138" s="4">
        <v>10</v>
      </c>
      <c r="I138" s="7">
        <v>46184</v>
      </c>
      <c r="J138" s="7">
        <v>46190</v>
      </c>
      <c r="K138" s="4" t="s">
        <v>49</v>
      </c>
    </row>
    <row r="139" spans="1:11" x14ac:dyDescent="0.3">
      <c r="A139" s="9">
        <v>1138</v>
      </c>
      <c r="B139" s="9" t="s">
        <v>53</v>
      </c>
      <c r="C139" s="4" t="s">
        <v>42</v>
      </c>
      <c r="D139" s="4" t="s">
        <v>24</v>
      </c>
      <c r="E139" s="4" t="s">
        <v>7</v>
      </c>
      <c r="F139" s="4">
        <v>5</v>
      </c>
      <c r="G139" s="4">
        <v>14466</v>
      </c>
      <c r="H139" s="4">
        <v>2</v>
      </c>
      <c r="I139" s="7">
        <v>46084</v>
      </c>
      <c r="J139" s="7">
        <v>46092</v>
      </c>
      <c r="K139" s="4" t="s">
        <v>81</v>
      </c>
    </row>
    <row r="140" spans="1:11" x14ac:dyDescent="0.3">
      <c r="A140" s="9">
        <v>1139</v>
      </c>
      <c r="B140" s="9" t="s">
        <v>53</v>
      </c>
      <c r="C140" s="4" t="s">
        <v>33</v>
      </c>
      <c r="D140" s="4" t="s">
        <v>34</v>
      </c>
      <c r="E140" s="4" t="s">
        <v>12</v>
      </c>
      <c r="F140" s="4">
        <v>17</v>
      </c>
      <c r="G140" s="4">
        <v>28839</v>
      </c>
      <c r="H140" s="4">
        <v>10</v>
      </c>
      <c r="I140" s="7">
        <v>46093</v>
      </c>
      <c r="J140" s="7">
        <v>46099</v>
      </c>
      <c r="K140" s="4" t="s">
        <v>78</v>
      </c>
    </row>
    <row r="141" spans="1:11" x14ac:dyDescent="0.3">
      <c r="A141" s="9">
        <v>1140</v>
      </c>
      <c r="B141" s="9" t="s">
        <v>54</v>
      </c>
      <c r="C141" s="4" t="s">
        <v>38</v>
      </c>
      <c r="D141" s="4" t="s">
        <v>34</v>
      </c>
      <c r="E141" s="4" t="s">
        <v>40</v>
      </c>
      <c r="F141" s="4">
        <v>5</v>
      </c>
      <c r="G141" s="4">
        <v>68012</v>
      </c>
      <c r="H141" s="4">
        <v>5</v>
      </c>
      <c r="I141" s="7">
        <v>46061</v>
      </c>
      <c r="J141" s="7">
        <v>46065</v>
      </c>
      <c r="K141" s="4" t="s">
        <v>78</v>
      </c>
    </row>
    <row r="142" spans="1:11" x14ac:dyDescent="0.3">
      <c r="A142" s="9">
        <v>1141</v>
      </c>
      <c r="B142" s="9" t="s">
        <v>18</v>
      </c>
      <c r="C142" s="4" t="s">
        <v>23</v>
      </c>
      <c r="D142" s="4" t="s">
        <v>24</v>
      </c>
      <c r="E142" s="4" t="s">
        <v>43</v>
      </c>
      <c r="F142" s="4">
        <v>20</v>
      </c>
      <c r="G142" s="4">
        <v>6835</v>
      </c>
      <c r="H142" s="4">
        <v>2</v>
      </c>
      <c r="I142" s="7">
        <v>46043</v>
      </c>
      <c r="J142" s="7">
        <v>46053</v>
      </c>
      <c r="K142" s="4" t="s">
        <v>78</v>
      </c>
    </row>
    <row r="143" spans="1:11" x14ac:dyDescent="0.3">
      <c r="A143" s="9">
        <v>1142</v>
      </c>
      <c r="B143" s="9" t="s">
        <v>39</v>
      </c>
      <c r="C143" s="4" t="s">
        <v>27</v>
      </c>
      <c r="D143" s="4" t="s">
        <v>34</v>
      </c>
      <c r="E143" s="4" t="s">
        <v>9</v>
      </c>
      <c r="F143" s="4">
        <v>9</v>
      </c>
      <c r="G143" s="4">
        <v>59788</v>
      </c>
      <c r="H143" s="4">
        <v>7</v>
      </c>
      <c r="I143" s="7">
        <v>46064</v>
      </c>
      <c r="J143" s="7">
        <v>46071</v>
      </c>
      <c r="K143" s="4" t="s">
        <v>49</v>
      </c>
    </row>
    <row r="144" spans="1:11" x14ac:dyDescent="0.3">
      <c r="A144" s="9">
        <v>1143</v>
      </c>
      <c r="B144" s="9" t="s">
        <v>49</v>
      </c>
      <c r="C144" s="4" t="s">
        <v>23</v>
      </c>
      <c r="D144" s="4" t="s">
        <v>20</v>
      </c>
      <c r="E144" s="4" t="s">
        <v>37</v>
      </c>
      <c r="F144" s="4">
        <v>13</v>
      </c>
      <c r="G144" s="4">
        <v>456</v>
      </c>
      <c r="H144" s="4">
        <v>2</v>
      </c>
      <c r="I144" s="7">
        <v>46160</v>
      </c>
      <c r="J144" s="7">
        <v>46167</v>
      </c>
      <c r="K144" s="4" t="s">
        <v>80</v>
      </c>
    </row>
    <row r="145" spans="1:11" x14ac:dyDescent="0.3">
      <c r="A145" s="9">
        <v>1144</v>
      </c>
      <c r="B145" s="9" t="s">
        <v>41</v>
      </c>
      <c r="C145" s="4" t="s">
        <v>27</v>
      </c>
      <c r="D145" s="4" t="s">
        <v>20</v>
      </c>
      <c r="E145" s="4" t="s">
        <v>21</v>
      </c>
      <c r="F145" s="4">
        <v>16</v>
      </c>
      <c r="G145" s="4">
        <v>219</v>
      </c>
      <c r="H145" s="4">
        <v>7</v>
      </c>
      <c r="I145" s="7">
        <v>46138</v>
      </c>
      <c r="J145" s="7">
        <v>46140</v>
      </c>
      <c r="K145" s="4" t="s">
        <v>79</v>
      </c>
    </row>
    <row r="146" spans="1:11" x14ac:dyDescent="0.3">
      <c r="A146" s="9">
        <v>1145</v>
      </c>
      <c r="B146" s="9" t="s">
        <v>41</v>
      </c>
      <c r="C146" s="4" t="s">
        <v>33</v>
      </c>
      <c r="D146" s="4" t="s">
        <v>34</v>
      </c>
      <c r="E146" s="4" t="s">
        <v>5</v>
      </c>
      <c r="F146" s="4">
        <v>2</v>
      </c>
      <c r="G146" s="4">
        <v>34429</v>
      </c>
      <c r="H146" s="4">
        <v>12</v>
      </c>
      <c r="I146" s="7">
        <v>46102</v>
      </c>
      <c r="J146" s="7">
        <v>46112</v>
      </c>
      <c r="K146" s="4" t="s">
        <v>80</v>
      </c>
    </row>
    <row r="147" spans="1:11" x14ac:dyDescent="0.3">
      <c r="A147" s="9">
        <v>1146</v>
      </c>
      <c r="B147" s="9" t="s">
        <v>22</v>
      </c>
      <c r="C147" s="4" t="s">
        <v>42</v>
      </c>
      <c r="D147" s="4" t="s">
        <v>34</v>
      </c>
      <c r="E147" s="4" t="s">
        <v>6</v>
      </c>
      <c r="F147" s="4">
        <v>7</v>
      </c>
      <c r="G147" s="4">
        <v>68217</v>
      </c>
      <c r="H147" s="4">
        <v>0</v>
      </c>
      <c r="I147" s="7">
        <v>46190</v>
      </c>
      <c r="J147" s="7">
        <v>46197</v>
      </c>
      <c r="K147" s="4" t="s">
        <v>49</v>
      </c>
    </row>
    <row r="148" spans="1:11" x14ac:dyDescent="0.3">
      <c r="A148" s="9">
        <v>1147</v>
      </c>
      <c r="B148" s="9" t="s">
        <v>18</v>
      </c>
      <c r="C148" s="4" t="s">
        <v>26</v>
      </c>
      <c r="D148" s="4" t="s">
        <v>24</v>
      </c>
      <c r="E148" s="4" t="s">
        <v>8</v>
      </c>
      <c r="F148" s="4">
        <v>7</v>
      </c>
      <c r="G148" s="4">
        <v>9581</v>
      </c>
      <c r="H148" s="4">
        <v>5</v>
      </c>
      <c r="I148" s="7">
        <v>46154</v>
      </c>
      <c r="J148" s="7">
        <v>46155</v>
      </c>
      <c r="K148" s="4" t="s">
        <v>79</v>
      </c>
    </row>
    <row r="149" spans="1:11" x14ac:dyDescent="0.3">
      <c r="A149" s="9">
        <v>1148</v>
      </c>
      <c r="B149" s="9" t="s">
        <v>56</v>
      </c>
      <c r="C149" s="4" t="s">
        <v>33</v>
      </c>
      <c r="D149" s="4" t="s">
        <v>24</v>
      </c>
      <c r="E149" s="4" t="s">
        <v>8</v>
      </c>
      <c r="F149" s="4">
        <v>11</v>
      </c>
      <c r="G149" s="4">
        <v>3023</v>
      </c>
      <c r="H149" s="4">
        <v>7</v>
      </c>
      <c r="I149" s="7">
        <v>46030</v>
      </c>
      <c r="J149" s="7">
        <v>46032</v>
      </c>
      <c r="K149" s="4" t="s">
        <v>80</v>
      </c>
    </row>
    <row r="150" spans="1:11" x14ac:dyDescent="0.3">
      <c r="A150" s="9">
        <v>1149</v>
      </c>
      <c r="B150" s="9" t="s">
        <v>28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7">
        <v>46053</v>
      </c>
      <c r="J150" s="7">
        <v>46054</v>
      </c>
      <c r="K150" s="4" t="s">
        <v>49</v>
      </c>
    </row>
    <row r="151" spans="1:11" x14ac:dyDescent="0.3">
      <c r="A151" s="9">
        <v>1150</v>
      </c>
      <c r="B151" s="9" t="s">
        <v>41</v>
      </c>
      <c r="C151" s="4" t="s">
        <v>19</v>
      </c>
      <c r="D151" s="4" t="s">
        <v>24</v>
      </c>
      <c r="E151" s="4" t="s">
        <v>11</v>
      </c>
      <c r="F151" s="4">
        <v>10</v>
      </c>
      <c r="G151" s="4">
        <v>5323</v>
      </c>
      <c r="H151" s="4">
        <v>7</v>
      </c>
      <c r="I151" s="7">
        <v>46143</v>
      </c>
      <c r="J151" s="7">
        <v>46153</v>
      </c>
      <c r="K151" s="4" t="s">
        <v>80</v>
      </c>
    </row>
    <row r="152" spans="1:11" x14ac:dyDescent="0.3">
      <c r="A152" s="9">
        <v>1151</v>
      </c>
      <c r="B152" s="9" t="s">
        <v>44</v>
      </c>
      <c r="C152" s="4" t="s">
        <v>42</v>
      </c>
      <c r="D152" s="4" t="s">
        <v>20</v>
      </c>
      <c r="E152" s="4" t="s">
        <v>48</v>
      </c>
      <c r="F152" s="4">
        <v>20</v>
      </c>
      <c r="G152" s="4">
        <v>272</v>
      </c>
      <c r="H152" s="4">
        <v>15</v>
      </c>
      <c r="I152" s="7">
        <v>46024</v>
      </c>
      <c r="J152" s="7">
        <v>46029</v>
      </c>
      <c r="K152" s="4" t="s">
        <v>81</v>
      </c>
    </row>
    <row r="153" spans="1:11" x14ac:dyDescent="0.3">
      <c r="A153" s="9">
        <v>1152</v>
      </c>
      <c r="B153" s="9" t="s">
        <v>29</v>
      </c>
      <c r="C153" s="4" t="s">
        <v>31</v>
      </c>
      <c r="D153" s="4" t="s">
        <v>34</v>
      </c>
      <c r="E153" s="4" t="s">
        <v>12</v>
      </c>
      <c r="F153" s="4">
        <v>14</v>
      </c>
      <c r="G153" s="4">
        <v>8150</v>
      </c>
      <c r="H153" s="4">
        <v>10</v>
      </c>
      <c r="I153" s="7">
        <v>46062</v>
      </c>
      <c r="J153" s="7">
        <v>46070</v>
      </c>
      <c r="K153" s="4" t="s">
        <v>78</v>
      </c>
    </row>
    <row r="154" spans="1:11" x14ac:dyDescent="0.3">
      <c r="A154" s="9">
        <v>1153</v>
      </c>
      <c r="B154" s="9" t="s">
        <v>41</v>
      </c>
      <c r="C154" s="4" t="s">
        <v>27</v>
      </c>
      <c r="D154" s="4" t="s">
        <v>24</v>
      </c>
      <c r="E154" s="4" t="s">
        <v>10</v>
      </c>
      <c r="F154" s="4">
        <v>19</v>
      </c>
      <c r="G154" s="4">
        <v>10273</v>
      </c>
      <c r="H154" s="4">
        <v>12</v>
      </c>
      <c r="I154" s="7">
        <v>46069</v>
      </c>
      <c r="J154" s="7">
        <v>46072</v>
      </c>
      <c r="K154" s="4" t="s">
        <v>49</v>
      </c>
    </row>
    <row r="155" spans="1:11" x14ac:dyDescent="0.3">
      <c r="A155" s="9">
        <v>1154</v>
      </c>
      <c r="B155" s="9" t="s">
        <v>32</v>
      </c>
      <c r="C155" s="4" t="s">
        <v>23</v>
      </c>
      <c r="D155" s="4" t="s">
        <v>24</v>
      </c>
      <c r="E155" s="4" t="s">
        <v>11</v>
      </c>
      <c r="F155" s="4">
        <v>15</v>
      </c>
      <c r="G155" s="4">
        <v>6101</v>
      </c>
      <c r="H155" s="4">
        <v>0</v>
      </c>
      <c r="I155" s="7">
        <v>46178</v>
      </c>
      <c r="J155" s="7">
        <v>46183</v>
      </c>
      <c r="K155" s="4" t="s">
        <v>81</v>
      </c>
    </row>
    <row r="156" spans="1:11" x14ac:dyDescent="0.3">
      <c r="A156" s="9">
        <v>1155</v>
      </c>
      <c r="B156" s="9" t="s">
        <v>18</v>
      </c>
      <c r="C156" s="4" t="s">
        <v>31</v>
      </c>
      <c r="D156" s="4" t="s">
        <v>24</v>
      </c>
      <c r="E156" s="4" t="s">
        <v>8</v>
      </c>
      <c r="F156" s="4">
        <v>13</v>
      </c>
      <c r="G156" s="4">
        <v>4341</v>
      </c>
      <c r="H156" s="4">
        <v>15</v>
      </c>
      <c r="I156" s="7">
        <v>46093</v>
      </c>
      <c r="J156" s="7">
        <v>46096</v>
      </c>
      <c r="K156" s="4" t="s">
        <v>80</v>
      </c>
    </row>
    <row r="157" spans="1:11" x14ac:dyDescent="0.3">
      <c r="A157" s="9">
        <v>1156</v>
      </c>
      <c r="B157" s="9" t="s">
        <v>52</v>
      </c>
      <c r="C157" s="4" t="s">
        <v>38</v>
      </c>
      <c r="D157" s="4" t="s">
        <v>20</v>
      </c>
      <c r="E157" s="4" t="s">
        <v>36</v>
      </c>
      <c r="F157" s="4">
        <v>5</v>
      </c>
      <c r="G157" s="4">
        <v>466</v>
      </c>
      <c r="H157" s="4">
        <v>15</v>
      </c>
      <c r="I157" s="7">
        <v>46025</v>
      </c>
      <c r="J157" s="7">
        <v>46029</v>
      </c>
      <c r="K157" s="4" t="s">
        <v>78</v>
      </c>
    </row>
    <row r="158" spans="1:11" x14ac:dyDescent="0.3">
      <c r="A158" s="9">
        <v>1157</v>
      </c>
      <c r="B158" s="9" t="s">
        <v>50</v>
      </c>
      <c r="C158" s="4" t="s">
        <v>33</v>
      </c>
      <c r="D158" s="4" t="s">
        <v>20</v>
      </c>
      <c r="E158" s="4" t="s">
        <v>48</v>
      </c>
      <c r="F158" s="4">
        <v>3</v>
      </c>
      <c r="G158" s="4">
        <v>203</v>
      </c>
      <c r="H158" s="4">
        <v>15</v>
      </c>
      <c r="I158" s="7">
        <v>46076</v>
      </c>
      <c r="J158" s="7">
        <v>46080</v>
      </c>
      <c r="K158" s="4" t="s">
        <v>49</v>
      </c>
    </row>
    <row r="159" spans="1:11" x14ac:dyDescent="0.3">
      <c r="A159" s="9">
        <v>1158</v>
      </c>
      <c r="B159" s="9" t="s">
        <v>28</v>
      </c>
      <c r="C159" s="4" t="s">
        <v>38</v>
      </c>
      <c r="D159" s="4" t="s">
        <v>34</v>
      </c>
      <c r="E159" s="4" t="s">
        <v>40</v>
      </c>
      <c r="F159" s="4">
        <v>13</v>
      </c>
      <c r="G159" s="4">
        <v>12518</v>
      </c>
      <c r="H159" s="4">
        <v>2</v>
      </c>
      <c r="I159" s="7">
        <v>46079</v>
      </c>
      <c r="J159" s="7">
        <v>46082</v>
      </c>
      <c r="K159" s="4" t="s">
        <v>81</v>
      </c>
    </row>
    <row r="160" spans="1:11" x14ac:dyDescent="0.3">
      <c r="A160" s="9">
        <v>1159</v>
      </c>
      <c r="B160" s="9" t="s">
        <v>32</v>
      </c>
      <c r="C160" s="4" t="s">
        <v>42</v>
      </c>
      <c r="D160" s="4" t="s">
        <v>24</v>
      </c>
      <c r="E160" s="4" t="s">
        <v>8</v>
      </c>
      <c r="F160" s="4">
        <v>20</v>
      </c>
      <c r="G160" s="4">
        <v>14000</v>
      </c>
      <c r="H160" s="4">
        <v>15</v>
      </c>
      <c r="I160" s="7">
        <v>46184</v>
      </c>
      <c r="J160" s="7">
        <v>46187</v>
      </c>
      <c r="K160" s="4" t="s">
        <v>78</v>
      </c>
    </row>
    <row r="161" spans="1:11" x14ac:dyDescent="0.3">
      <c r="A161" s="9">
        <v>1160</v>
      </c>
      <c r="B161" s="9" t="s">
        <v>56</v>
      </c>
      <c r="C161" s="4" t="s">
        <v>26</v>
      </c>
      <c r="D161" s="4" t="s">
        <v>34</v>
      </c>
      <c r="E161" s="4" t="s">
        <v>5</v>
      </c>
      <c r="F161" s="4">
        <v>7</v>
      </c>
      <c r="G161" s="4">
        <v>53986</v>
      </c>
      <c r="H161" s="4">
        <v>10</v>
      </c>
      <c r="I161" s="7">
        <v>46142</v>
      </c>
      <c r="J161" s="7">
        <v>46147</v>
      </c>
      <c r="K161" s="4" t="s">
        <v>81</v>
      </c>
    </row>
    <row r="162" spans="1:11" x14ac:dyDescent="0.3">
      <c r="A162" s="9">
        <v>1161</v>
      </c>
      <c r="B162" s="9" t="s">
        <v>29</v>
      </c>
      <c r="C162" s="4" t="s">
        <v>27</v>
      </c>
      <c r="D162" s="4" t="s">
        <v>34</v>
      </c>
      <c r="E162" s="4" t="s">
        <v>5</v>
      </c>
      <c r="F162" s="4">
        <v>4</v>
      </c>
      <c r="G162" s="4">
        <v>54659</v>
      </c>
      <c r="H162" s="4">
        <v>7</v>
      </c>
      <c r="I162" s="7">
        <v>46105</v>
      </c>
      <c r="J162" s="7">
        <v>46109</v>
      </c>
      <c r="K162" s="4" t="s">
        <v>79</v>
      </c>
    </row>
    <row r="163" spans="1:11" x14ac:dyDescent="0.3">
      <c r="A163" s="9">
        <v>1162</v>
      </c>
      <c r="B163" s="9" t="s">
        <v>54</v>
      </c>
      <c r="C163" s="4" t="s">
        <v>31</v>
      </c>
      <c r="D163" s="4" t="s">
        <v>34</v>
      </c>
      <c r="E163" s="4" t="s">
        <v>6</v>
      </c>
      <c r="F163" s="4">
        <v>2</v>
      </c>
      <c r="G163" s="4">
        <v>28176</v>
      </c>
      <c r="H163" s="4">
        <v>10</v>
      </c>
      <c r="I163" s="7">
        <v>46100</v>
      </c>
      <c r="J163" s="7">
        <v>46101</v>
      </c>
      <c r="K163" s="4" t="s">
        <v>79</v>
      </c>
    </row>
    <row r="164" spans="1:11" x14ac:dyDescent="0.3">
      <c r="A164" s="9">
        <v>1163</v>
      </c>
      <c r="B164" s="9" t="s">
        <v>49</v>
      </c>
      <c r="C164" s="4" t="s">
        <v>38</v>
      </c>
      <c r="D164" s="4" t="s">
        <v>34</v>
      </c>
      <c r="E164" s="4" t="s">
        <v>5</v>
      </c>
      <c r="F164" s="4">
        <v>9</v>
      </c>
      <c r="G164" s="4">
        <v>62440</v>
      </c>
      <c r="H164" s="4">
        <v>2</v>
      </c>
      <c r="I164" s="7">
        <v>46081</v>
      </c>
      <c r="J164" s="7">
        <v>46086</v>
      </c>
      <c r="K164" s="4" t="s">
        <v>49</v>
      </c>
    </row>
    <row r="165" spans="1:11" x14ac:dyDescent="0.3">
      <c r="A165" s="9">
        <v>1164</v>
      </c>
      <c r="B165" s="9" t="s">
        <v>39</v>
      </c>
      <c r="C165" s="4" t="s">
        <v>42</v>
      </c>
      <c r="D165" s="4" t="s">
        <v>34</v>
      </c>
      <c r="E165" s="4" t="s">
        <v>12</v>
      </c>
      <c r="F165" s="4">
        <v>7</v>
      </c>
      <c r="G165" s="4">
        <v>24615</v>
      </c>
      <c r="H165" s="4">
        <v>12</v>
      </c>
      <c r="I165" s="7">
        <v>46196</v>
      </c>
      <c r="J165" s="7">
        <v>46203</v>
      </c>
      <c r="K165" s="4" t="s">
        <v>81</v>
      </c>
    </row>
    <row r="166" spans="1:11" x14ac:dyDescent="0.3">
      <c r="A166" s="9">
        <v>1165</v>
      </c>
      <c r="B166" s="9" t="s">
        <v>46</v>
      </c>
      <c r="C166" s="4" t="s">
        <v>27</v>
      </c>
      <c r="D166" s="4" t="s">
        <v>20</v>
      </c>
      <c r="E166" s="4" t="s">
        <v>37</v>
      </c>
      <c r="F166" s="4">
        <v>1</v>
      </c>
      <c r="G166" s="4">
        <v>427</v>
      </c>
      <c r="H166" s="4">
        <v>0</v>
      </c>
      <c r="I166" s="7">
        <v>46042</v>
      </c>
      <c r="J166" s="7">
        <v>46050</v>
      </c>
      <c r="K166" s="4" t="s">
        <v>81</v>
      </c>
    </row>
    <row r="167" spans="1:11" x14ac:dyDescent="0.3">
      <c r="A167" s="9">
        <v>1166</v>
      </c>
      <c r="B167" s="9" t="s">
        <v>32</v>
      </c>
      <c r="C167" s="4" t="s">
        <v>31</v>
      </c>
      <c r="D167" s="4" t="s">
        <v>20</v>
      </c>
      <c r="E167" s="4" t="s">
        <v>37</v>
      </c>
      <c r="F167" s="4">
        <v>1</v>
      </c>
      <c r="G167" s="4">
        <v>396</v>
      </c>
      <c r="H167" s="4">
        <v>5</v>
      </c>
      <c r="I167" s="7">
        <v>46092</v>
      </c>
      <c r="J167" s="7">
        <v>46093</v>
      </c>
      <c r="K167" s="4" t="s">
        <v>79</v>
      </c>
    </row>
    <row r="168" spans="1:11" x14ac:dyDescent="0.3">
      <c r="A168" s="9">
        <v>1167</v>
      </c>
      <c r="B168" s="9" t="s">
        <v>46</v>
      </c>
      <c r="C168" s="4" t="s">
        <v>23</v>
      </c>
      <c r="D168" s="4" t="s">
        <v>20</v>
      </c>
      <c r="E168" s="4" t="s">
        <v>37</v>
      </c>
      <c r="F168" s="4">
        <v>20</v>
      </c>
      <c r="G168" s="4">
        <v>251</v>
      </c>
      <c r="H168" s="4">
        <v>5</v>
      </c>
      <c r="I168" s="7">
        <v>46160</v>
      </c>
      <c r="J168" s="7">
        <v>46170</v>
      </c>
      <c r="K168" s="4" t="s">
        <v>49</v>
      </c>
    </row>
    <row r="169" spans="1:11" x14ac:dyDescent="0.3">
      <c r="A169" s="9">
        <v>1168</v>
      </c>
      <c r="B169" s="9" t="s">
        <v>52</v>
      </c>
      <c r="C169" s="4" t="s">
        <v>19</v>
      </c>
      <c r="D169" s="4" t="s">
        <v>20</v>
      </c>
      <c r="E169" s="4" t="s">
        <v>37</v>
      </c>
      <c r="F169" s="4">
        <v>18</v>
      </c>
      <c r="G169" s="4">
        <v>335</v>
      </c>
      <c r="H169" s="4">
        <v>15</v>
      </c>
      <c r="I169" s="7">
        <v>46130</v>
      </c>
      <c r="J169" s="7">
        <v>46140</v>
      </c>
      <c r="K169" s="4" t="s">
        <v>49</v>
      </c>
    </row>
    <row r="170" spans="1:11" x14ac:dyDescent="0.3">
      <c r="A170" s="9">
        <v>1169</v>
      </c>
      <c r="B170" s="9" t="s">
        <v>45</v>
      </c>
      <c r="C170" s="4" t="s">
        <v>19</v>
      </c>
      <c r="D170" s="4" t="s">
        <v>24</v>
      </c>
      <c r="E170" s="4" t="s">
        <v>11</v>
      </c>
      <c r="F170" s="4">
        <v>12</v>
      </c>
      <c r="G170" s="4">
        <v>12104</v>
      </c>
      <c r="H170" s="4">
        <v>7</v>
      </c>
      <c r="I170" s="7">
        <v>46121</v>
      </c>
      <c r="J170" s="7">
        <v>46130</v>
      </c>
      <c r="K170" s="4" t="s">
        <v>80</v>
      </c>
    </row>
    <row r="171" spans="1:11" x14ac:dyDescent="0.3">
      <c r="A171" s="9">
        <v>1170</v>
      </c>
      <c r="B171" s="9" t="s">
        <v>47</v>
      </c>
      <c r="C171" s="4" t="s">
        <v>38</v>
      </c>
      <c r="D171" s="4" t="s">
        <v>20</v>
      </c>
      <c r="E171" s="4" t="s">
        <v>21</v>
      </c>
      <c r="F171" s="4">
        <v>6</v>
      </c>
      <c r="G171" s="4">
        <v>339</v>
      </c>
      <c r="H171" s="4">
        <v>12</v>
      </c>
      <c r="I171" s="7">
        <v>46105</v>
      </c>
      <c r="J171" s="7">
        <v>46106</v>
      </c>
      <c r="K171" s="4" t="s">
        <v>80</v>
      </c>
    </row>
    <row r="172" spans="1:11" x14ac:dyDescent="0.3">
      <c r="A172" s="9">
        <v>1171</v>
      </c>
      <c r="B172" s="9" t="s">
        <v>54</v>
      </c>
      <c r="C172" s="4" t="s">
        <v>27</v>
      </c>
      <c r="D172" s="4" t="s">
        <v>20</v>
      </c>
      <c r="E172" s="4" t="s">
        <v>48</v>
      </c>
      <c r="F172" s="4">
        <v>17</v>
      </c>
      <c r="G172" s="4">
        <v>147</v>
      </c>
      <c r="H172" s="4">
        <v>12</v>
      </c>
      <c r="I172" s="7">
        <v>46155</v>
      </c>
      <c r="J172" s="7">
        <v>46160</v>
      </c>
      <c r="K172" s="4" t="s">
        <v>79</v>
      </c>
    </row>
    <row r="173" spans="1:11" x14ac:dyDescent="0.3">
      <c r="A173" s="9">
        <v>1172</v>
      </c>
      <c r="B173" s="9" t="s">
        <v>22</v>
      </c>
      <c r="C173" s="4" t="s">
        <v>19</v>
      </c>
      <c r="D173" s="4" t="s">
        <v>34</v>
      </c>
      <c r="E173" s="4" t="s">
        <v>6</v>
      </c>
      <c r="F173" s="4">
        <v>13</v>
      </c>
      <c r="G173" s="4">
        <v>43163</v>
      </c>
      <c r="H173" s="4">
        <v>12</v>
      </c>
      <c r="I173" s="7">
        <v>46120</v>
      </c>
      <c r="J173" s="7">
        <v>46129</v>
      </c>
      <c r="K173" s="4" t="s">
        <v>80</v>
      </c>
    </row>
    <row r="174" spans="1:11" x14ac:dyDescent="0.3">
      <c r="A174" s="9">
        <v>1173</v>
      </c>
      <c r="B174" s="9" t="s">
        <v>39</v>
      </c>
      <c r="C174" s="4" t="s">
        <v>23</v>
      </c>
      <c r="D174" s="4" t="s">
        <v>20</v>
      </c>
      <c r="E174" s="4" t="s">
        <v>37</v>
      </c>
      <c r="F174" s="4">
        <v>15</v>
      </c>
      <c r="G174" s="4">
        <v>214</v>
      </c>
      <c r="H174" s="4">
        <v>10</v>
      </c>
      <c r="I174" s="7">
        <v>46050</v>
      </c>
      <c r="J174" s="7">
        <v>46060</v>
      </c>
      <c r="K174" s="4" t="s">
        <v>81</v>
      </c>
    </row>
    <row r="175" spans="1:11" x14ac:dyDescent="0.3">
      <c r="A175" s="9">
        <v>1174</v>
      </c>
      <c r="B175" s="9" t="s">
        <v>55</v>
      </c>
      <c r="C175" s="4" t="s">
        <v>38</v>
      </c>
      <c r="D175" s="4" t="s">
        <v>20</v>
      </c>
      <c r="E175" s="4" t="s">
        <v>21</v>
      </c>
      <c r="F175" s="4">
        <v>13</v>
      </c>
      <c r="G175" s="4">
        <v>155</v>
      </c>
      <c r="H175" s="4">
        <v>2</v>
      </c>
      <c r="I175" s="7">
        <v>46066</v>
      </c>
      <c r="J175" s="7">
        <v>46069</v>
      </c>
      <c r="K175" s="4" t="s">
        <v>80</v>
      </c>
    </row>
    <row r="176" spans="1:11" x14ac:dyDescent="0.3">
      <c r="A176" s="9">
        <v>1175</v>
      </c>
      <c r="B176" s="9" t="s">
        <v>28</v>
      </c>
      <c r="C176" s="4" t="s">
        <v>23</v>
      </c>
      <c r="D176" s="4" t="s">
        <v>34</v>
      </c>
      <c r="E176" s="4" t="s">
        <v>40</v>
      </c>
      <c r="F176" s="4">
        <v>10</v>
      </c>
      <c r="G176" s="4">
        <v>20339</v>
      </c>
      <c r="H176" s="4">
        <v>2</v>
      </c>
      <c r="I176" s="7">
        <v>46088</v>
      </c>
      <c r="J176" s="7">
        <v>46094</v>
      </c>
      <c r="K176" s="4" t="s">
        <v>79</v>
      </c>
    </row>
    <row r="177" spans="1:11" x14ac:dyDescent="0.3">
      <c r="A177" s="9">
        <v>1176</v>
      </c>
      <c r="B177" s="9" t="s">
        <v>55</v>
      </c>
      <c r="C177" s="4" t="s">
        <v>38</v>
      </c>
      <c r="D177" s="4" t="s">
        <v>34</v>
      </c>
      <c r="E177" s="4" t="s">
        <v>40</v>
      </c>
      <c r="F177" s="4">
        <v>17</v>
      </c>
      <c r="G177" s="4">
        <v>46937</v>
      </c>
      <c r="H177" s="4">
        <v>12</v>
      </c>
      <c r="I177" s="7">
        <v>46048</v>
      </c>
      <c r="J177" s="7">
        <v>46056</v>
      </c>
      <c r="K177" s="4" t="s">
        <v>49</v>
      </c>
    </row>
    <row r="178" spans="1:11" x14ac:dyDescent="0.3">
      <c r="A178" s="9">
        <v>1177</v>
      </c>
      <c r="B178" s="9" t="s">
        <v>49</v>
      </c>
      <c r="C178" s="4" t="s">
        <v>26</v>
      </c>
      <c r="D178" s="4" t="s">
        <v>24</v>
      </c>
      <c r="E178" s="4" t="s">
        <v>7</v>
      </c>
      <c r="F178" s="4">
        <v>14</v>
      </c>
      <c r="G178" s="4">
        <v>7501</v>
      </c>
      <c r="H178" s="4">
        <v>7</v>
      </c>
      <c r="I178" s="7">
        <v>46169</v>
      </c>
      <c r="J178" s="7">
        <v>46179</v>
      </c>
      <c r="K178" s="4" t="s">
        <v>79</v>
      </c>
    </row>
    <row r="179" spans="1:11" x14ac:dyDescent="0.3">
      <c r="A179" s="9">
        <v>1178</v>
      </c>
      <c r="B179" s="9" t="s">
        <v>54</v>
      </c>
      <c r="C179" s="4" t="s">
        <v>23</v>
      </c>
      <c r="D179" s="4" t="s">
        <v>20</v>
      </c>
      <c r="E179" s="4" t="s">
        <v>48</v>
      </c>
      <c r="F179" s="4">
        <v>5</v>
      </c>
      <c r="G179" s="4">
        <v>50</v>
      </c>
      <c r="H179" s="4">
        <v>0</v>
      </c>
      <c r="I179" s="7">
        <v>46111</v>
      </c>
      <c r="J179" s="7">
        <v>46117</v>
      </c>
      <c r="K179" s="4" t="s">
        <v>79</v>
      </c>
    </row>
    <row r="180" spans="1:11" x14ac:dyDescent="0.3">
      <c r="A180" s="9">
        <v>1179</v>
      </c>
      <c r="B180" s="9" t="s">
        <v>45</v>
      </c>
      <c r="C180" s="4" t="s">
        <v>23</v>
      </c>
      <c r="D180" s="4" t="s">
        <v>34</v>
      </c>
      <c r="E180" s="4" t="s">
        <v>5</v>
      </c>
      <c r="F180" s="4">
        <v>6</v>
      </c>
      <c r="G180" s="4">
        <v>10400</v>
      </c>
      <c r="H180" s="4">
        <v>2</v>
      </c>
      <c r="I180" s="7">
        <v>46155</v>
      </c>
      <c r="J180" s="7">
        <v>46158</v>
      </c>
      <c r="K180" s="4" t="s">
        <v>78</v>
      </c>
    </row>
    <row r="181" spans="1:11" x14ac:dyDescent="0.3">
      <c r="A181" s="9">
        <v>1180</v>
      </c>
      <c r="B181" s="9" t="s">
        <v>39</v>
      </c>
      <c r="C181" s="4" t="s">
        <v>31</v>
      </c>
      <c r="D181" s="4" t="s">
        <v>24</v>
      </c>
      <c r="E181" s="4" t="s">
        <v>8</v>
      </c>
      <c r="F181" s="4">
        <v>2</v>
      </c>
      <c r="G181" s="4">
        <v>2076</v>
      </c>
      <c r="H181" s="4">
        <v>2</v>
      </c>
      <c r="I181" s="7">
        <v>46111</v>
      </c>
      <c r="J181" s="7">
        <v>46121</v>
      </c>
      <c r="K181" s="4" t="s">
        <v>49</v>
      </c>
    </row>
    <row r="182" spans="1:11" x14ac:dyDescent="0.3">
      <c r="A182" s="9">
        <v>1181</v>
      </c>
      <c r="B182" s="9" t="s">
        <v>55</v>
      </c>
      <c r="C182" s="4" t="s">
        <v>33</v>
      </c>
      <c r="D182" s="4" t="s">
        <v>20</v>
      </c>
      <c r="E182" s="4" t="s">
        <v>36</v>
      </c>
      <c r="F182" s="4">
        <v>4</v>
      </c>
      <c r="G182" s="4">
        <v>357</v>
      </c>
      <c r="H182" s="4">
        <v>2</v>
      </c>
      <c r="I182" s="7">
        <v>46033</v>
      </c>
      <c r="J182" s="7">
        <v>46035</v>
      </c>
      <c r="K182" s="4" t="s">
        <v>78</v>
      </c>
    </row>
    <row r="183" spans="1:11" x14ac:dyDescent="0.3">
      <c r="A183" s="9">
        <v>1182</v>
      </c>
      <c r="B183" s="9" t="s">
        <v>41</v>
      </c>
      <c r="C183" s="4" t="s">
        <v>19</v>
      </c>
      <c r="D183" s="4" t="s">
        <v>34</v>
      </c>
      <c r="E183" s="4" t="s">
        <v>5</v>
      </c>
      <c r="F183" s="4">
        <v>8</v>
      </c>
      <c r="G183" s="4">
        <v>66022</v>
      </c>
      <c r="H183" s="4">
        <v>12</v>
      </c>
      <c r="I183" s="7">
        <v>46108</v>
      </c>
      <c r="J183" s="7">
        <v>46114</v>
      </c>
      <c r="K183" s="4" t="s">
        <v>80</v>
      </c>
    </row>
    <row r="184" spans="1:11" x14ac:dyDescent="0.3">
      <c r="A184" s="9">
        <v>1183</v>
      </c>
      <c r="B184" s="9" t="s">
        <v>50</v>
      </c>
      <c r="C184" s="4" t="s">
        <v>42</v>
      </c>
      <c r="D184" s="4" t="s">
        <v>20</v>
      </c>
      <c r="E184" s="4" t="s">
        <v>21</v>
      </c>
      <c r="F184" s="4">
        <v>2</v>
      </c>
      <c r="G184" s="4">
        <v>309</v>
      </c>
      <c r="H184" s="4">
        <v>2</v>
      </c>
      <c r="I184" s="7">
        <v>46109</v>
      </c>
      <c r="J184" s="7">
        <v>46111</v>
      </c>
      <c r="K184" s="4" t="s">
        <v>79</v>
      </c>
    </row>
    <row r="185" spans="1:11" x14ac:dyDescent="0.3">
      <c r="A185" s="9">
        <v>1184</v>
      </c>
      <c r="B185" s="9" t="s">
        <v>39</v>
      </c>
      <c r="C185" s="4" t="s">
        <v>31</v>
      </c>
      <c r="D185" s="4" t="s">
        <v>34</v>
      </c>
      <c r="E185" s="4" t="s">
        <v>5</v>
      </c>
      <c r="F185" s="4">
        <v>12</v>
      </c>
      <c r="G185" s="4">
        <v>50517</v>
      </c>
      <c r="H185" s="4">
        <v>15</v>
      </c>
      <c r="I185" s="7">
        <v>46145</v>
      </c>
      <c r="J185" s="7">
        <v>46153</v>
      </c>
      <c r="K185" s="4" t="s">
        <v>49</v>
      </c>
    </row>
    <row r="186" spans="1:11" x14ac:dyDescent="0.3">
      <c r="A186" s="9">
        <v>1185</v>
      </c>
      <c r="B186" s="9" t="s">
        <v>55</v>
      </c>
      <c r="C186" s="4" t="s">
        <v>26</v>
      </c>
      <c r="D186" s="4" t="s">
        <v>34</v>
      </c>
      <c r="E186" s="4" t="s">
        <v>9</v>
      </c>
      <c r="F186" s="4">
        <v>16</v>
      </c>
      <c r="G186" s="4">
        <v>15536</v>
      </c>
      <c r="H186" s="4">
        <v>2</v>
      </c>
      <c r="I186" s="7">
        <v>46153</v>
      </c>
      <c r="J186" s="7">
        <v>46156</v>
      </c>
      <c r="K186" s="4" t="s">
        <v>78</v>
      </c>
    </row>
    <row r="187" spans="1:11" x14ac:dyDescent="0.3">
      <c r="A187" s="9">
        <v>1186</v>
      </c>
      <c r="B187" s="9" t="s">
        <v>22</v>
      </c>
      <c r="C187" s="4" t="s">
        <v>27</v>
      </c>
      <c r="D187" s="4" t="s">
        <v>24</v>
      </c>
      <c r="E187" s="4" t="s">
        <v>43</v>
      </c>
      <c r="F187" s="4">
        <v>10</v>
      </c>
      <c r="G187" s="4">
        <v>14951</v>
      </c>
      <c r="H187" s="4">
        <v>2</v>
      </c>
      <c r="I187" s="7">
        <v>46188</v>
      </c>
      <c r="J187" s="7">
        <v>46196</v>
      </c>
      <c r="K187" s="4" t="s">
        <v>80</v>
      </c>
    </row>
    <row r="188" spans="1:11" x14ac:dyDescent="0.3">
      <c r="A188" s="9">
        <v>1187</v>
      </c>
      <c r="B188" s="9" t="s">
        <v>52</v>
      </c>
      <c r="C188" s="4" t="s">
        <v>26</v>
      </c>
      <c r="D188" s="4" t="s">
        <v>34</v>
      </c>
      <c r="E188" s="4" t="s">
        <v>6</v>
      </c>
      <c r="F188" s="4">
        <v>18</v>
      </c>
      <c r="G188" s="4">
        <v>68527</v>
      </c>
      <c r="H188" s="4">
        <v>12</v>
      </c>
      <c r="I188" s="7">
        <v>46178</v>
      </c>
      <c r="J188" s="7">
        <v>46184</v>
      </c>
      <c r="K188" s="4" t="s">
        <v>81</v>
      </c>
    </row>
    <row r="189" spans="1:11" x14ac:dyDescent="0.3">
      <c r="A189" s="9">
        <v>1188</v>
      </c>
      <c r="B189" s="9" t="s">
        <v>49</v>
      </c>
      <c r="C189" s="4" t="s">
        <v>26</v>
      </c>
      <c r="D189" s="4" t="s">
        <v>24</v>
      </c>
      <c r="E189" s="4" t="s">
        <v>11</v>
      </c>
      <c r="F189" s="4">
        <v>6</v>
      </c>
      <c r="G189" s="4">
        <v>10368</v>
      </c>
      <c r="H189" s="4">
        <v>7</v>
      </c>
      <c r="I189" s="7">
        <v>46137</v>
      </c>
      <c r="J189" s="7">
        <v>46142</v>
      </c>
      <c r="K189" s="4" t="s">
        <v>78</v>
      </c>
    </row>
    <row r="190" spans="1:11" x14ac:dyDescent="0.3">
      <c r="A190" s="9">
        <v>1189</v>
      </c>
      <c r="B190" s="9" t="s">
        <v>47</v>
      </c>
      <c r="C190" s="4" t="s">
        <v>31</v>
      </c>
      <c r="D190" s="4" t="s">
        <v>24</v>
      </c>
      <c r="E190" s="4" t="s">
        <v>11</v>
      </c>
      <c r="F190" s="4">
        <v>12</v>
      </c>
      <c r="G190" s="4">
        <v>8327</v>
      </c>
      <c r="H190" s="4">
        <v>10</v>
      </c>
      <c r="I190" s="7">
        <v>46184</v>
      </c>
      <c r="J190" s="7">
        <v>46185</v>
      </c>
      <c r="K190" s="4" t="s">
        <v>49</v>
      </c>
    </row>
    <row r="191" spans="1:11" x14ac:dyDescent="0.3">
      <c r="A191" s="9">
        <v>1190</v>
      </c>
      <c r="B191" s="9" t="s">
        <v>54</v>
      </c>
      <c r="C191" s="4" t="s">
        <v>23</v>
      </c>
      <c r="D191" s="4" t="s">
        <v>24</v>
      </c>
      <c r="E191" s="4" t="s">
        <v>8</v>
      </c>
      <c r="F191" s="4">
        <v>4</v>
      </c>
      <c r="G191" s="4">
        <v>10154</v>
      </c>
      <c r="H191" s="4">
        <v>7</v>
      </c>
      <c r="I191" s="7">
        <v>46052</v>
      </c>
      <c r="J191" s="7">
        <v>46062</v>
      </c>
      <c r="K191" s="4" t="s">
        <v>79</v>
      </c>
    </row>
    <row r="192" spans="1:11" x14ac:dyDescent="0.3">
      <c r="A192" s="9">
        <v>1191</v>
      </c>
      <c r="B192" s="9" t="s">
        <v>50</v>
      </c>
      <c r="C192" s="4" t="s">
        <v>33</v>
      </c>
      <c r="D192" s="4" t="s">
        <v>24</v>
      </c>
      <c r="E192" s="4" t="s">
        <v>11</v>
      </c>
      <c r="F192" s="4">
        <v>9</v>
      </c>
      <c r="G192" s="4">
        <v>8631</v>
      </c>
      <c r="H192" s="4">
        <v>10</v>
      </c>
      <c r="I192" s="7">
        <v>46149</v>
      </c>
      <c r="J192" s="7">
        <v>46156</v>
      </c>
      <c r="K192" s="4" t="s">
        <v>79</v>
      </c>
    </row>
    <row r="193" spans="1:11" x14ac:dyDescent="0.3">
      <c r="A193" s="9">
        <v>1192</v>
      </c>
      <c r="B193" s="9" t="s">
        <v>25</v>
      </c>
      <c r="C193" s="4" t="s">
        <v>33</v>
      </c>
      <c r="D193" s="4" t="s">
        <v>20</v>
      </c>
      <c r="E193" s="4" t="s">
        <v>51</v>
      </c>
      <c r="F193" s="4">
        <v>18</v>
      </c>
      <c r="G193" s="4">
        <v>49</v>
      </c>
      <c r="H193" s="4">
        <v>12</v>
      </c>
      <c r="I193" s="7">
        <v>46089</v>
      </c>
      <c r="J193" s="7">
        <v>46095</v>
      </c>
      <c r="K193" s="4" t="s">
        <v>80</v>
      </c>
    </row>
    <row r="194" spans="1:11" x14ac:dyDescent="0.3">
      <c r="A194" s="9">
        <v>1193</v>
      </c>
      <c r="B194" s="9" t="s">
        <v>54</v>
      </c>
      <c r="C194" s="4" t="s">
        <v>19</v>
      </c>
      <c r="D194" s="4" t="s">
        <v>24</v>
      </c>
      <c r="E194" s="4" t="s">
        <v>10</v>
      </c>
      <c r="F194" s="4">
        <v>19</v>
      </c>
      <c r="G194" s="4">
        <v>2699</v>
      </c>
      <c r="H194" s="4">
        <v>7</v>
      </c>
      <c r="I194" s="7">
        <v>46110</v>
      </c>
      <c r="J194" s="7">
        <v>46112</v>
      </c>
      <c r="K194" s="4" t="s">
        <v>49</v>
      </c>
    </row>
    <row r="195" spans="1:11" x14ac:dyDescent="0.3">
      <c r="A195" s="9">
        <v>1194</v>
      </c>
      <c r="B195" s="9" t="s">
        <v>54</v>
      </c>
      <c r="C195" s="4" t="s">
        <v>42</v>
      </c>
      <c r="D195" s="4" t="s">
        <v>24</v>
      </c>
      <c r="E195" s="4" t="s">
        <v>8</v>
      </c>
      <c r="F195" s="4">
        <v>13</v>
      </c>
      <c r="G195" s="4">
        <v>12856</v>
      </c>
      <c r="H195" s="4">
        <v>15</v>
      </c>
      <c r="I195" s="7">
        <v>46129</v>
      </c>
      <c r="J195" s="7">
        <v>46133</v>
      </c>
      <c r="K195" s="4" t="s">
        <v>81</v>
      </c>
    </row>
    <row r="196" spans="1:11" x14ac:dyDescent="0.3">
      <c r="A196" s="9">
        <v>1195</v>
      </c>
      <c r="B196" s="9" t="s">
        <v>56</v>
      </c>
      <c r="C196" s="4" t="s">
        <v>23</v>
      </c>
      <c r="D196" s="4" t="s">
        <v>20</v>
      </c>
      <c r="E196" s="4" t="s">
        <v>48</v>
      </c>
      <c r="F196" s="4">
        <v>19</v>
      </c>
      <c r="G196" s="4">
        <v>313</v>
      </c>
      <c r="H196" s="4">
        <v>2</v>
      </c>
      <c r="I196" s="7">
        <v>46198</v>
      </c>
      <c r="J196" s="7">
        <v>46206</v>
      </c>
      <c r="K196" s="4" t="s">
        <v>81</v>
      </c>
    </row>
    <row r="197" spans="1:11" x14ac:dyDescent="0.3">
      <c r="A197" s="9">
        <v>1196</v>
      </c>
      <c r="B197" s="9" t="s">
        <v>46</v>
      </c>
      <c r="C197" s="4" t="s">
        <v>26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7">
        <v>46155</v>
      </c>
      <c r="J197" s="7">
        <v>46159</v>
      </c>
      <c r="K197" s="4" t="s">
        <v>79</v>
      </c>
    </row>
    <row r="198" spans="1:11" x14ac:dyDescent="0.3">
      <c r="A198" s="9">
        <v>1197</v>
      </c>
      <c r="B198" s="9" t="s">
        <v>50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7">
        <v>46045</v>
      </c>
      <c r="J198" s="7">
        <v>46048</v>
      </c>
      <c r="K198" s="4" t="s">
        <v>78</v>
      </c>
    </row>
    <row r="199" spans="1:11" x14ac:dyDescent="0.3">
      <c r="A199" s="9">
        <v>1198</v>
      </c>
      <c r="B199" s="9" t="s">
        <v>55</v>
      </c>
      <c r="C199" s="4" t="s">
        <v>19</v>
      </c>
      <c r="D199" s="4" t="s">
        <v>20</v>
      </c>
      <c r="E199" s="4" t="s">
        <v>21</v>
      </c>
      <c r="F199" s="4">
        <v>12</v>
      </c>
      <c r="G199" s="4">
        <v>491</v>
      </c>
      <c r="H199" s="4">
        <v>2</v>
      </c>
      <c r="I199" s="7">
        <v>46106</v>
      </c>
      <c r="J199" s="7">
        <v>46109</v>
      </c>
      <c r="K199" s="4" t="s">
        <v>81</v>
      </c>
    </row>
    <row r="200" spans="1:11" x14ac:dyDescent="0.3">
      <c r="A200" s="9">
        <v>1199</v>
      </c>
      <c r="B200" s="9" t="s">
        <v>18</v>
      </c>
      <c r="C200" s="4" t="s">
        <v>27</v>
      </c>
      <c r="D200" s="4" t="s">
        <v>34</v>
      </c>
      <c r="E200" s="4" t="s">
        <v>6</v>
      </c>
      <c r="F200" s="4">
        <v>2</v>
      </c>
      <c r="G200" s="4">
        <v>4375</v>
      </c>
      <c r="H200" s="4">
        <v>7</v>
      </c>
      <c r="I200" s="7">
        <v>46178</v>
      </c>
      <c r="J200" s="7">
        <v>46180</v>
      </c>
      <c r="K200" s="4" t="s">
        <v>80</v>
      </c>
    </row>
    <row r="201" spans="1:11" x14ac:dyDescent="0.3">
      <c r="A201" s="9">
        <v>1200</v>
      </c>
      <c r="B201" s="9" t="s">
        <v>49</v>
      </c>
      <c r="C201" s="4" t="s">
        <v>31</v>
      </c>
      <c r="D201" s="4" t="s">
        <v>34</v>
      </c>
      <c r="E201" s="4" t="s">
        <v>6</v>
      </c>
      <c r="F201" s="4">
        <v>13</v>
      </c>
      <c r="G201" s="4">
        <v>69422</v>
      </c>
      <c r="H201" s="4">
        <v>0</v>
      </c>
      <c r="I201" s="7">
        <v>46134</v>
      </c>
      <c r="J201" s="7">
        <v>46143</v>
      </c>
      <c r="K201" s="4" t="s">
        <v>49</v>
      </c>
    </row>
    <row r="202" spans="1:11" x14ac:dyDescent="0.3">
      <c r="A202" s="9">
        <v>1201</v>
      </c>
      <c r="B202" s="9" t="s">
        <v>52</v>
      </c>
      <c r="C202" s="4" t="s">
        <v>31</v>
      </c>
      <c r="D202" s="4" t="s">
        <v>20</v>
      </c>
      <c r="E202" s="4" t="s">
        <v>51</v>
      </c>
      <c r="F202" s="4">
        <v>18</v>
      </c>
      <c r="G202" s="4">
        <v>139</v>
      </c>
      <c r="H202" s="4">
        <v>12</v>
      </c>
      <c r="I202" s="7">
        <v>46075</v>
      </c>
      <c r="J202" s="7">
        <v>46076</v>
      </c>
      <c r="K202" s="4" t="s">
        <v>79</v>
      </c>
    </row>
    <row r="203" spans="1:11" x14ac:dyDescent="0.3">
      <c r="A203" s="9">
        <v>1202</v>
      </c>
      <c r="B203" s="9" t="s">
        <v>54</v>
      </c>
      <c r="C203" s="4" t="s">
        <v>26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7">
        <v>46082</v>
      </c>
      <c r="J203" s="7">
        <v>46091</v>
      </c>
      <c r="K203" s="4" t="s">
        <v>78</v>
      </c>
    </row>
    <row r="204" spans="1:11" x14ac:dyDescent="0.3">
      <c r="A204" s="9">
        <v>1203</v>
      </c>
      <c r="B204" s="9" t="s">
        <v>39</v>
      </c>
      <c r="C204" s="4" t="s">
        <v>26</v>
      </c>
      <c r="D204" s="4" t="s">
        <v>24</v>
      </c>
      <c r="E204" s="4" t="s">
        <v>10</v>
      </c>
      <c r="F204" s="4">
        <v>17</v>
      </c>
      <c r="G204" s="4">
        <v>6695</v>
      </c>
      <c r="H204" s="4">
        <v>2</v>
      </c>
      <c r="I204" s="7">
        <v>46119</v>
      </c>
      <c r="J204" s="7">
        <v>46122</v>
      </c>
      <c r="K204" s="4" t="s">
        <v>81</v>
      </c>
    </row>
    <row r="205" spans="1:11" x14ac:dyDescent="0.3">
      <c r="A205" s="9">
        <v>1204</v>
      </c>
      <c r="B205" s="9" t="s">
        <v>22</v>
      </c>
      <c r="C205" s="4" t="s">
        <v>31</v>
      </c>
      <c r="D205" s="4" t="s">
        <v>20</v>
      </c>
      <c r="E205" s="4" t="s">
        <v>37</v>
      </c>
      <c r="F205" s="4">
        <v>13</v>
      </c>
      <c r="G205" s="4">
        <v>416</v>
      </c>
      <c r="H205" s="4">
        <v>10</v>
      </c>
      <c r="I205" s="7">
        <v>46123</v>
      </c>
      <c r="J205" s="7">
        <v>46132</v>
      </c>
      <c r="K205" s="4" t="s">
        <v>79</v>
      </c>
    </row>
    <row r="206" spans="1:11" x14ac:dyDescent="0.3">
      <c r="A206" s="9">
        <v>1205</v>
      </c>
      <c r="B206" s="9" t="s">
        <v>25</v>
      </c>
      <c r="C206" s="4" t="s">
        <v>38</v>
      </c>
      <c r="D206" s="4" t="s">
        <v>20</v>
      </c>
      <c r="E206" s="4" t="s">
        <v>36</v>
      </c>
      <c r="F206" s="4">
        <v>1</v>
      </c>
      <c r="G206" s="4">
        <v>112</v>
      </c>
      <c r="H206" s="4">
        <v>7</v>
      </c>
      <c r="I206" s="7">
        <v>46033</v>
      </c>
      <c r="J206" s="7">
        <v>46040</v>
      </c>
      <c r="K206" s="4" t="s">
        <v>81</v>
      </c>
    </row>
    <row r="207" spans="1:11" x14ac:dyDescent="0.3">
      <c r="A207" s="9">
        <v>1206</v>
      </c>
      <c r="B207" s="9" t="s">
        <v>53</v>
      </c>
      <c r="C207" s="4" t="s">
        <v>33</v>
      </c>
      <c r="D207" s="4" t="s">
        <v>20</v>
      </c>
      <c r="E207" s="4" t="s">
        <v>21</v>
      </c>
      <c r="F207" s="4">
        <v>9</v>
      </c>
      <c r="G207" s="4">
        <v>60</v>
      </c>
      <c r="H207" s="4">
        <v>0</v>
      </c>
      <c r="I207" s="7">
        <v>46166</v>
      </c>
      <c r="J207" s="7">
        <v>46174</v>
      </c>
      <c r="K207" s="4" t="s">
        <v>78</v>
      </c>
    </row>
    <row r="208" spans="1:11" x14ac:dyDescent="0.3">
      <c r="A208" s="9">
        <v>1207</v>
      </c>
      <c r="B208" s="9" t="s">
        <v>53</v>
      </c>
      <c r="C208" s="4" t="s">
        <v>27</v>
      </c>
      <c r="D208" s="4" t="s">
        <v>20</v>
      </c>
      <c r="E208" s="4" t="s">
        <v>51</v>
      </c>
      <c r="F208" s="4">
        <v>7</v>
      </c>
      <c r="G208" s="4">
        <v>244</v>
      </c>
      <c r="H208" s="4">
        <v>2</v>
      </c>
      <c r="I208" s="7">
        <v>46164</v>
      </c>
      <c r="J208" s="7">
        <v>46173</v>
      </c>
      <c r="K208" s="4" t="s">
        <v>80</v>
      </c>
    </row>
    <row r="209" spans="1:11" x14ac:dyDescent="0.3">
      <c r="A209" s="9">
        <v>1208</v>
      </c>
      <c r="B209" s="9" t="s">
        <v>52</v>
      </c>
      <c r="C209" s="4" t="s">
        <v>42</v>
      </c>
      <c r="D209" s="4" t="s">
        <v>24</v>
      </c>
      <c r="E209" s="4" t="s">
        <v>43</v>
      </c>
      <c r="F209" s="4">
        <v>6</v>
      </c>
      <c r="G209" s="4">
        <v>7627</v>
      </c>
      <c r="H209" s="4">
        <v>10</v>
      </c>
      <c r="I209" s="7">
        <v>46042</v>
      </c>
      <c r="J209" s="7">
        <v>46047</v>
      </c>
      <c r="K209" s="4" t="s">
        <v>79</v>
      </c>
    </row>
    <row r="210" spans="1:11" x14ac:dyDescent="0.3">
      <c r="A210" s="9">
        <v>1209</v>
      </c>
      <c r="B210" s="9" t="s">
        <v>46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7">
        <v>46103</v>
      </c>
      <c r="J210" s="7">
        <v>46110</v>
      </c>
      <c r="K210" s="4" t="s">
        <v>79</v>
      </c>
    </row>
    <row r="211" spans="1:11" x14ac:dyDescent="0.3">
      <c r="A211" s="9">
        <v>1210</v>
      </c>
      <c r="B211" s="9" t="s">
        <v>30</v>
      </c>
      <c r="C211" s="4" t="s">
        <v>31</v>
      </c>
      <c r="D211" s="4" t="s">
        <v>20</v>
      </c>
      <c r="E211" s="4" t="s">
        <v>51</v>
      </c>
      <c r="F211" s="4">
        <v>10</v>
      </c>
      <c r="G211" s="4">
        <v>349</v>
      </c>
      <c r="H211" s="4">
        <v>0</v>
      </c>
      <c r="I211" s="7">
        <v>46052</v>
      </c>
      <c r="J211" s="7">
        <v>46060</v>
      </c>
      <c r="K211" s="4" t="s">
        <v>49</v>
      </c>
    </row>
    <row r="212" spans="1:11" x14ac:dyDescent="0.3">
      <c r="A212" s="9">
        <v>1211</v>
      </c>
      <c r="B212" s="9" t="s">
        <v>46</v>
      </c>
      <c r="C212" s="4" t="s">
        <v>23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7">
        <v>46175</v>
      </c>
      <c r="J212" s="7">
        <v>46183</v>
      </c>
      <c r="K212" s="4" t="s">
        <v>78</v>
      </c>
    </row>
    <row r="213" spans="1:11" x14ac:dyDescent="0.3">
      <c r="A213" s="9">
        <v>1212</v>
      </c>
      <c r="B213" s="9" t="s">
        <v>56</v>
      </c>
      <c r="C213" s="4" t="s">
        <v>27</v>
      </c>
      <c r="D213" s="4" t="s">
        <v>34</v>
      </c>
      <c r="E213" s="4" t="s">
        <v>9</v>
      </c>
      <c r="F213" s="4">
        <v>10</v>
      </c>
      <c r="G213" s="4">
        <v>34380</v>
      </c>
      <c r="H213" s="4">
        <v>7</v>
      </c>
      <c r="I213" s="7">
        <v>46194</v>
      </c>
      <c r="J213" s="7">
        <v>46195</v>
      </c>
      <c r="K213" s="4" t="s">
        <v>49</v>
      </c>
    </row>
    <row r="214" spans="1:11" x14ac:dyDescent="0.3">
      <c r="A214" s="9">
        <v>1213</v>
      </c>
      <c r="B214" s="9" t="s">
        <v>32</v>
      </c>
      <c r="C214" s="4" t="s">
        <v>38</v>
      </c>
      <c r="D214" s="4" t="s">
        <v>34</v>
      </c>
      <c r="E214" s="4" t="s">
        <v>6</v>
      </c>
      <c r="F214" s="4">
        <v>16</v>
      </c>
      <c r="G214" s="4">
        <v>27741</v>
      </c>
      <c r="H214" s="4">
        <v>12</v>
      </c>
      <c r="I214" s="7">
        <v>46116</v>
      </c>
      <c r="J214" s="7">
        <v>46119</v>
      </c>
      <c r="K214" s="4" t="s">
        <v>78</v>
      </c>
    </row>
    <row r="215" spans="1:11" x14ac:dyDescent="0.3">
      <c r="A215" s="9">
        <v>1214</v>
      </c>
      <c r="B215" s="9" t="s">
        <v>41</v>
      </c>
      <c r="C215" s="4" t="s">
        <v>27</v>
      </c>
      <c r="D215" s="4" t="s">
        <v>24</v>
      </c>
      <c r="E215" s="4" t="s">
        <v>8</v>
      </c>
      <c r="F215" s="4">
        <v>19</v>
      </c>
      <c r="G215" s="4">
        <v>13832</v>
      </c>
      <c r="H215" s="4">
        <v>0</v>
      </c>
      <c r="I215" s="7">
        <v>46140</v>
      </c>
      <c r="J215" s="7">
        <v>46145</v>
      </c>
      <c r="K215" s="4" t="s">
        <v>81</v>
      </c>
    </row>
    <row r="216" spans="1:11" x14ac:dyDescent="0.3">
      <c r="A216" s="9">
        <v>1215</v>
      </c>
      <c r="B216" s="9" t="s">
        <v>29</v>
      </c>
      <c r="C216" s="4" t="s">
        <v>19</v>
      </c>
      <c r="D216" s="4" t="s">
        <v>24</v>
      </c>
      <c r="E216" s="4" t="s">
        <v>8</v>
      </c>
      <c r="F216" s="4">
        <v>6</v>
      </c>
      <c r="G216" s="4">
        <v>1254</v>
      </c>
      <c r="H216" s="4">
        <v>0</v>
      </c>
      <c r="I216" s="7">
        <v>46131</v>
      </c>
      <c r="J216" s="7">
        <v>46136</v>
      </c>
      <c r="K216" s="4" t="s">
        <v>49</v>
      </c>
    </row>
    <row r="217" spans="1:11" x14ac:dyDescent="0.3">
      <c r="A217" s="9">
        <v>1216</v>
      </c>
      <c r="B217" s="9" t="s">
        <v>39</v>
      </c>
      <c r="C217" s="4" t="s">
        <v>26</v>
      </c>
      <c r="D217" s="4" t="s">
        <v>34</v>
      </c>
      <c r="E217" s="4" t="s">
        <v>6</v>
      </c>
      <c r="F217" s="4">
        <v>10</v>
      </c>
      <c r="G217" s="4">
        <v>56709</v>
      </c>
      <c r="H217" s="4">
        <v>15</v>
      </c>
      <c r="I217" s="7">
        <v>46135</v>
      </c>
      <c r="J217" s="7">
        <v>46139</v>
      </c>
      <c r="K217" s="4" t="s">
        <v>49</v>
      </c>
    </row>
    <row r="218" spans="1:11" x14ac:dyDescent="0.3">
      <c r="A218" s="9">
        <v>1217</v>
      </c>
      <c r="B218" s="9" t="s">
        <v>30</v>
      </c>
      <c r="C218" s="4" t="s">
        <v>26</v>
      </c>
      <c r="D218" s="4" t="s">
        <v>20</v>
      </c>
      <c r="E218" s="4" t="s">
        <v>48</v>
      </c>
      <c r="F218" s="4">
        <v>18</v>
      </c>
      <c r="G218" s="4">
        <v>60</v>
      </c>
      <c r="H218" s="4">
        <v>0</v>
      </c>
      <c r="I218" s="7">
        <v>46171</v>
      </c>
      <c r="J218" s="7">
        <v>46172</v>
      </c>
      <c r="K218" s="4" t="s">
        <v>49</v>
      </c>
    </row>
    <row r="219" spans="1:11" x14ac:dyDescent="0.3">
      <c r="A219" s="9">
        <v>1218</v>
      </c>
      <c r="B219" s="9" t="s">
        <v>53</v>
      </c>
      <c r="C219" s="4" t="s">
        <v>38</v>
      </c>
      <c r="D219" s="4" t="s">
        <v>20</v>
      </c>
      <c r="E219" s="4" t="s">
        <v>21</v>
      </c>
      <c r="F219" s="4">
        <v>1</v>
      </c>
      <c r="G219" s="4">
        <v>134</v>
      </c>
      <c r="H219" s="4">
        <v>10</v>
      </c>
      <c r="I219" s="7">
        <v>46143</v>
      </c>
      <c r="J219" s="7">
        <v>46151</v>
      </c>
      <c r="K219" s="4" t="s">
        <v>81</v>
      </c>
    </row>
    <row r="220" spans="1:11" x14ac:dyDescent="0.3">
      <c r="A220" s="9">
        <v>1219</v>
      </c>
      <c r="B220" s="9" t="s">
        <v>44</v>
      </c>
      <c r="C220" s="4" t="s">
        <v>26</v>
      </c>
      <c r="D220" s="4" t="s">
        <v>20</v>
      </c>
      <c r="E220" s="4" t="s">
        <v>21</v>
      </c>
      <c r="F220" s="4">
        <v>4</v>
      </c>
      <c r="G220" s="4">
        <v>117</v>
      </c>
      <c r="H220" s="4">
        <v>15</v>
      </c>
      <c r="I220" s="7">
        <v>46202</v>
      </c>
      <c r="J220" s="7">
        <v>46206</v>
      </c>
      <c r="K220" s="4" t="s">
        <v>49</v>
      </c>
    </row>
    <row r="221" spans="1:11" x14ac:dyDescent="0.3">
      <c r="A221" s="9">
        <v>1220</v>
      </c>
      <c r="B221" s="9" t="s">
        <v>18</v>
      </c>
      <c r="C221" s="4" t="s">
        <v>27</v>
      </c>
      <c r="D221" s="4" t="s">
        <v>24</v>
      </c>
      <c r="E221" s="4" t="s">
        <v>11</v>
      </c>
      <c r="F221" s="4">
        <v>2</v>
      </c>
      <c r="G221" s="4">
        <v>8861</v>
      </c>
      <c r="H221" s="4">
        <v>2</v>
      </c>
      <c r="I221" s="7">
        <v>46170</v>
      </c>
      <c r="J221" s="7">
        <v>46174</v>
      </c>
      <c r="K221" s="4" t="s">
        <v>80</v>
      </c>
    </row>
    <row r="222" spans="1:11" x14ac:dyDescent="0.3">
      <c r="A222" s="9">
        <v>1221</v>
      </c>
      <c r="B222" s="9" t="s">
        <v>18</v>
      </c>
      <c r="C222" s="4" t="s">
        <v>31</v>
      </c>
      <c r="D222" s="4" t="s">
        <v>24</v>
      </c>
      <c r="E222" s="4" t="s">
        <v>11</v>
      </c>
      <c r="F222" s="4">
        <v>18</v>
      </c>
      <c r="G222" s="4">
        <v>2681</v>
      </c>
      <c r="H222" s="4">
        <v>10</v>
      </c>
      <c r="I222" s="7">
        <v>46122</v>
      </c>
      <c r="J222" s="7">
        <v>46125</v>
      </c>
      <c r="K222" s="4" t="s">
        <v>81</v>
      </c>
    </row>
    <row r="223" spans="1:11" x14ac:dyDescent="0.3">
      <c r="A223" s="9">
        <v>1222</v>
      </c>
      <c r="B223" s="9" t="s">
        <v>30</v>
      </c>
      <c r="C223" s="4" t="s">
        <v>33</v>
      </c>
      <c r="D223" s="4" t="s">
        <v>24</v>
      </c>
      <c r="E223" s="4" t="s">
        <v>10</v>
      </c>
      <c r="F223" s="4">
        <v>9</v>
      </c>
      <c r="G223" s="4">
        <v>2712</v>
      </c>
      <c r="H223" s="4">
        <v>12</v>
      </c>
      <c r="I223" s="7">
        <v>46154</v>
      </c>
      <c r="J223" s="7">
        <v>46163</v>
      </c>
      <c r="K223" s="4" t="s">
        <v>78</v>
      </c>
    </row>
    <row r="224" spans="1:11" x14ac:dyDescent="0.3">
      <c r="A224" s="9">
        <v>1223</v>
      </c>
      <c r="B224" s="9" t="s">
        <v>56</v>
      </c>
      <c r="C224" s="4" t="s">
        <v>23</v>
      </c>
      <c r="D224" s="4" t="s">
        <v>24</v>
      </c>
      <c r="E224" s="4" t="s">
        <v>10</v>
      </c>
      <c r="F224" s="4">
        <v>4</v>
      </c>
      <c r="G224" s="4">
        <v>2249</v>
      </c>
      <c r="H224" s="4">
        <v>7</v>
      </c>
      <c r="I224" s="7">
        <v>46077</v>
      </c>
      <c r="J224" s="7">
        <v>46084</v>
      </c>
      <c r="K224" s="4" t="s">
        <v>78</v>
      </c>
    </row>
    <row r="225" spans="1:11" x14ac:dyDescent="0.3">
      <c r="A225" s="9">
        <v>1224</v>
      </c>
      <c r="B225" s="9" t="s">
        <v>30</v>
      </c>
      <c r="C225" s="4" t="s">
        <v>38</v>
      </c>
      <c r="D225" s="4" t="s">
        <v>34</v>
      </c>
      <c r="E225" s="4" t="s">
        <v>6</v>
      </c>
      <c r="F225" s="4">
        <v>16</v>
      </c>
      <c r="G225" s="4">
        <v>18378</v>
      </c>
      <c r="H225" s="4">
        <v>10</v>
      </c>
      <c r="I225" s="7">
        <v>46045</v>
      </c>
      <c r="J225" s="7">
        <v>46052</v>
      </c>
      <c r="K225" s="4" t="s">
        <v>80</v>
      </c>
    </row>
    <row r="226" spans="1:11" x14ac:dyDescent="0.3">
      <c r="A226" s="9">
        <v>1225</v>
      </c>
      <c r="B226" s="9" t="s">
        <v>41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7">
        <v>46125</v>
      </c>
      <c r="J226" s="7">
        <v>46126</v>
      </c>
      <c r="K226" s="4" t="s">
        <v>79</v>
      </c>
    </row>
    <row r="227" spans="1:11" x14ac:dyDescent="0.3">
      <c r="A227" s="9">
        <v>1226</v>
      </c>
      <c r="B227" s="9" t="s">
        <v>49</v>
      </c>
      <c r="C227" s="4" t="s">
        <v>31</v>
      </c>
      <c r="D227" s="4" t="s">
        <v>34</v>
      </c>
      <c r="E227" s="4" t="s">
        <v>40</v>
      </c>
      <c r="F227" s="4">
        <v>13</v>
      </c>
      <c r="G227" s="4">
        <v>21332</v>
      </c>
      <c r="H227" s="4">
        <v>0</v>
      </c>
      <c r="I227" s="7">
        <v>46044</v>
      </c>
      <c r="J227" s="7">
        <v>46048</v>
      </c>
      <c r="K227" s="4" t="s">
        <v>49</v>
      </c>
    </row>
    <row r="228" spans="1:11" x14ac:dyDescent="0.3">
      <c r="A228" s="9">
        <v>1227</v>
      </c>
      <c r="B228" s="9" t="s">
        <v>55</v>
      </c>
      <c r="C228" s="4" t="s">
        <v>26</v>
      </c>
      <c r="D228" s="4" t="s">
        <v>34</v>
      </c>
      <c r="E228" s="4" t="s">
        <v>6</v>
      </c>
      <c r="F228" s="4">
        <v>16</v>
      </c>
      <c r="G228" s="4">
        <v>1321</v>
      </c>
      <c r="H228" s="4">
        <v>12</v>
      </c>
      <c r="I228" s="7">
        <v>46113</v>
      </c>
      <c r="J228" s="7">
        <v>46116</v>
      </c>
      <c r="K228" s="4" t="s">
        <v>78</v>
      </c>
    </row>
    <row r="229" spans="1:11" x14ac:dyDescent="0.3">
      <c r="A229" s="9">
        <v>1228</v>
      </c>
      <c r="B229" s="9" t="s">
        <v>49</v>
      </c>
      <c r="C229" s="4" t="s">
        <v>27</v>
      </c>
      <c r="D229" s="4" t="s">
        <v>34</v>
      </c>
      <c r="E229" s="4" t="s">
        <v>6</v>
      </c>
      <c r="F229" s="4">
        <v>16</v>
      </c>
      <c r="G229" s="4">
        <v>17477</v>
      </c>
      <c r="H229" s="4">
        <v>10</v>
      </c>
      <c r="I229" s="7">
        <v>46041</v>
      </c>
      <c r="J229" s="7">
        <v>46043</v>
      </c>
      <c r="K229" s="4" t="s">
        <v>80</v>
      </c>
    </row>
    <row r="230" spans="1:11" x14ac:dyDescent="0.3">
      <c r="A230" s="9">
        <v>1229</v>
      </c>
      <c r="B230" s="9" t="s">
        <v>54</v>
      </c>
      <c r="C230" s="4" t="s">
        <v>19</v>
      </c>
      <c r="D230" s="4" t="s">
        <v>24</v>
      </c>
      <c r="E230" s="4" t="s">
        <v>11</v>
      </c>
      <c r="F230" s="4">
        <v>14</v>
      </c>
      <c r="G230" s="4">
        <v>5859</v>
      </c>
      <c r="H230" s="4">
        <v>12</v>
      </c>
      <c r="I230" s="7">
        <v>46027</v>
      </c>
      <c r="J230" s="7">
        <v>46036</v>
      </c>
      <c r="K230" s="4" t="s">
        <v>79</v>
      </c>
    </row>
    <row r="231" spans="1:11" x14ac:dyDescent="0.3">
      <c r="A231" s="9">
        <v>1230</v>
      </c>
      <c r="B231" s="9" t="s">
        <v>56</v>
      </c>
      <c r="C231" s="4" t="s">
        <v>33</v>
      </c>
      <c r="D231" s="4" t="s">
        <v>34</v>
      </c>
      <c r="E231" s="4" t="s">
        <v>9</v>
      </c>
      <c r="F231" s="4">
        <v>7</v>
      </c>
      <c r="G231" s="4">
        <v>2932</v>
      </c>
      <c r="H231" s="4">
        <v>7</v>
      </c>
      <c r="I231" s="7">
        <v>46050</v>
      </c>
      <c r="J231" s="7">
        <v>46059</v>
      </c>
      <c r="K231" s="4" t="s">
        <v>80</v>
      </c>
    </row>
    <row r="232" spans="1:11" x14ac:dyDescent="0.3">
      <c r="A232" s="9">
        <v>1231</v>
      </c>
      <c r="B232" s="9" t="s">
        <v>46</v>
      </c>
      <c r="C232" s="4" t="s">
        <v>38</v>
      </c>
      <c r="D232" s="4" t="s">
        <v>24</v>
      </c>
      <c r="E232" s="4" t="s">
        <v>7</v>
      </c>
      <c r="F232" s="4">
        <v>13</v>
      </c>
      <c r="G232" s="4">
        <v>10297</v>
      </c>
      <c r="H232" s="4">
        <v>12</v>
      </c>
      <c r="I232" s="7">
        <v>46178</v>
      </c>
      <c r="J232" s="7">
        <v>46186</v>
      </c>
      <c r="K232" s="4" t="s">
        <v>79</v>
      </c>
    </row>
    <row r="233" spans="1:11" x14ac:dyDescent="0.3">
      <c r="A233" s="9">
        <v>1232</v>
      </c>
      <c r="B233" s="9" t="s">
        <v>25</v>
      </c>
      <c r="C233" s="4" t="s">
        <v>19</v>
      </c>
      <c r="D233" s="4" t="s">
        <v>34</v>
      </c>
      <c r="E233" s="4" t="s">
        <v>9</v>
      </c>
      <c r="F233" s="4">
        <v>3</v>
      </c>
      <c r="G233" s="4">
        <v>13272</v>
      </c>
      <c r="H233" s="4">
        <v>2</v>
      </c>
      <c r="I233" s="7">
        <v>46060</v>
      </c>
      <c r="J233" s="7">
        <v>46065</v>
      </c>
      <c r="K233" s="4" t="s">
        <v>78</v>
      </c>
    </row>
    <row r="234" spans="1:11" x14ac:dyDescent="0.3">
      <c r="A234" s="9">
        <v>1233</v>
      </c>
      <c r="B234" s="9" t="s">
        <v>55</v>
      </c>
      <c r="C234" s="4" t="s">
        <v>26</v>
      </c>
      <c r="D234" s="4" t="s">
        <v>24</v>
      </c>
      <c r="E234" s="4" t="s">
        <v>7</v>
      </c>
      <c r="F234" s="4">
        <v>20</v>
      </c>
      <c r="G234" s="4">
        <v>13941</v>
      </c>
      <c r="H234" s="4">
        <v>15</v>
      </c>
      <c r="I234" s="7">
        <v>46198</v>
      </c>
      <c r="J234" s="7">
        <v>46202</v>
      </c>
      <c r="K234" s="4" t="s">
        <v>80</v>
      </c>
    </row>
    <row r="235" spans="1:11" x14ac:dyDescent="0.3">
      <c r="A235" s="9">
        <v>1234</v>
      </c>
      <c r="B235" s="9" t="s">
        <v>18</v>
      </c>
      <c r="C235" s="4" t="s">
        <v>27</v>
      </c>
      <c r="D235" s="4" t="s">
        <v>24</v>
      </c>
      <c r="E235" s="4" t="s">
        <v>8</v>
      </c>
      <c r="F235" s="4">
        <v>1</v>
      </c>
      <c r="G235" s="4">
        <v>14320</v>
      </c>
      <c r="H235" s="4">
        <v>12</v>
      </c>
      <c r="I235" s="7">
        <v>46114</v>
      </c>
      <c r="J235" s="7">
        <v>46121</v>
      </c>
      <c r="K235" s="4" t="s">
        <v>81</v>
      </c>
    </row>
    <row r="236" spans="1:11" x14ac:dyDescent="0.3">
      <c r="A236" s="9">
        <v>1235</v>
      </c>
      <c r="B236" s="9" t="s">
        <v>54</v>
      </c>
      <c r="C236" s="4" t="s">
        <v>27</v>
      </c>
      <c r="D236" s="4" t="s">
        <v>20</v>
      </c>
      <c r="E236" s="4" t="s">
        <v>48</v>
      </c>
      <c r="F236" s="4">
        <v>15</v>
      </c>
      <c r="G236" s="4">
        <v>267</v>
      </c>
      <c r="H236" s="4">
        <v>15</v>
      </c>
      <c r="I236" s="7">
        <v>46172</v>
      </c>
      <c r="J236" s="7">
        <v>46177</v>
      </c>
      <c r="K236" s="4" t="s">
        <v>49</v>
      </c>
    </row>
    <row r="237" spans="1:11" x14ac:dyDescent="0.3">
      <c r="A237" s="9">
        <v>1236</v>
      </c>
      <c r="B237" s="9" t="s">
        <v>52</v>
      </c>
      <c r="C237" s="4" t="s">
        <v>42</v>
      </c>
      <c r="D237" s="4" t="s">
        <v>20</v>
      </c>
      <c r="E237" s="4" t="s">
        <v>37</v>
      </c>
      <c r="F237" s="4">
        <v>12</v>
      </c>
      <c r="G237" s="4">
        <v>189</v>
      </c>
      <c r="H237" s="4">
        <v>7</v>
      </c>
      <c r="I237" s="7">
        <v>46164</v>
      </c>
      <c r="J237" s="7">
        <v>46169</v>
      </c>
      <c r="K237" s="4" t="s">
        <v>49</v>
      </c>
    </row>
    <row r="238" spans="1:11" x14ac:dyDescent="0.3">
      <c r="A238" s="9">
        <v>1237</v>
      </c>
      <c r="B238" s="9" t="s">
        <v>44</v>
      </c>
      <c r="C238" s="4" t="s">
        <v>38</v>
      </c>
      <c r="D238" s="4" t="s">
        <v>24</v>
      </c>
      <c r="E238" s="4" t="s">
        <v>11</v>
      </c>
      <c r="F238" s="4">
        <v>8</v>
      </c>
      <c r="G238" s="4">
        <v>12123</v>
      </c>
      <c r="H238" s="4">
        <v>2</v>
      </c>
      <c r="I238" s="7">
        <v>46137</v>
      </c>
      <c r="J238" s="7">
        <v>46145</v>
      </c>
      <c r="K238" s="4" t="s">
        <v>78</v>
      </c>
    </row>
    <row r="239" spans="1:11" x14ac:dyDescent="0.3">
      <c r="A239" s="9">
        <v>1238</v>
      </c>
      <c r="B239" s="9" t="s">
        <v>30</v>
      </c>
      <c r="C239" s="4" t="s">
        <v>31</v>
      </c>
      <c r="D239" s="4" t="s">
        <v>20</v>
      </c>
      <c r="E239" s="4" t="s">
        <v>21</v>
      </c>
      <c r="F239" s="4">
        <v>6</v>
      </c>
      <c r="G239" s="4">
        <v>180</v>
      </c>
      <c r="H239" s="4">
        <v>12</v>
      </c>
      <c r="I239" s="7">
        <v>46096</v>
      </c>
      <c r="J239" s="7">
        <v>46097</v>
      </c>
      <c r="K239" s="4" t="s">
        <v>81</v>
      </c>
    </row>
    <row r="240" spans="1:11" x14ac:dyDescent="0.3">
      <c r="A240" s="9">
        <v>1239</v>
      </c>
      <c r="B240" s="9" t="s">
        <v>46</v>
      </c>
      <c r="C240" s="4" t="s">
        <v>23</v>
      </c>
      <c r="D240" s="4" t="s">
        <v>24</v>
      </c>
      <c r="E240" s="4" t="s">
        <v>11</v>
      </c>
      <c r="F240" s="4">
        <v>2</v>
      </c>
      <c r="G240" s="4">
        <v>12330</v>
      </c>
      <c r="H240" s="4">
        <v>12</v>
      </c>
      <c r="I240" s="7">
        <v>46122</v>
      </c>
      <c r="J240" s="7">
        <v>46125</v>
      </c>
      <c r="K240" s="4" t="s">
        <v>78</v>
      </c>
    </row>
    <row r="241" spans="1:11" x14ac:dyDescent="0.3">
      <c r="A241" s="9">
        <v>1240</v>
      </c>
      <c r="B241" s="9" t="s">
        <v>53</v>
      </c>
      <c r="C241" s="4" t="s">
        <v>33</v>
      </c>
      <c r="D241" s="4" t="s">
        <v>24</v>
      </c>
      <c r="E241" s="4" t="s">
        <v>10</v>
      </c>
      <c r="F241" s="4">
        <v>2</v>
      </c>
      <c r="G241" s="4">
        <v>5475</v>
      </c>
      <c r="H241" s="4">
        <v>2</v>
      </c>
      <c r="I241" s="7">
        <v>46142</v>
      </c>
      <c r="J241" s="7">
        <v>46146</v>
      </c>
      <c r="K241" s="4" t="s">
        <v>49</v>
      </c>
    </row>
    <row r="242" spans="1:11" x14ac:dyDescent="0.3">
      <c r="A242" s="9">
        <v>1241</v>
      </c>
      <c r="B242" s="9" t="s">
        <v>44</v>
      </c>
      <c r="C242" s="4" t="s">
        <v>31</v>
      </c>
      <c r="D242" s="4" t="s">
        <v>24</v>
      </c>
      <c r="E242" s="4" t="s">
        <v>43</v>
      </c>
      <c r="F242" s="4">
        <v>1</v>
      </c>
      <c r="G242" s="4">
        <v>12537</v>
      </c>
      <c r="H242" s="4">
        <v>0</v>
      </c>
      <c r="I242" s="7">
        <v>46119</v>
      </c>
      <c r="J242" s="7">
        <v>46122</v>
      </c>
      <c r="K242" s="4" t="s">
        <v>78</v>
      </c>
    </row>
    <row r="243" spans="1:11" x14ac:dyDescent="0.3">
      <c r="A243" s="9">
        <v>1242</v>
      </c>
      <c r="B243" s="9" t="s">
        <v>52</v>
      </c>
      <c r="C243" s="4" t="s">
        <v>38</v>
      </c>
      <c r="D243" s="4" t="s">
        <v>20</v>
      </c>
      <c r="E243" s="4" t="s">
        <v>48</v>
      </c>
      <c r="F243" s="4">
        <v>7</v>
      </c>
      <c r="G243" s="4">
        <v>168</v>
      </c>
      <c r="H243" s="4">
        <v>10</v>
      </c>
      <c r="I243" s="7">
        <v>46191</v>
      </c>
      <c r="J243" s="7">
        <v>46196</v>
      </c>
      <c r="K243" s="4" t="s">
        <v>81</v>
      </c>
    </row>
    <row r="244" spans="1:11" x14ac:dyDescent="0.3">
      <c r="A244" s="9">
        <v>1243</v>
      </c>
      <c r="B244" s="9" t="s">
        <v>30</v>
      </c>
      <c r="C244" s="4" t="s">
        <v>31</v>
      </c>
      <c r="D244" s="4" t="s">
        <v>34</v>
      </c>
      <c r="E244" s="4" t="s">
        <v>40</v>
      </c>
      <c r="F244" s="4">
        <v>5</v>
      </c>
      <c r="G244" s="4">
        <v>11570</v>
      </c>
      <c r="H244" s="4">
        <v>15</v>
      </c>
      <c r="I244" s="7">
        <v>46069</v>
      </c>
      <c r="J244" s="7">
        <v>46077</v>
      </c>
      <c r="K244" s="4" t="s">
        <v>80</v>
      </c>
    </row>
    <row r="245" spans="1:11" x14ac:dyDescent="0.3">
      <c r="A245" s="9">
        <v>1244</v>
      </c>
      <c r="B245" s="9" t="s">
        <v>54</v>
      </c>
      <c r="C245" s="4" t="s">
        <v>38</v>
      </c>
      <c r="D245" s="4" t="s">
        <v>24</v>
      </c>
      <c r="E245" s="4" t="s">
        <v>8</v>
      </c>
      <c r="F245" s="4">
        <v>10</v>
      </c>
      <c r="G245" s="4">
        <v>6339</v>
      </c>
      <c r="H245" s="4">
        <v>12</v>
      </c>
      <c r="I245" s="7">
        <v>46200</v>
      </c>
      <c r="J245" s="7">
        <v>46205</v>
      </c>
      <c r="K245" s="4" t="s">
        <v>78</v>
      </c>
    </row>
    <row r="246" spans="1:11" x14ac:dyDescent="0.3">
      <c r="A246" s="9">
        <v>1245</v>
      </c>
      <c r="B246" s="9" t="s">
        <v>53</v>
      </c>
      <c r="C246" s="4" t="s">
        <v>42</v>
      </c>
      <c r="D246" s="4" t="s">
        <v>34</v>
      </c>
      <c r="E246" s="4" t="s">
        <v>40</v>
      </c>
      <c r="F246" s="4">
        <v>19</v>
      </c>
      <c r="G246" s="4">
        <v>69029</v>
      </c>
      <c r="H246" s="4">
        <v>7</v>
      </c>
      <c r="I246" s="7">
        <v>46176</v>
      </c>
      <c r="J246" s="7">
        <v>46179</v>
      </c>
      <c r="K246" s="4" t="s">
        <v>49</v>
      </c>
    </row>
    <row r="247" spans="1:11" x14ac:dyDescent="0.3">
      <c r="A247" s="9">
        <v>1246</v>
      </c>
      <c r="B247" s="9" t="s">
        <v>53</v>
      </c>
      <c r="C247" s="4" t="s">
        <v>26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7">
        <v>46039</v>
      </c>
      <c r="J247" s="7">
        <v>46045</v>
      </c>
      <c r="K247" s="4" t="s">
        <v>81</v>
      </c>
    </row>
    <row r="248" spans="1:11" x14ac:dyDescent="0.3">
      <c r="A248" s="9">
        <v>1247</v>
      </c>
      <c r="B248" s="9" t="s">
        <v>28</v>
      </c>
      <c r="C248" s="4" t="s">
        <v>19</v>
      </c>
      <c r="D248" s="4" t="s">
        <v>20</v>
      </c>
      <c r="E248" s="4" t="s">
        <v>48</v>
      </c>
      <c r="F248" s="4">
        <v>10</v>
      </c>
      <c r="G248" s="4">
        <v>336</v>
      </c>
      <c r="H248" s="4">
        <v>7</v>
      </c>
      <c r="I248" s="7">
        <v>46173</v>
      </c>
      <c r="J248" s="7">
        <v>46175</v>
      </c>
      <c r="K248" s="4" t="s">
        <v>79</v>
      </c>
    </row>
    <row r="249" spans="1:11" x14ac:dyDescent="0.3">
      <c r="A249" s="9">
        <v>1248</v>
      </c>
      <c r="B249" s="9" t="s">
        <v>29</v>
      </c>
      <c r="C249" s="4" t="s">
        <v>42</v>
      </c>
      <c r="D249" s="4" t="s">
        <v>20</v>
      </c>
      <c r="E249" s="4" t="s">
        <v>37</v>
      </c>
      <c r="F249" s="4">
        <v>5</v>
      </c>
      <c r="G249" s="4">
        <v>398</v>
      </c>
      <c r="H249" s="4">
        <v>7</v>
      </c>
      <c r="I249" s="7">
        <v>46161</v>
      </c>
      <c r="J249" s="7">
        <v>46171</v>
      </c>
      <c r="K249" s="4" t="s">
        <v>49</v>
      </c>
    </row>
    <row r="250" spans="1:11" x14ac:dyDescent="0.3">
      <c r="A250" s="9">
        <v>1249</v>
      </c>
      <c r="B250" s="9" t="s">
        <v>22</v>
      </c>
      <c r="C250" s="4" t="s">
        <v>27</v>
      </c>
      <c r="D250" s="4" t="s">
        <v>34</v>
      </c>
      <c r="E250" s="4" t="s">
        <v>40</v>
      </c>
      <c r="F250" s="4">
        <v>18</v>
      </c>
      <c r="G250" s="4">
        <v>6360</v>
      </c>
      <c r="H250" s="4">
        <v>12</v>
      </c>
      <c r="I250" s="7">
        <v>46163</v>
      </c>
      <c r="J250" s="7">
        <v>46165</v>
      </c>
      <c r="K250" s="4" t="s">
        <v>79</v>
      </c>
    </row>
    <row r="251" spans="1:11" x14ac:dyDescent="0.3">
      <c r="A251" s="9">
        <v>1250</v>
      </c>
      <c r="B251" s="9" t="s">
        <v>18</v>
      </c>
      <c r="C251" s="4" t="s">
        <v>23</v>
      </c>
      <c r="D251" s="4" t="s">
        <v>34</v>
      </c>
      <c r="E251" s="4" t="s">
        <v>6</v>
      </c>
      <c r="F251" s="4">
        <v>2</v>
      </c>
      <c r="G251" s="4">
        <v>65953</v>
      </c>
      <c r="H251" s="4">
        <v>7</v>
      </c>
      <c r="I251" s="7">
        <v>46051</v>
      </c>
      <c r="J251" s="7">
        <v>46053</v>
      </c>
      <c r="K251" s="4" t="s">
        <v>49</v>
      </c>
    </row>
    <row r="252" spans="1:11" x14ac:dyDescent="0.3">
      <c r="A252" s="9">
        <v>1251</v>
      </c>
      <c r="B252" s="9" t="s">
        <v>53</v>
      </c>
      <c r="C252" s="4" t="s">
        <v>38</v>
      </c>
      <c r="D252" s="4" t="s">
        <v>34</v>
      </c>
      <c r="E252" s="4" t="s">
        <v>12</v>
      </c>
      <c r="F252" s="4">
        <v>19</v>
      </c>
      <c r="G252" s="4">
        <v>48548</v>
      </c>
      <c r="H252" s="4">
        <v>0</v>
      </c>
      <c r="I252" s="7">
        <v>46112</v>
      </c>
      <c r="J252" s="7">
        <v>46121</v>
      </c>
      <c r="K252" s="4" t="s">
        <v>81</v>
      </c>
    </row>
    <row r="253" spans="1:11" x14ac:dyDescent="0.3">
      <c r="A253" s="9">
        <v>1252</v>
      </c>
      <c r="B253" s="9" t="s">
        <v>45</v>
      </c>
      <c r="C253" s="4" t="s">
        <v>27</v>
      </c>
      <c r="D253" s="4" t="s">
        <v>20</v>
      </c>
      <c r="E253" s="4" t="s">
        <v>36</v>
      </c>
      <c r="F253" s="4">
        <v>15</v>
      </c>
      <c r="G253" s="4">
        <v>257</v>
      </c>
      <c r="H253" s="4">
        <v>5</v>
      </c>
      <c r="I253" s="7">
        <v>46166</v>
      </c>
      <c r="J253" s="7">
        <v>46173</v>
      </c>
      <c r="K253" s="4" t="s">
        <v>79</v>
      </c>
    </row>
    <row r="254" spans="1:11" x14ac:dyDescent="0.3">
      <c r="A254" s="9">
        <v>1253</v>
      </c>
      <c r="B254" s="9" t="s">
        <v>25</v>
      </c>
      <c r="C254" s="4" t="s">
        <v>31</v>
      </c>
      <c r="D254" s="4" t="s">
        <v>34</v>
      </c>
      <c r="E254" s="4" t="s">
        <v>6</v>
      </c>
      <c r="F254" s="4">
        <v>20</v>
      </c>
      <c r="G254" s="4">
        <v>47880</v>
      </c>
      <c r="H254" s="4">
        <v>7</v>
      </c>
      <c r="I254" s="7">
        <v>46074</v>
      </c>
      <c r="J254" s="7">
        <v>46075</v>
      </c>
      <c r="K254" s="4" t="s">
        <v>49</v>
      </c>
    </row>
    <row r="255" spans="1:11" x14ac:dyDescent="0.3">
      <c r="A255" s="9">
        <v>1254</v>
      </c>
      <c r="B255" s="9" t="s">
        <v>50</v>
      </c>
      <c r="C255" s="4" t="s">
        <v>26</v>
      </c>
      <c r="D255" s="4" t="s">
        <v>20</v>
      </c>
      <c r="E255" s="4" t="s">
        <v>48</v>
      </c>
      <c r="F255" s="4">
        <v>18</v>
      </c>
      <c r="G255" s="4">
        <v>447</v>
      </c>
      <c r="H255" s="4">
        <v>15</v>
      </c>
      <c r="I255" s="7">
        <v>46141</v>
      </c>
      <c r="J255" s="7">
        <v>46149</v>
      </c>
      <c r="K255" s="4" t="s">
        <v>80</v>
      </c>
    </row>
    <row r="256" spans="1:11" x14ac:dyDescent="0.3">
      <c r="A256" s="9">
        <v>1255</v>
      </c>
      <c r="B256" s="9" t="s">
        <v>32</v>
      </c>
      <c r="C256" s="4" t="s">
        <v>23</v>
      </c>
      <c r="D256" s="4" t="s">
        <v>24</v>
      </c>
      <c r="E256" s="4" t="s">
        <v>7</v>
      </c>
      <c r="F256" s="4">
        <v>1</v>
      </c>
      <c r="G256" s="4">
        <v>2240</v>
      </c>
      <c r="H256" s="4">
        <v>5</v>
      </c>
      <c r="I256" s="7">
        <v>46091</v>
      </c>
      <c r="J256" s="7">
        <v>46095</v>
      </c>
      <c r="K256" s="4" t="s">
        <v>79</v>
      </c>
    </row>
    <row r="257" spans="1:11" x14ac:dyDescent="0.3">
      <c r="A257" s="9">
        <v>1256</v>
      </c>
      <c r="B257" s="9" t="s">
        <v>46</v>
      </c>
      <c r="C257" s="4" t="s">
        <v>31</v>
      </c>
      <c r="D257" s="4" t="s">
        <v>20</v>
      </c>
      <c r="E257" s="4" t="s">
        <v>48</v>
      </c>
      <c r="F257" s="4">
        <v>19</v>
      </c>
      <c r="G257" s="4">
        <v>406</v>
      </c>
      <c r="H257" s="4">
        <v>7</v>
      </c>
      <c r="I257" s="7">
        <v>46057</v>
      </c>
      <c r="J257" s="7">
        <v>46061</v>
      </c>
      <c r="K257" s="4" t="s">
        <v>78</v>
      </c>
    </row>
    <row r="258" spans="1:11" x14ac:dyDescent="0.3">
      <c r="A258" s="9">
        <v>1257</v>
      </c>
      <c r="B258" s="9" t="s">
        <v>52</v>
      </c>
      <c r="C258" s="4" t="s">
        <v>27</v>
      </c>
      <c r="D258" s="4" t="s">
        <v>34</v>
      </c>
      <c r="E258" s="4" t="s">
        <v>12</v>
      </c>
      <c r="F258" s="4">
        <v>7</v>
      </c>
      <c r="G258" s="4">
        <v>53243</v>
      </c>
      <c r="H258" s="4">
        <v>12</v>
      </c>
      <c r="I258" s="7">
        <v>46161</v>
      </c>
      <c r="J258" s="7">
        <v>46171</v>
      </c>
      <c r="K258" s="4" t="s">
        <v>78</v>
      </c>
    </row>
    <row r="259" spans="1:11" x14ac:dyDescent="0.3">
      <c r="A259" s="9">
        <v>1258</v>
      </c>
      <c r="B259" s="9" t="s">
        <v>32</v>
      </c>
      <c r="C259" s="4" t="s">
        <v>31</v>
      </c>
      <c r="D259" s="4" t="s">
        <v>34</v>
      </c>
      <c r="E259" s="4" t="s">
        <v>9</v>
      </c>
      <c r="F259" s="4">
        <v>1</v>
      </c>
      <c r="G259" s="4">
        <v>10600</v>
      </c>
      <c r="H259" s="4">
        <v>5</v>
      </c>
      <c r="I259" s="7">
        <v>46137</v>
      </c>
      <c r="J259" s="7">
        <v>46138</v>
      </c>
      <c r="K259" s="4" t="s">
        <v>49</v>
      </c>
    </row>
    <row r="260" spans="1:11" x14ac:dyDescent="0.3">
      <c r="A260" s="9">
        <v>1259</v>
      </c>
      <c r="B260" s="9" t="s">
        <v>41</v>
      </c>
      <c r="C260" s="4" t="s">
        <v>26</v>
      </c>
      <c r="D260" s="4" t="s">
        <v>34</v>
      </c>
      <c r="E260" s="4" t="s">
        <v>6</v>
      </c>
      <c r="F260" s="4">
        <v>10</v>
      </c>
      <c r="G260" s="4">
        <v>38771</v>
      </c>
      <c r="H260" s="4">
        <v>15</v>
      </c>
      <c r="I260" s="7">
        <v>46172</v>
      </c>
      <c r="J260" s="7">
        <v>46182</v>
      </c>
      <c r="K260" s="4" t="s">
        <v>78</v>
      </c>
    </row>
    <row r="261" spans="1:11" x14ac:dyDescent="0.3">
      <c r="A261" s="9">
        <v>1260</v>
      </c>
      <c r="B261" s="9" t="s">
        <v>52</v>
      </c>
      <c r="C261" s="4" t="s">
        <v>38</v>
      </c>
      <c r="D261" s="4" t="s">
        <v>34</v>
      </c>
      <c r="E261" s="4" t="s">
        <v>40</v>
      </c>
      <c r="F261" s="4">
        <v>19</v>
      </c>
      <c r="G261" s="4">
        <v>54981</v>
      </c>
      <c r="H261" s="4">
        <v>10</v>
      </c>
      <c r="I261" s="7">
        <v>46040</v>
      </c>
      <c r="J261" s="7">
        <v>46045</v>
      </c>
      <c r="K261" s="4" t="s">
        <v>49</v>
      </c>
    </row>
    <row r="262" spans="1:11" x14ac:dyDescent="0.3">
      <c r="A262" s="9">
        <v>1261</v>
      </c>
      <c r="B262" s="9" t="s">
        <v>39</v>
      </c>
      <c r="C262" s="4" t="s">
        <v>23</v>
      </c>
      <c r="D262" s="4" t="s">
        <v>20</v>
      </c>
      <c r="E262" s="4" t="s">
        <v>48</v>
      </c>
      <c r="F262" s="4">
        <v>20</v>
      </c>
      <c r="G262" s="4">
        <v>162</v>
      </c>
      <c r="H262" s="4">
        <v>7</v>
      </c>
      <c r="I262" s="7">
        <v>46119</v>
      </c>
      <c r="J262" s="7">
        <v>46120</v>
      </c>
      <c r="K262" s="4" t="s">
        <v>81</v>
      </c>
    </row>
    <row r="263" spans="1:11" x14ac:dyDescent="0.3">
      <c r="A263" s="9">
        <v>1262</v>
      </c>
      <c r="B263" s="9" t="s">
        <v>22</v>
      </c>
      <c r="C263" s="4" t="s">
        <v>26</v>
      </c>
      <c r="D263" s="4" t="s">
        <v>24</v>
      </c>
      <c r="E263" s="4" t="s">
        <v>8</v>
      </c>
      <c r="F263" s="4">
        <v>9</v>
      </c>
      <c r="G263" s="4">
        <v>2231</v>
      </c>
      <c r="H263" s="4">
        <v>15</v>
      </c>
      <c r="I263" s="7">
        <v>46174</v>
      </c>
      <c r="J263" s="7">
        <v>46183</v>
      </c>
      <c r="K263" s="4" t="s">
        <v>78</v>
      </c>
    </row>
    <row r="264" spans="1:11" x14ac:dyDescent="0.3">
      <c r="A264" s="9">
        <v>1263</v>
      </c>
      <c r="B264" s="9" t="s">
        <v>49</v>
      </c>
      <c r="C264" s="4" t="s">
        <v>38</v>
      </c>
      <c r="D264" s="4" t="s">
        <v>24</v>
      </c>
      <c r="E264" s="4" t="s">
        <v>8</v>
      </c>
      <c r="F264" s="4">
        <v>10</v>
      </c>
      <c r="G264" s="4">
        <v>1505</v>
      </c>
      <c r="H264" s="4">
        <v>0</v>
      </c>
      <c r="I264" s="7">
        <v>46130</v>
      </c>
      <c r="J264" s="7">
        <v>46138</v>
      </c>
      <c r="K264" s="4" t="s">
        <v>81</v>
      </c>
    </row>
    <row r="265" spans="1:11" x14ac:dyDescent="0.3">
      <c r="A265" s="9">
        <v>1264</v>
      </c>
      <c r="B265" s="9" t="s">
        <v>18</v>
      </c>
      <c r="C265" s="4" t="s">
        <v>26</v>
      </c>
      <c r="D265" s="4" t="s">
        <v>24</v>
      </c>
      <c r="E265" s="4" t="s">
        <v>8</v>
      </c>
      <c r="F265" s="4">
        <v>15</v>
      </c>
      <c r="G265" s="4">
        <v>6365</v>
      </c>
      <c r="H265" s="4">
        <v>10</v>
      </c>
      <c r="I265" s="7">
        <v>46200</v>
      </c>
      <c r="J265" s="7">
        <v>46206</v>
      </c>
      <c r="K265" s="4" t="s">
        <v>79</v>
      </c>
    </row>
    <row r="266" spans="1:11" x14ac:dyDescent="0.3">
      <c r="A266" s="9">
        <v>1265</v>
      </c>
      <c r="B266" s="9" t="s">
        <v>55</v>
      </c>
      <c r="C266" s="4" t="s">
        <v>26</v>
      </c>
      <c r="D266" s="4" t="s">
        <v>24</v>
      </c>
      <c r="E266" s="4" t="s">
        <v>7</v>
      </c>
      <c r="F266" s="4">
        <v>1</v>
      </c>
      <c r="G266" s="4">
        <v>1052</v>
      </c>
      <c r="H266" s="4">
        <v>7</v>
      </c>
      <c r="I266" s="7">
        <v>46117</v>
      </c>
      <c r="J266" s="7">
        <v>46127</v>
      </c>
      <c r="K266" s="4" t="s">
        <v>81</v>
      </c>
    </row>
    <row r="267" spans="1:11" x14ac:dyDescent="0.3">
      <c r="A267" s="9">
        <v>1266</v>
      </c>
      <c r="B267" s="9" t="s">
        <v>49</v>
      </c>
      <c r="C267" s="4" t="s">
        <v>33</v>
      </c>
      <c r="D267" s="4" t="s">
        <v>20</v>
      </c>
      <c r="E267" s="4" t="s">
        <v>21</v>
      </c>
      <c r="F267" s="4">
        <v>17</v>
      </c>
      <c r="G267" s="4">
        <v>365</v>
      </c>
      <c r="H267" s="4">
        <v>2</v>
      </c>
      <c r="I267" s="7">
        <v>46096</v>
      </c>
      <c r="J267" s="7">
        <v>46104</v>
      </c>
      <c r="K267" s="4" t="s">
        <v>81</v>
      </c>
    </row>
    <row r="268" spans="1:11" x14ac:dyDescent="0.3">
      <c r="A268" s="9">
        <v>1267</v>
      </c>
      <c r="B268" s="9" t="s">
        <v>29</v>
      </c>
      <c r="C268" s="4" t="s">
        <v>38</v>
      </c>
      <c r="D268" s="4" t="s">
        <v>20</v>
      </c>
      <c r="E268" s="4" t="s">
        <v>48</v>
      </c>
      <c r="F268" s="4">
        <v>1</v>
      </c>
      <c r="G268" s="4">
        <v>50</v>
      </c>
      <c r="H268" s="4">
        <v>0</v>
      </c>
      <c r="I268" s="7">
        <v>46129</v>
      </c>
      <c r="J268" s="7">
        <v>46138</v>
      </c>
      <c r="K268" s="4" t="s">
        <v>79</v>
      </c>
    </row>
    <row r="269" spans="1:11" x14ac:dyDescent="0.3">
      <c r="A269" s="9">
        <v>1268</v>
      </c>
      <c r="B269" s="9" t="s">
        <v>41</v>
      </c>
      <c r="C269" s="4" t="s">
        <v>38</v>
      </c>
      <c r="D269" s="4" t="s">
        <v>34</v>
      </c>
      <c r="E269" s="4" t="s">
        <v>6</v>
      </c>
      <c r="F269" s="4">
        <v>10</v>
      </c>
      <c r="G269" s="4">
        <v>46291</v>
      </c>
      <c r="H269" s="4">
        <v>12</v>
      </c>
      <c r="I269" s="7">
        <v>46199</v>
      </c>
      <c r="J269" s="7">
        <v>46202</v>
      </c>
      <c r="K269" s="4" t="s">
        <v>79</v>
      </c>
    </row>
    <row r="270" spans="1:11" x14ac:dyDescent="0.3">
      <c r="A270" s="9">
        <v>1269</v>
      </c>
      <c r="B270" s="9" t="s">
        <v>50</v>
      </c>
      <c r="C270" s="4" t="s">
        <v>42</v>
      </c>
      <c r="D270" s="4" t="s">
        <v>24</v>
      </c>
      <c r="E270" s="4" t="s">
        <v>7</v>
      </c>
      <c r="F270" s="4">
        <v>14</v>
      </c>
      <c r="G270" s="4">
        <v>5704</v>
      </c>
      <c r="H270" s="4">
        <v>2</v>
      </c>
      <c r="I270" s="7">
        <v>46129</v>
      </c>
      <c r="J270" s="7">
        <v>46131</v>
      </c>
      <c r="K270" s="4" t="s">
        <v>78</v>
      </c>
    </row>
    <row r="271" spans="1:11" x14ac:dyDescent="0.3">
      <c r="A271" s="9">
        <v>1270</v>
      </c>
      <c r="B271" s="9" t="s">
        <v>47</v>
      </c>
      <c r="C271" s="4" t="s">
        <v>42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7">
        <v>46135</v>
      </c>
      <c r="J271" s="7">
        <v>46141</v>
      </c>
      <c r="K271" s="4" t="s">
        <v>81</v>
      </c>
    </row>
    <row r="272" spans="1:11" x14ac:dyDescent="0.3">
      <c r="A272" s="9">
        <v>1271</v>
      </c>
      <c r="B272" s="9" t="s">
        <v>39</v>
      </c>
      <c r="C272" s="4" t="s">
        <v>33</v>
      </c>
      <c r="D272" s="4" t="s">
        <v>34</v>
      </c>
      <c r="E272" s="4" t="s">
        <v>9</v>
      </c>
      <c r="F272" s="4">
        <v>20</v>
      </c>
      <c r="G272" s="4">
        <v>36941</v>
      </c>
      <c r="H272" s="4">
        <v>15</v>
      </c>
      <c r="I272" s="7">
        <v>46083</v>
      </c>
      <c r="J272" s="7">
        <v>46085</v>
      </c>
      <c r="K272" s="4" t="s">
        <v>49</v>
      </c>
    </row>
    <row r="273" spans="1:11" x14ac:dyDescent="0.3">
      <c r="A273" s="9">
        <v>1272</v>
      </c>
      <c r="B273" s="9" t="s">
        <v>50</v>
      </c>
      <c r="C273" s="4" t="s">
        <v>38</v>
      </c>
      <c r="D273" s="4" t="s">
        <v>34</v>
      </c>
      <c r="E273" s="4" t="s">
        <v>40</v>
      </c>
      <c r="F273" s="4">
        <v>13</v>
      </c>
      <c r="G273" s="4">
        <v>42179</v>
      </c>
      <c r="H273" s="4">
        <v>0</v>
      </c>
      <c r="I273" s="7">
        <v>46078</v>
      </c>
      <c r="J273" s="7">
        <v>46084</v>
      </c>
      <c r="K273" s="4" t="s">
        <v>79</v>
      </c>
    </row>
    <row r="274" spans="1:11" x14ac:dyDescent="0.3">
      <c r="A274" s="9">
        <v>1273</v>
      </c>
      <c r="B274" s="9" t="s">
        <v>44</v>
      </c>
      <c r="C274" s="4" t="s">
        <v>27</v>
      </c>
      <c r="D274" s="4" t="s">
        <v>34</v>
      </c>
      <c r="E274" s="4" t="s">
        <v>5</v>
      </c>
      <c r="F274" s="4">
        <v>12</v>
      </c>
      <c r="G274" s="4">
        <v>20618</v>
      </c>
      <c r="H274" s="4">
        <v>12</v>
      </c>
      <c r="I274" s="7">
        <v>46172</v>
      </c>
      <c r="J274" s="7">
        <v>46174</v>
      </c>
      <c r="K274" s="4" t="s">
        <v>79</v>
      </c>
    </row>
    <row r="275" spans="1:11" x14ac:dyDescent="0.3">
      <c r="A275" s="9">
        <v>1274</v>
      </c>
      <c r="B275" s="9" t="s">
        <v>28</v>
      </c>
      <c r="C275" s="4" t="s">
        <v>27</v>
      </c>
      <c r="D275" s="4" t="s">
        <v>34</v>
      </c>
      <c r="E275" s="4" t="s">
        <v>40</v>
      </c>
      <c r="F275" s="4">
        <v>13</v>
      </c>
      <c r="G275" s="4">
        <v>36652</v>
      </c>
      <c r="H275" s="4">
        <v>12</v>
      </c>
      <c r="I275" s="7">
        <v>46179</v>
      </c>
      <c r="J275" s="7">
        <v>46186</v>
      </c>
      <c r="K275" s="4" t="s">
        <v>79</v>
      </c>
    </row>
    <row r="276" spans="1:11" x14ac:dyDescent="0.3">
      <c r="A276" s="9">
        <v>1275</v>
      </c>
      <c r="B276" s="9" t="s">
        <v>22</v>
      </c>
      <c r="C276" s="4" t="s">
        <v>31</v>
      </c>
      <c r="D276" s="4" t="s">
        <v>20</v>
      </c>
      <c r="E276" s="4" t="s">
        <v>48</v>
      </c>
      <c r="F276" s="4">
        <v>20</v>
      </c>
      <c r="G276" s="4">
        <v>451</v>
      </c>
      <c r="H276" s="4">
        <v>15</v>
      </c>
      <c r="I276" s="7">
        <v>46092</v>
      </c>
      <c r="J276" s="7">
        <v>46094</v>
      </c>
      <c r="K276" s="4" t="s">
        <v>79</v>
      </c>
    </row>
    <row r="277" spans="1:11" x14ac:dyDescent="0.3">
      <c r="A277" s="9">
        <v>1276</v>
      </c>
      <c r="B277" s="9" t="s">
        <v>39</v>
      </c>
      <c r="C277" s="4" t="s">
        <v>19</v>
      </c>
      <c r="D277" s="4" t="s">
        <v>24</v>
      </c>
      <c r="E277" s="4" t="s">
        <v>7</v>
      </c>
      <c r="F277" s="4">
        <v>1</v>
      </c>
      <c r="G277" s="4">
        <v>13437</v>
      </c>
      <c r="H277" s="4">
        <v>15</v>
      </c>
      <c r="I277" s="7">
        <v>46097</v>
      </c>
      <c r="J277" s="7">
        <v>46099</v>
      </c>
      <c r="K277" s="4" t="s">
        <v>80</v>
      </c>
    </row>
    <row r="278" spans="1:11" x14ac:dyDescent="0.3">
      <c r="A278" s="9">
        <v>1277</v>
      </c>
      <c r="B278" s="9" t="s">
        <v>56</v>
      </c>
      <c r="C278" s="4" t="s">
        <v>23</v>
      </c>
      <c r="D278" s="4" t="s">
        <v>20</v>
      </c>
      <c r="E278" s="4" t="s">
        <v>36</v>
      </c>
      <c r="F278" s="4">
        <v>14</v>
      </c>
      <c r="G278" s="4">
        <v>276</v>
      </c>
      <c r="H278" s="4">
        <v>0</v>
      </c>
      <c r="I278" s="7">
        <v>46086</v>
      </c>
      <c r="J278" s="7">
        <v>46089</v>
      </c>
      <c r="K278" s="4" t="s">
        <v>78</v>
      </c>
    </row>
    <row r="279" spans="1:11" x14ac:dyDescent="0.3">
      <c r="A279" s="9">
        <v>1278</v>
      </c>
      <c r="B279" s="9" t="s">
        <v>45</v>
      </c>
      <c r="C279" s="4" t="s">
        <v>26</v>
      </c>
      <c r="D279" s="4" t="s">
        <v>34</v>
      </c>
      <c r="E279" s="4" t="s">
        <v>12</v>
      </c>
      <c r="F279" s="4">
        <v>4</v>
      </c>
      <c r="G279" s="4">
        <v>20639</v>
      </c>
      <c r="H279" s="4">
        <v>7</v>
      </c>
      <c r="I279" s="7">
        <v>46180</v>
      </c>
      <c r="J279" s="7">
        <v>46186</v>
      </c>
      <c r="K279" s="4" t="s">
        <v>79</v>
      </c>
    </row>
    <row r="280" spans="1:11" x14ac:dyDescent="0.3">
      <c r="A280" s="9">
        <v>1279</v>
      </c>
      <c r="B280" s="9" t="s">
        <v>53</v>
      </c>
      <c r="C280" s="4" t="s">
        <v>33</v>
      </c>
      <c r="D280" s="4" t="s">
        <v>34</v>
      </c>
      <c r="E280" s="4" t="s">
        <v>6</v>
      </c>
      <c r="F280" s="4">
        <v>20</v>
      </c>
      <c r="G280" s="4">
        <v>49042</v>
      </c>
      <c r="H280" s="4">
        <v>2</v>
      </c>
      <c r="I280" s="7">
        <v>46124</v>
      </c>
      <c r="J280" s="7">
        <v>46126</v>
      </c>
      <c r="K280" s="4" t="s">
        <v>78</v>
      </c>
    </row>
    <row r="281" spans="1:11" x14ac:dyDescent="0.3">
      <c r="A281" s="9">
        <v>1280</v>
      </c>
      <c r="B281" s="9" t="s">
        <v>56</v>
      </c>
      <c r="C281" s="4" t="s">
        <v>38</v>
      </c>
      <c r="D281" s="4" t="s">
        <v>20</v>
      </c>
      <c r="E281" s="4" t="s">
        <v>51</v>
      </c>
      <c r="F281" s="4">
        <v>9</v>
      </c>
      <c r="G281" s="4">
        <v>50</v>
      </c>
      <c r="H281" s="4">
        <v>7</v>
      </c>
      <c r="I281" s="7">
        <v>46085</v>
      </c>
      <c r="J281" s="7">
        <v>46095</v>
      </c>
      <c r="K281" s="4" t="s">
        <v>81</v>
      </c>
    </row>
    <row r="282" spans="1:11" x14ac:dyDescent="0.3">
      <c r="A282" s="9">
        <v>1281</v>
      </c>
      <c r="B282" s="9" t="s">
        <v>53</v>
      </c>
      <c r="C282" s="4" t="s">
        <v>23</v>
      </c>
      <c r="D282" s="4" t="s">
        <v>20</v>
      </c>
      <c r="E282" s="4" t="s">
        <v>48</v>
      </c>
      <c r="F282" s="4">
        <v>6</v>
      </c>
      <c r="G282" s="4">
        <v>253</v>
      </c>
      <c r="H282" s="4">
        <v>0</v>
      </c>
      <c r="I282" s="7">
        <v>46055</v>
      </c>
      <c r="J282" s="7">
        <v>46063</v>
      </c>
      <c r="K282" s="4" t="s">
        <v>80</v>
      </c>
    </row>
    <row r="283" spans="1:11" x14ac:dyDescent="0.3">
      <c r="A283" s="9">
        <v>1282</v>
      </c>
      <c r="B283" s="9" t="s">
        <v>54</v>
      </c>
      <c r="C283" s="4" t="s">
        <v>42</v>
      </c>
      <c r="D283" s="4" t="s">
        <v>24</v>
      </c>
      <c r="E283" s="4" t="s">
        <v>43</v>
      </c>
      <c r="F283" s="4">
        <v>12</v>
      </c>
      <c r="G283" s="4">
        <v>3178</v>
      </c>
      <c r="H283" s="4">
        <v>10</v>
      </c>
      <c r="I283" s="7">
        <v>46176</v>
      </c>
      <c r="J283" s="7">
        <v>46177</v>
      </c>
      <c r="K283" s="4" t="s">
        <v>49</v>
      </c>
    </row>
    <row r="284" spans="1:11" x14ac:dyDescent="0.3">
      <c r="A284" s="9">
        <v>1283</v>
      </c>
      <c r="B284" s="9" t="s">
        <v>39</v>
      </c>
      <c r="C284" s="4" t="s">
        <v>19</v>
      </c>
      <c r="D284" s="4" t="s">
        <v>24</v>
      </c>
      <c r="E284" s="4" t="s">
        <v>10</v>
      </c>
      <c r="F284" s="4">
        <v>6</v>
      </c>
      <c r="G284" s="4">
        <v>1167</v>
      </c>
      <c r="H284" s="4">
        <v>2</v>
      </c>
      <c r="I284" s="7">
        <v>46100</v>
      </c>
      <c r="J284" s="7">
        <v>46106</v>
      </c>
      <c r="K284" s="4" t="s">
        <v>78</v>
      </c>
    </row>
    <row r="285" spans="1:11" x14ac:dyDescent="0.3">
      <c r="A285" s="9">
        <v>1284</v>
      </c>
      <c r="B285" s="9" t="s">
        <v>39</v>
      </c>
      <c r="C285" s="4" t="s">
        <v>27</v>
      </c>
      <c r="D285" s="4" t="s">
        <v>20</v>
      </c>
      <c r="E285" s="4" t="s">
        <v>37</v>
      </c>
      <c r="F285" s="4">
        <v>16</v>
      </c>
      <c r="G285" s="4">
        <v>419</v>
      </c>
      <c r="H285" s="4">
        <v>2</v>
      </c>
      <c r="I285" s="7">
        <v>46082</v>
      </c>
      <c r="J285" s="7">
        <v>46090</v>
      </c>
      <c r="K285" s="4" t="s">
        <v>78</v>
      </c>
    </row>
    <row r="286" spans="1:11" x14ac:dyDescent="0.3">
      <c r="A286" s="9">
        <v>1285</v>
      </c>
      <c r="B286" s="9" t="s">
        <v>32</v>
      </c>
      <c r="C286" s="4" t="s">
        <v>38</v>
      </c>
      <c r="D286" s="4" t="s">
        <v>20</v>
      </c>
      <c r="E286" s="4" t="s">
        <v>36</v>
      </c>
      <c r="F286" s="4">
        <v>7</v>
      </c>
      <c r="G286" s="4">
        <v>439</v>
      </c>
      <c r="H286" s="4">
        <v>15</v>
      </c>
      <c r="I286" s="7">
        <v>46055</v>
      </c>
      <c r="J286" s="7">
        <v>46058</v>
      </c>
      <c r="K286" s="4" t="s">
        <v>79</v>
      </c>
    </row>
    <row r="287" spans="1:11" x14ac:dyDescent="0.3">
      <c r="A287" s="9">
        <v>1286</v>
      </c>
      <c r="B287" s="9" t="s">
        <v>44</v>
      </c>
      <c r="C287" s="4" t="s">
        <v>23</v>
      </c>
      <c r="D287" s="4" t="s">
        <v>24</v>
      </c>
      <c r="E287" s="4" t="s">
        <v>11</v>
      </c>
      <c r="F287" s="4">
        <v>9</v>
      </c>
      <c r="G287" s="4">
        <v>1340</v>
      </c>
      <c r="H287" s="4">
        <v>2</v>
      </c>
      <c r="I287" s="7">
        <v>46168</v>
      </c>
      <c r="J287" s="7">
        <v>46173</v>
      </c>
      <c r="K287" s="4" t="s">
        <v>78</v>
      </c>
    </row>
    <row r="288" spans="1:11" x14ac:dyDescent="0.3">
      <c r="A288" s="9">
        <v>1287</v>
      </c>
      <c r="B288" s="9" t="s">
        <v>56</v>
      </c>
      <c r="C288" s="4" t="s">
        <v>31</v>
      </c>
      <c r="D288" s="4" t="s">
        <v>20</v>
      </c>
      <c r="E288" s="4" t="s">
        <v>21</v>
      </c>
      <c r="F288" s="4">
        <v>15</v>
      </c>
      <c r="G288" s="4">
        <v>251</v>
      </c>
      <c r="H288" s="4">
        <v>2</v>
      </c>
      <c r="I288" s="7">
        <v>46116</v>
      </c>
      <c r="J288" s="7">
        <v>46122</v>
      </c>
      <c r="K288" s="4" t="s">
        <v>81</v>
      </c>
    </row>
    <row r="289" spans="1:11" x14ac:dyDescent="0.3">
      <c r="A289" s="9">
        <v>1288</v>
      </c>
      <c r="B289" s="9" t="s">
        <v>52</v>
      </c>
      <c r="C289" s="4" t="s">
        <v>26</v>
      </c>
      <c r="D289" s="4" t="s">
        <v>34</v>
      </c>
      <c r="E289" s="4" t="s">
        <v>9</v>
      </c>
      <c r="F289" s="4">
        <v>14</v>
      </c>
      <c r="G289" s="4">
        <v>35601</v>
      </c>
      <c r="H289" s="4">
        <v>10</v>
      </c>
      <c r="I289" s="7">
        <v>46179</v>
      </c>
      <c r="J289" s="7">
        <v>46187</v>
      </c>
      <c r="K289" s="4" t="s">
        <v>49</v>
      </c>
    </row>
    <row r="290" spans="1:11" x14ac:dyDescent="0.3">
      <c r="A290" s="9">
        <v>1289</v>
      </c>
      <c r="B290" s="9" t="s">
        <v>28</v>
      </c>
      <c r="C290" s="4" t="s">
        <v>26</v>
      </c>
      <c r="D290" s="4" t="s">
        <v>34</v>
      </c>
      <c r="E290" s="4" t="s">
        <v>6</v>
      </c>
      <c r="F290" s="4">
        <v>19</v>
      </c>
      <c r="G290" s="4">
        <v>25336</v>
      </c>
      <c r="H290" s="4">
        <v>2</v>
      </c>
      <c r="I290" s="7">
        <v>46122</v>
      </c>
      <c r="J290" s="7">
        <v>46130</v>
      </c>
      <c r="K290" s="4" t="s">
        <v>80</v>
      </c>
    </row>
    <row r="291" spans="1:11" x14ac:dyDescent="0.3">
      <c r="A291" s="9">
        <v>1290</v>
      </c>
      <c r="B291" s="9" t="s">
        <v>28</v>
      </c>
      <c r="C291" s="4" t="s">
        <v>26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7">
        <v>46110</v>
      </c>
      <c r="J291" s="7">
        <v>46111</v>
      </c>
      <c r="K291" s="4" t="s">
        <v>49</v>
      </c>
    </row>
    <row r="292" spans="1:11" x14ac:dyDescent="0.3">
      <c r="A292" s="9">
        <v>1291</v>
      </c>
      <c r="B292" s="9" t="s">
        <v>25</v>
      </c>
      <c r="C292" s="4" t="s">
        <v>23</v>
      </c>
      <c r="D292" s="4" t="s">
        <v>20</v>
      </c>
      <c r="E292" s="4" t="s">
        <v>36</v>
      </c>
      <c r="F292" s="4">
        <v>17</v>
      </c>
      <c r="G292" s="4">
        <v>415</v>
      </c>
      <c r="H292" s="4">
        <v>5</v>
      </c>
      <c r="I292" s="7">
        <v>46137</v>
      </c>
      <c r="J292" s="7">
        <v>46141</v>
      </c>
      <c r="K292" s="4" t="s">
        <v>79</v>
      </c>
    </row>
    <row r="293" spans="1:11" x14ac:dyDescent="0.3">
      <c r="A293" s="9">
        <v>1292</v>
      </c>
      <c r="B293" s="9" t="s">
        <v>52</v>
      </c>
      <c r="C293" s="4" t="s">
        <v>33</v>
      </c>
      <c r="D293" s="4" t="s">
        <v>34</v>
      </c>
      <c r="E293" s="4" t="s">
        <v>12</v>
      </c>
      <c r="F293" s="4">
        <v>11</v>
      </c>
      <c r="G293" s="4">
        <v>25158</v>
      </c>
      <c r="H293" s="4">
        <v>5</v>
      </c>
      <c r="I293" s="7">
        <v>46186</v>
      </c>
      <c r="J293" s="7">
        <v>46193</v>
      </c>
      <c r="K293" s="4" t="s">
        <v>79</v>
      </c>
    </row>
    <row r="294" spans="1:11" x14ac:dyDescent="0.3">
      <c r="A294" s="9">
        <v>1293</v>
      </c>
      <c r="B294" s="9" t="s">
        <v>47</v>
      </c>
      <c r="C294" s="4" t="s">
        <v>42</v>
      </c>
      <c r="D294" s="4" t="s">
        <v>24</v>
      </c>
      <c r="E294" s="4" t="s">
        <v>10</v>
      </c>
      <c r="F294" s="4">
        <v>7</v>
      </c>
      <c r="G294" s="4">
        <v>11481</v>
      </c>
      <c r="H294" s="4">
        <v>15</v>
      </c>
      <c r="I294" s="7">
        <v>46045</v>
      </c>
      <c r="J294" s="7">
        <v>46050</v>
      </c>
      <c r="K294" s="4" t="s">
        <v>79</v>
      </c>
    </row>
    <row r="295" spans="1:11" x14ac:dyDescent="0.3">
      <c r="A295" s="9">
        <v>1294</v>
      </c>
      <c r="B295" s="9" t="s">
        <v>25</v>
      </c>
      <c r="C295" s="4" t="s">
        <v>19</v>
      </c>
      <c r="D295" s="4" t="s">
        <v>24</v>
      </c>
      <c r="E295" s="4" t="s">
        <v>7</v>
      </c>
      <c r="F295" s="4">
        <v>8</v>
      </c>
      <c r="G295" s="4">
        <v>14448</v>
      </c>
      <c r="H295" s="4">
        <v>10</v>
      </c>
      <c r="I295" s="7">
        <v>46181</v>
      </c>
      <c r="J295" s="7">
        <v>46189</v>
      </c>
      <c r="K295" s="4" t="s">
        <v>78</v>
      </c>
    </row>
    <row r="296" spans="1:11" x14ac:dyDescent="0.3">
      <c r="A296" s="9">
        <v>1295</v>
      </c>
      <c r="B296" s="9" t="s">
        <v>50</v>
      </c>
      <c r="C296" s="4" t="s">
        <v>38</v>
      </c>
      <c r="D296" s="4" t="s">
        <v>24</v>
      </c>
      <c r="E296" s="4" t="s">
        <v>8</v>
      </c>
      <c r="F296" s="4">
        <v>16</v>
      </c>
      <c r="G296" s="4">
        <v>11935</v>
      </c>
      <c r="H296" s="4">
        <v>12</v>
      </c>
      <c r="I296" s="7">
        <v>46157</v>
      </c>
      <c r="J296" s="7">
        <v>46162</v>
      </c>
      <c r="K296" s="4" t="s">
        <v>78</v>
      </c>
    </row>
    <row r="297" spans="1:11" x14ac:dyDescent="0.3">
      <c r="A297" s="9">
        <v>1296</v>
      </c>
      <c r="B297" s="9" t="s">
        <v>28</v>
      </c>
      <c r="C297" s="4" t="s">
        <v>38</v>
      </c>
      <c r="D297" s="4" t="s">
        <v>20</v>
      </c>
      <c r="E297" s="4" t="s">
        <v>48</v>
      </c>
      <c r="F297" s="4">
        <v>6</v>
      </c>
      <c r="G297" s="4">
        <v>201</v>
      </c>
      <c r="H297" s="4">
        <v>0</v>
      </c>
      <c r="I297" s="7">
        <v>46063</v>
      </c>
      <c r="J297" s="7">
        <v>46072</v>
      </c>
      <c r="K297" s="4" t="s">
        <v>81</v>
      </c>
    </row>
    <row r="298" spans="1:11" x14ac:dyDescent="0.3">
      <c r="A298" s="9">
        <v>1297</v>
      </c>
      <c r="B298" s="9" t="s">
        <v>52</v>
      </c>
      <c r="C298" s="4" t="s">
        <v>27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7">
        <v>46178</v>
      </c>
      <c r="J298" s="7">
        <v>46187</v>
      </c>
      <c r="K298" s="4" t="s">
        <v>49</v>
      </c>
    </row>
    <row r="299" spans="1:11" x14ac:dyDescent="0.3">
      <c r="A299" s="9">
        <v>1298</v>
      </c>
      <c r="B299" s="9" t="s">
        <v>25</v>
      </c>
      <c r="C299" s="4" t="s">
        <v>19</v>
      </c>
      <c r="D299" s="4" t="s">
        <v>34</v>
      </c>
      <c r="E299" s="4" t="s">
        <v>12</v>
      </c>
      <c r="F299" s="4">
        <v>19</v>
      </c>
      <c r="G299" s="4">
        <v>20745</v>
      </c>
      <c r="H299" s="4">
        <v>2</v>
      </c>
      <c r="I299" s="7">
        <v>46083</v>
      </c>
      <c r="J299" s="7">
        <v>46093</v>
      </c>
      <c r="K299" s="4" t="s">
        <v>80</v>
      </c>
    </row>
    <row r="300" spans="1:11" x14ac:dyDescent="0.3">
      <c r="A300" s="9">
        <v>1299</v>
      </c>
      <c r="B300" s="9" t="s">
        <v>28</v>
      </c>
      <c r="C300" s="4" t="s">
        <v>23</v>
      </c>
      <c r="D300" s="4" t="s">
        <v>24</v>
      </c>
      <c r="E300" s="4" t="s">
        <v>11</v>
      </c>
      <c r="F300" s="4">
        <v>8</v>
      </c>
      <c r="G300" s="4">
        <v>8783</v>
      </c>
      <c r="H300" s="4">
        <v>2</v>
      </c>
      <c r="I300" s="7">
        <v>46123</v>
      </c>
      <c r="J300" s="7">
        <v>46132</v>
      </c>
      <c r="K300" s="4" t="s">
        <v>78</v>
      </c>
    </row>
    <row r="301" spans="1:11" x14ac:dyDescent="0.3">
      <c r="A301" s="9">
        <v>1300</v>
      </c>
      <c r="B301" s="9" t="s">
        <v>45</v>
      </c>
      <c r="C301" s="4" t="s">
        <v>33</v>
      </c>
      <c r="D301" s="4" t="s">
        <v>34</v>
      </c>
      <c r="E301" s="4" t="s">
        <v>6</v>
      </c>
      <c r="F301" s="4">
        <v>20</v>
      </c>
      <c r="G301" s="4">
        <v>1392</v>
      </c>
      <c r="H301" s="4">
        <v>2</v>
      </c>
      <c r="I301" s="7">
        <v>46110</v>
      </c>
      <c r="J301" s="7">
        <v>46117</v>
      </c>
      <c r="K301" s="4" t="s">
        <v>80</v>
      </c>
    </row>
    <row r="302" spans="1:11" x14ac:dyDescent="0.3">
      <c r="A302" s="9">
        <v>1301</v>
      </c>
      <c r="B302" s="9" t="s">
        <v>52</v>
      </c>
      <c r="C302" s="4" t="s">
        <v>23</v>
      </c>
      <c r="D302" s="4" t="s">
        <v>24</v>
      </c>
      <c r="E302" s="4" t="s">
        <v>8</v>
      </c>
      <c r="F302" s="4">
        <v>3</v>
      </c>
      <c r="G302" s="4">
        <v>7020</v>
      </c>
      <c r="H302" s="4">
        <v>10</v>
      </c>
      <c r="I302" s="7">
        <v>46028</v>
      </c>
      <c r="J302" s="7">
        <v>46038</v>
      </c>
      <c r="K302" s="4" t="s">
        <v>80</v>
      </c>
    </row>
    <row r="303" spans="1:11" x14ac:dyDescent="0.3">
      <c r="A303" s="9">
        <v>1302</v>
      </c>
      <c r="B303" s="9" t="s">
        <v>54</v>
      </c>
      <c r="C303" s="4" t="s">
        <v>19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7">
        <v>46163</v>
      </c>
      <c r="J303" s="7">
        <v>46172</v>
      </c>
      <c r="K303" s="4" t="s">
        <v>80</v>
      </c>
    </row>
    <row r="304" spans="1:11" x14ac:dyDescent="0.3">
      <c r="A304" s="9">
        <v>1303</v>
      </c>
      <c r="B304" s="9" t="s">
        <v>54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7">
        <v>46124</v>
      </c>
      <c r="J304" s="7">
        <v>46127</v>
      </c>
      <c r="K304" s="4" t="s">
        <v>78</v>
      </c>
    </row>
    <row r="305" spans="1:11" x14ac:dyDescent="0.3">
      <c r="A305" s="9">
        <v>1304</v>
      </c>
      <c r="B305" s="9" t="s">
        <v>56</v>
      </c>
      <c r="C305" s="4" t="s">
        <v>27</v>
      </c>
      <c r="D305" s="4" t="s">
        <v>20</v>
      </c>
      <c r="E305" s="4" t="s">
        <v>36</v>
      </c>
      <c r="F305" s="4">
        <v>20</v>
      </c>
      <c r="G305" s="4">
        <v>368</v>
      </c>
      <c r="H305" s="4">
        <v>7</v>
      </c>
      <c r="I305" s="7">
        <v>46042</v>
      </c>
      <c r="J305" s="7">
        <v>46051</v>
      </c>
      <c r="K305" s="4" t="s">
        <v>81</v>
      </c>
    </row>
    <row r="306" spans="1:11" x14ac:dyDescent="0.3">
      <c r="A306" s="9">
        <v>1305</v>
      </c>
      <c r="B306" s="9" t="s">
        <v>55</v>
      </c>
      <c r="C306" s="4" t="s">
        <v>31</v>
      </c>
      <c r="D306" s="4" t="s">
        <v>34</v>
      </c>
      <c r="E306" s="4" t="s">
        <v>9</v>
      </c>
      <c r="F306" s="4">
        <v>20</v>
      </c>
      <c r="G306" s="4">
        <v>31406</v>
      </c>
      <c r="H306" s="4">
        <v>15</v>
      </c>
      <c r="I306" s="7">
        <v>46146</v>
      </c>
      <c r="J306" s="7">
        <v>46154</v>
      </c>
      <c r="K306" s="4" t="s">
        <v>81</v>
      </c>
    </row>
    <row r="307" spans="1:11" x14ac:dyDescent="0.3">
      <c r="A307" s="9">
        <v>1306</v>
      </c>
      <c r="B307" s="9" t="s">
        <v>52</v>
      </c>
      <c r="C307" s="4" t="s">
        <v>42</v>
      </c>
      <c r="D307" s="4" t="s">
        <v>20</v>
      </c>
      <c r="E307" s="4" t="s">
        <v>36</v>
      </c>
      <c r="F307" s="4">
        <v>1</v>
      </c>
      <c r="G307" s="4">
        <v>332</v>
      </c>
      <c r="H307" s="4">
        <v>0</v>
      </c>
      <c r="I307" s="7">
        <v>46191</v>
      </c>
      <c r="J307" s="7">
        <v>46194</v>
      </c>
      <c r="K307" s="4" t="s">
        <v>79</v>
      </c>
    </row>
    <row r="308" spans="1:11" x14ac:dyDescent="0.3">
      <c r="A308" s="9">
        <v>1307</v>
      </c>
      <c r="B308" s="9" t="s">
        <v>54</v>
      </c>
      <c r="C308" s="4" t="s">
        <v>42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7">
        <v>46048</v>
      </c>
      <c r="J308" s="7">
        <v>46051</v>
      </c>
      <c r="K308" s="4" t="s">
        <v>81</v>
      </c>
    </row>
    <row r="309" spans="1:11" x14ac:dyDescent="0.3">
      <c r="A309" s="9">
        <v>1308</v>
      </c>
      <c r="B309" s="9" t="s">
        <v>30</v>
      </c>
      <c r="C309" s="4" t="s">
        <v>26</v>
      </c>
      <c r="D309" s="4" t="s">
        <v>34</v>
      </c>
      <c r="E309" s="4" t="s">
        <v>40</v>
      </c>
      <c r="F309" s="4">
        <v>12</v>
      </c>
      <c r="G309" s="4">
        <v>66075</v>
      </c>
      <c r="H309" s="4">
        <v>5</v>
      </c>
      <c r="I309" s="7">
        <v>46129</v>
      </c>
      <c r="J309" s="7">
        <v>46135</v>
      </c>
      <c r="K309" s="4" t="s">
        <v>79</v>
      </c>
    </row>
    <row r="310" spans="1:11" x14ac:dyDescent="0.3">
      <c r="A310" s="9">
        <v>1309</v>
      </c>
      <c r="B310" s="9" t="s">
        <v>49</v>
      </c>
      <c r="C310" s="4" t="s">
        <v>31</v>
      </c>
      <c r="D310" s="4" t="s">
        <v>20</v>
      </c>
      <c r="E310" s="4" t="s">
        <v>48</v>
      </c>
      <c r="F310" s="4">
        <v>2</v>
      </c>
      <c r="G310" s="4">
        <v>35</v>
      </c>
      <c r="H310" s="4">
        <v>5</v>
      </c>
      <c r="I310" s="7">
        <v>46197</v>
      </c>
      <c r="J310" s="7">
        <v>46198</v>
      </c>
      <c r="K310" s="4" t="s">
        <v>80</v>
      </c>
    </row>
    <row r="311" spans="1:11" x14ac:dyDescent="0.3">
      <c r="A311" s="9">
        <v>1310</v>
      </c>
      <c r="B311" s="9" t="s">
        <v>47</v>
      </c>
      <c r="C311" s="4" t="s">
        <v>23</v>
      </c>
      <c r="D311" s="4" t="s">
        <v>24</v>
      </c>
      <c r="E311" s="4" t="s">
        <v>11</v>
      </c>
      <c r="F311" s="4">
        <v>19</v>
      </c>
      <c r="G311" s="4">
        <v>12691</v>
      </c>
      <c r="H311" s="4">
        <v>0</v>
      </c>
      <c r="I311" s="7">
        <v>46181</v>
      </c>
      <c r="J311" s="7">
        <v>46189</v>
      </c>
      <c r="K311" s="4" t="s">
        <v>49</v>
      </c>
    </row>
    <row r="312" spans="1:11" x14ac:dyDescent="0.3">
      <c r="A312" s="9">
        <v>1311</v>
      </c>
      <c r="B312" s="9" t="s">
        <v>53</v>
      </c>
      <c r="C312" s="4" t="s">
        <v>19</v>
      </c>
      <c r="D312" s="4" t="s">
        <v>20</v>
      </c>
      <c r="E312" s="4" t="s">
        <v>21</v>
      </c>
      <c r="F312" s="4">
        <v>2</v>
      </c>
      <c r="G312" s="4">
        <v>209</v>
      </c>
      <c r="H312" s="4">
        <v>0</v>
      </c>
      <c r="I312" s="7">
        <v>46173</v>
      </c>
      <c r="J312" s="7">
        <v>46176</v>
      </c>
      <c r="K312" s="4" t="s">
        <v>79</v>
      </c>
    </row>
    <row r="313" spans="1:11" x14ac:dyDescent="0.3">
      <c r="A313" s="9">
        <v>1312</v>
      </c>
      <c r="B313" s="9" t="s">
        <v>54</v>
      </c>
      <c r="C313" s="4" t="s">
        <v>26</v>
      </c>
      <c r="D313" s="4" t="s">
        <v>24</v>
      </c>
      <c r="E313" s="4" t="s">
        <v>11</v>
      </c>
      <c r="F313" s="4">
        <v>20</v>
      </c>
      <c r="G313" s="4">
        <v>3274</v>
      </c>
      <c r="H313" s="4">
        <v>2</v>
      </c>
      <c r="I313" s="7">
        <v>46148</v>
      </c>
      <c r="J313" s="7">
        <v>46156</v>
      </c>
      <c r="K313" s="4" t="s">
        <v>80</v>
      </c>
    </row>
    <row r="314" spans="1:11" x14ac:dyDescent="0.3">
      <c r="A314" s="9">
        <v>1313</v>
      </c>
      <c r="B314" s="9" t="s">
        <v>56</v>
      </c>
      <c r="C314" s="4" t="s">
        <v>26</v>
      </c>
      <c r="D314" s="4" t="s">
        <v>24</v>
      </c>
      <c r="E314" s="4" t="s">
        <v>11</v>
      </c>
      <c r="F314" s="4">
        <v>6</v>
      </c>
      <c r="G314" s="4">
        <v>10864</v>
      </c>
      <c r="H314" s="4">
        <v>10</v>
      </c>
      <c r="I314" s="7">
        <v>46041</v>
      </c>
      <c r="J314" s="7">
        <v>46049</v>
      </c>
      <c r="K314" s="4" t="s">
        <v>78</v>
      </c>
    </row>
    <row r="315" spans="1:11" x14ac:dyDescent="0.3">
      <c r="A315" s="9">
        <v>1314</v>
      </c>
      <c r="B315" s="9" t="s">
        <v>50</v>
      </c>
      <c r="C315" s="4" t="s">
        <v>33</v>
      </c>
      <c r="D315" s="4" t="s">
        <v>24</v>
      </c>
      <c r="E315" s="4" t="s">
        <v>7</v>
      </c>
      <c r="F315" s="4">
        <v>10</v>
      </c>
      <c r="G315" s="4">
        <v>6328</v>
      </c>
      <c r="H315" s="4">
        <v>2</v>
      </c>
      <c r="I315" s="7">
        <v>46196</v>
      </c>
      <c r="J315" s="7">
        <v>46197</v>
      </c>
      <c r="K315" s="4" t="s">
        <v>49</v>
      </c>
    </row>
    <row r="316" spans="1:11" x14ac:dyDescent="0.3">
      <c r="A316" s="9">
        <v>1315</v>
      </c>
      <c r="B316" s="9" t="s">
        <v>47</v>
      </c>
      <c r="C316" s="4" t="s">
        <v>31</v>
      </c>
      <c r="D316" s="4" t="s">
        <v>34</v>
      </c>
      <c r="E316" s="4" t="s">
        <v>40</v>
      </c>
      <c r="F316" s="4">
        <v>14</v>
      </c>
      <c r="G316" s="4">
        <v>57670</v>
      </c>
      <c r="H316" s="4">
        <v>2</v>
      </c>
      <c r="I316" s="7">
        <v>46186</v>
      </c>
      <c r="J316" s="7">
        <v>46196</v>
      </c>
      <c r="K316" s="4" t="s">
        <v>78</v>
      </c>
    </row>
    <row r="317" spans="1:11" x14ac:dyDescent="0.3">
      <c r="A317" s="9">
        <v>1316</v>
      </c>
      <c r="B317" s="9" t="s">
        <v>44</v>
      </c>
      <c r="C317" s="4" t="s">
        <v>19</v>
      </c>
      <c r="D317" s="4" t="s">
        <v>24</v>
      </c>
      <c r="E317" s="4" t="s">
        <v>8</v>
      </c>
      <c r="F317" s="4">
        <v>7</v>
      </c>
      <c r="G317" s="4">
        <v>9838</v>
      </c>
      <c r="H317" s="4">
        <v>7</v>
      </c>
      <c r="I317" s="7">
        <v>46078</v>
      </c>
      <c r="J317" s="7">
        <v>46085</v>
      </c>
      <c r="K317" s="4" t="s">
        <v>79</v>
      </c>
    </row>
    <row r="318" spans="1:11" x14ac:dyDescent="0.3">
      <c r="A318" s="9">
        <v>1317</v>
      </c>
      <c r="B318" s="9" t="s">
        <v>56</v>
      </c>
      <c r="C318" s="4" t="s">
        <v>33</v>
      </c>
      <c r="D318" s="4" t="s">
        <v>34</v>
      </c>
      <c r="E318" s="4" t="s">
        <v>40</v>
      </c>
      <c r="F318" s="4">
        <v>7</v>
      </c>
      <c r="G318" s="4">
        <v>67339</v>
      </c>
      <c r="H318" s="4">
        <v>5</v>
      </c>
      <c r="I318" s="7">
        <v>46159</v>
      </c>
      <c r="J318" s="7">
        <v>46169</v>
      </c>
      <c r="K318" s="4" t="s">
        <v>81</v>
      </c>
    </row>
    <row r="319" spans="1:11" x14ac:dyDescent="0.3">
      <c r="A319" s="9">
        <v>1318</v>
      </c>
      <c r="B319" s="9" t="s">
        <v>18</v>
      </c>
      <c r="C319" s="4" t="s">
        <v>42</v>
      </c>
      <c r="D319" s="4" t="s">
        <v>20</v>
      </c>
      <c r="E319" s="4" t="s">
        <v>48</v>
      </c>
      <c r="F319" s="4">
        <v>4</v>
      </c>
      <c r="G319" s="4">
        <v>38</v>
      </c>
      <c r="H319" s="4">
        <v>12</v>
      </c>
      <c r="I319" s="7">
        <v>46169</v>
      </c>
      <c r="J319" s="7">
        <v>46175</v>
      </c>
      <c r="K319" s="4" t="s">
        <v>49</v>
      </c>
    </row>
    <row r="320" spans="1:11" x14ac:dyDescent="0.3">
      <c r="A320" s="9">
        <v>1319</v>
      </c>
      <c r="B320" s="9" t="s">
        <v>25</v>
      </c>
      <c r="C320" s="4" t="s">
        <v>23</v>
      </c>
      <c r="D320" s="4" t="s">
        <v>34</v>
      </c>
      <c r="E320" s="4" t="s">
        <v>12</v>
      </c>
      <c r="F320" s="4">
        <v>17</v>
      </c>
      <c r="G320" s="4">
        <v>58407</v>
      </c>
      <c r="H320" s="4">
        <v>7</v>
      </c>
      <c r="I320" s="7">
        <v>46094</v>
      </c>
      <c r="J320" s="7">
        <v>46102</v>
      </c>
      <c r="K320" s="4" t="s">
        <v>78</v>
      </c>
    </row>
    <row r="321" spans="1:11" x14ac:dyDescent="0.3">
      <c r="A321" s="9">
        <v>1320</v>
      </c>
      <c r="B321" s="9" t="s">
        <v>45</v>
      </c>
      <c r="C321" s="4" t="s">
        <v>38</v>
      </c>
      <c r="D321" s="4" t="s">
        <v>20</v>
      </c>
      <c r="E321" s="4" t="s">
        <v>36</v>
      </c>
      <c r="F321" s="4">
        <v>20</v>
      </c>
      <c r="G321" s="4">
        <v>55</v>
      </c>
      <c r="H321" s="4">
        <v>7</v>
      </c>
      <c r="I321" s="7">
        <v>46183</v>
      </c>
      <c r="J321" s="7">
        <v>46186</v>
      </c>
      <c r="K321" s="4" t="s">
        <v>79</v>
      </c>
    </row>
    <row r="322" spans="1:11" x14ac:dyDescent="0.3">
      <c r="A322" s="9">
        <v>1321</v>
      </c>
      <c r="B322" s="9" t="s">
        <v>32</v>
      </c>
      <c r="C322" s="4" t="s">
        <v>26</v>
      </c>
      <c r="D322" s="4" t="s">
        <v>24</v>
      </c>
      <c r="E322" s="4" t="s">
        <v>7</v>
      </c>
      <c r="F322" s="4">
        <v>8</v>
      </c>
      <c r="G322" s="4">
        <v>5619</v>
      </c>
      <c r="H322" s="4">
        <v>7</v>
      </c>
      <c r="I322" s="7">
        <v>46107</v>
      </c>
      <c r="J322" s="7">
        <v>46109</v>
      </c>
      <c r="K322" s="4" t="s">
        <v>81</v>
      </c>
    </row>
    <row r="323" spans="1:11" x14ac:dyDescent="0.3">
      <c r="A323" s="9">
        <v>1322</v>
      </c>
      <c r="B323" s="9" t="s">
        <v>29</v>
      </c>
      <c r="C323" s="4" t="s">
        <v>19</v>
      </c>
      <c r="D323" s="4" t="s">
        <v>24</v>
      </c>
      <c r="E323" s="4" t="s">
        <v>10</v>
      </c>
      <c r="F323" s="4">
        <v>14</v>
      </c>
      <c r="G323" s="4">
        <v>9081</v>
      </c>
      <c r="H323" s="4">
        <v>15</v>
      </c>
      <c r="I323" s="7">
        <v>46141</v>
      </c>
      <c r="J323" s="7">
        <v>46146</v>
      </c>
      <c r="K323" s="4" t="s">
        <v>78</v>
      </c>
    </row>
    <row r="324" spans="1:11" x14ac:dyDescent="0.3">
      <c r="A324" s="9">
        <v>1323</v>
      </c>
      <c r="B324" s="9" t="s">
        <v>54</v>
      </c>
      <c r="C324" s="4" t="s">
        <v>38</v>
      </c>
      <c r="D324" s="4" t="s">
        <v>34</v>
      </c>
      <c r="E324" s="4" t="s">
        <v>12</v>
      </c>
      <c r="F324" s="4">
        <v>2</v>
      </c>
      <c r="G324" s="4">
        <v>32074</v>
      </c>
      <c r="H324" s="4">
        <v>10</v>
      </c>
      <c r="I324" s="7">
        <v>46073</v>
      </c>
      <c r="J324" s="7">
        <v>46078</v>
      </c>
      <c r="K324" s="4" t="s">
        <v>78</v>
      </c>
    </row>
    <row r="325" spans="1:11" x14ac:dyDescent="0.3">
      <c r="A325" s="9">
        <v>1324</v>
      </c>
      <c r="B325" s="9" t="s">
        <v>32</v>
      </c>
      <c r="C325" s="4" t="s">
        <v>26</v>
      </c>
      <c r="D325" s="4" t="s">
        <v>24</v>
      </c>
      <c r="E325" s="4" t="s">
        <v>7</v>
      </c>
      <c r="F325" s="4">
        <v>1</v>
      </c>
      <c r="G325" s="4">
        <v>4286</v>
      </c>
      <c r="H325" s="4">
        <v>15</v>
      </c>
      <c r="I325" s="7">
        <v>46053</v>
      </c>
      <c r="J325" s="7">
        <v>46056</v>
      </c>
      <c r="K325" s="4" t="s">
        <v>79</v>
      </c>
    </row>
    <row r="326" spans="1:11" x14ac:dyDescent="0.3">
      <c r="A326" s="9">
        <v>1325</v>
      </c>
      <c r="B326" s="9" t="s">
        <v>46</v>
      </c>
      <c r="C326" s="4" t="s">
        <v>42</v>
      </c>
      <c r="D326" s="4" t="s">
        <v>34</v>
      </c>
      <c r="E326" s="4" t="s">
        <v>5</v>
      </c>
      <c r="F326" s="4">
        <v>9</v>
      </c>
      <c r="G326" s="4">
        <v>58442</v>
      </c>
      <c r="H326" s="4">
        <v>12</v>
      </c>
      <c r="I326" s="7">
        <v>46076</v>
      </c>
      <c r="J326" s="7">
        <v>46085</v>
      </c>
      <c r="K326" s="4" t="s">
        <v>79</v>
      </c>
    </row>
    <row r="327" spans="1:11" x14ac:dyDescent="0.3">
      <c r="A327" s="9">
        <v>1326</v>
      </c>
      <c r="B327" s="9" t="s">
        <v>28</v>
      </c>
      <c r="C327" s="4" t="s">
        <v>23</v>
      </c>
      <c r="D327" s="4" t="s">
        <v>24</v>
      </c>
      <c r="E327" s="4" t="s">
        <v>43</v>
      </c>
      <c r="F327" s="4">
        <v>18</v>
      </c>
      <c r="G327" s="4">
        <v>1830</v>
      </c>
      <c r="H327" s="4">
        <v>10</v>
      </c>
      <c r="I327" s="7">
        <v>46165</v>
      </c>
      <c r="J327" s="7">
        <v>46172</v>
      </c>
      <c r="K327" s="4" t="s">
        <v>78</v>
      </c>
    </row>
    <row r="328" spans="1:11" x14ac:dyDescent="0.3">
      <c r="A328" s="9">
        <v>1327</v>
      </c>
      <c r="B328" s="9" t="s">
        <v>46</v>
      </c>
      <c r="C328" s="4" t="s">
        <v>19</v>
      </c>
      <c r="D328" s="4" t="s">
        <v>20</v>
      </c>
      <c r="E328" s="4" t="s">
        <v>51</v>
      </c>
      <c r="F328" s="4">
        <v>15</v>
      </c>
      <c r="G328" s="4">
        <v>449</v>
      </c>
      <c r="H328" s="4">
        <v>5</v>
      </c>
      <c r="I328" s="7">
        <v>46152</v>
      </c>
      <c r="J328" s="7">
        <v>46153</v>
      </c>
      <c r="K328" s="4" t="s">
        <v>78</v>
      </c>
    </row>
    <row r="329" spans="1:11" x14ac:dyDescent="0.3">
      <c r="A329" s="9">
        <v>1328</v>
      </c>
      <c r="B329" s="9" t="s">
        <v>22</v>
      </c>
      <c r="C329" s="4" t="s">
        <v>38</v>
      </c>
      <c r="D329" s="4" t="s">
        <v>20</v>
      </c>
      <c r="E329" s="4" t="s">
        <v>36</v>
      </c>
      <c r="F329" s="4">
        <v>4</v>
      </c>
      <c r="G329" s="4">
        <v>132</v>
      </c>
      <c r="H329" s="4">
        <v>0</v>
      </c>
      <c r="I329" s="7">
        <v>46109</v>
      </c>
      <c r="J329" s="7">
        <v>46114</v>
      </c>
      <c r="K329" s="4" t="s">
        <v>49</v>
      </c>
    </row>
    <row r="330" spans="1:11" x14ac:dyDescent="0.3">
      <c r="A330" s="9">
        <v>1329</v>
      </c>
      <c r="B330" s="9" t="s">
        <v>30</v>
      </c>
      <c r="C330" s="4" t="s">
        <v>42</v>
      </c>
      <c r="D330" s="4" t="s">
        <v>20</v>
      </c>
      <c r="E330" s="4" t="s">
        <v>51</v>
      </c>
      <c r="F330" s="4">
        <v>18</v>
      </c>
      <c r="G330" s="4">
        <v>227</v>
      </c>
      <c r="H330" s="4">
        <v>5</v>
      </c>
      <c r="I330" s="7">
        <v>46126</v>
      </c>
      <c r="J330" s="7">
        <v>46136</v>
      </c>
      <c r="K330" s="4" t="s">
        <v>49</v>
      </c>
    </row>
    <row r="331" spans="1:11" x14ac:dyDescent="0.3">
      <c r="A331" s="9">
        <v>1330</v>
      </c>
      <c r="B331" s="9" t="s">
        <v>47</v>
      </c>
      <c r="C331" s="4" t="s">
        <v>23</v>
      </c>
      <c r="D331" s="4" t="s">
        <v>24</v>
      </c>
      <c r="E331" s="4" t="s">
        <v>7</v>
      </c>
      <c r="F331" s="4">
        <v>13</v>
      </c>
      <c r="G331" s="4">
        <v>12071</v>
      </c>
      <c r="H331" s="4">
        <v>0</v>
      </c>
      <c r="I331" s="7">
        <v>46032</v>
      </c>
      <c r="J331" s="7">
        <v>46036</v>
      </c>
      <c r="K331" s="4" t="s">
        <v>81</v>
      </c>
    </row>
    <row r="332" spans="1:11" x14ac:dyDescent="0.3">
      <c r="A332" s="9">
        <v>1331</v>
      </c>
      <c r="B332" s="9" t="s">
        <v>25</v>
      </c>
      <c r="C332" s="4" t="s">
        <v>27</v>
      </c>
      <c r="D332" s="4" t="s">
        <v>34</v>
      </c>
      <c r="E332" s="4" t="s">
        <v>12</v>
      </c>
      <c r="F332" s="4">
        <v>2</v>
      </c>
      <c r="G332" s="4">
        <v>43557</v>
      </c>
      <c r="H332" s="4">
        <v>2</v>
      </c>
      <c r="I332" s="7">
        <v>46190</v>
      </c>
      <c r="J332" s="7">
        <v>46200</v>
      </c>
      <c r="K332" s="4" t="s">
        <v>78</v>
      </c>
    </row>
    <row r="333" spans="1:11" x14ac:dyDescent="0.3">
      <c r="A333" s="9">
        <v>1332</v>
      </c>
      <c r="B333" s="9" t="s">
        <v>49</v>
      </c>
      <c r="C333" s="4" t="s">
        <v>42</v>
      </c>
      <c r="D333" s="4" t="s">
        <v>20</v>
      </c>
      <c r="E333" s="4" t="s">
        <v>48</v>
      </c>
      <c r="F333" s="4">
        <v>7</v>
      </c>
      <c r="G333" s="4">
        <v>439</v>
      </c>
      <c r="H333" s="4">
        <v>2</v>
      </c>
      <c r="I333" s="7">
        <v>46154</v>
      </c>
      <c r="J333" s="7">
        <v>46157</v>
      </c>
      <c r="K333" s="4" t="s">
        <v>78</v>
      </c>
    </row>
    <row r="334" spans="1:11" x14ac:dyDescent="0.3">
      <c r="A334" s="9">
        <v>1333</v>
      </c>
      <c r="B334" s="9" t="s">
        <v>49</v>
      </c>
      <c r="C334" s="4" t="s">
        <v>38</v>
      </c>
      <c r="D334" s="4" t="s">
        <v>20</v>
      </c>
      <c r="E334" s="4" t="s">
        <v>51</v>
      </c>
      <c r="F334" s="4">
        <v>20</v>
      </c>
      <c r="G334" s="4">
        <v>416</v>
      </c>
      <c r="H334" s="4">
        <v>12</v>
      </c>
      <c r="I334" s="7">
        <v>46145</v>
      </c>
      <c r="J334" s="7">
        <v>46146</v>
      </c>
      <c r="K334" s="4" t="s">
        <v>81</v>
      </c>
    </row>
    <row r="335" spans="1:11" x14ac:dyDescent="0.3">
      <c r="A335" s="9">
        <v>1334</v>
      </c>
      <c r="B335" s="9" t="s">
        <v>39</v>
      </c>
      <c r="C335" s="4" t="s">
        <v>19</v>
      </c>
      <c r="D335" s="4" t="s">
        <v>34</v>
      </c>
      <c r="E335" s="4" t="s">
        <v>40</v>
      </c>
      <c r="F335" s="4">
        <v>15</v>
      </c>
      <c r="G335" s="4">
        <v>39853</v>
      </c>
      <c r="H335" s="4">
        <v>7</v>
      </c>
      <c r="I335" s="7">
        <v>46038</v>
      </c>
      <c r="J335" s="7">
        <v>46047</v>
      </c>
      <c r="K335" s="4" t="s">
        <v>81</v>
      </c>
    </row>
    <row r="336" spans="1:11" x14ac:dyDescent="0.3">
      <c r="A336" s="9">
        <v>1335</v>
      </c>
      <c r="B336" s="9" t="s">
        <v>45</v>
      </c>
      <c r="C336" s="4" t="s">
        <v>23</v>
      </c>
      <c r="D336" s="4" t="s">
        <v>24</v>
      </c>
      <c r="E336" s="4" t="s">
        <v>7</v>
      </c>
      <c r="F336" s="4">
        <v>9</v>
      </c>
      <c r="G336" s="4">
        <v>1495</v>
      </c>
      <c r="H336" s="4">
        <v>12</v>
      </c>
      <c r="I336" s="7">
        <v>46168</v>
      </c>
      <c r="J336" s="7">
        <v>46173</v>
      </c>
      <c r="K336" s="4" t="s">
        <v>78</v>
      </c>
    </row>
    <row r="337" spans="1:11" x14ac:dyDescent="0.3">
      <c r="A337" s="9">
        <v>1336</v>
      </c>
      <c r="B337" s="9" t="s">
        <v>22</v>
      </c>
      <c r="C337" s="4" t="s">
        <v>27</v>
      </c>
      <c r="D337" s="4" t="s">
        <v>24</v>
      </c>
      <c r="E337" s="4" t="s">
        <v>11</v>
      </c>
      <c r="F337" s="4">
        <v>10</v>
      </c>
      <c r="G337" s="4">
        <v>5624</v>
      </c>
      <c r="H337" s="4">
        <v>0</v>
      </c>
      <c r="I337" s="7">
        <v>46086</v>
      </c>
      <c r="J337" s="7">
        <v>46092</v>
      </c>
      <c r="K337" s="4" t="s">
        <v>49</v>
      </c>
    </row>
    <row r="338" spans="1:11" x14ac:dyDescent="0.3">
      <c r="A338" s="9">
        <v>1337</v>
      </c>
      <c r="B338" s="9" t="s">
        <v>22</v>
      </c>
      <c r="C338" s="4" t="s">
        <v>19</v>
      </c>
      <c r="D338" s="4" t="s">
        <v>20</v>
      </c>
      <c r="E338" s="4" t="s">
        <v>51</v>
      </c>
      <c r="F338" s="4">
        <v>14</v>
      </c>
      <c r="G338" s="4">
        <v>373</v>
      </c>
      <c r="H338" s="4">
        <v>10</v>
      </c>
      <c r="I338" s="7">
        <v>46074</v>
      </c>
      <c r="J338" s="7">
        <v>46080</v>
      </c>
      <c r="K338" s="4" t="s">
        <v>49</v>
      </c>
    </row>
    <row r="339" spans="1:11" x14ac:dyDescent="0.3">
      <c r="A339" s="9">
        <v>1338</v>
      </c>
      <c r="B339" s="9" t="s">
        <v>56</v>
      </c>
      <c r="C339" s="4" t="s">
        <v>27</v>
      </c>
      <c r="D339" s="4" t="s">
        <v>34</v>
      </c>
      <c r="E339" s="4" t="s">
        <v>9</v>
      </c>
      <c r="F339" s="4">
        <v>10</v>
      </c>
      <c r="G339" s="4">
        <v>16719</v>
      </c>
      <c r="H339" s="4">
        <v>5</v>
      </c>
      <c r="I339" s="7">
        <v>46177</v>
      </c>
      <c r="J339" s="7">
        <v>46179</v>
      </c>
      <c r="K339" s="4" t="s">
        <v>78</v>
      </c>
    </row>
    <row r="340" spans="1:11" x14ac:dyDescent="0.3">
      <c r="A340" s="9">
        <v>1339</v>
      </c>
      <c r="B340" s="9" t="s">
        <v>32</v>
      </c>
      <c r="C340" s="4" t="s">
        <v>27</v>
      </c>
      <c r="D340" s="4" t="s">
        <v>20</v>
      </c>
      <c r="E340" s="4" t="s">
        <v>21</v>
      </c>
      <c r="F340" s="4">
        <v>6</v>
      </c>
      <c r="G340" s="4">
        <v>302</v>
      </c>
      <c r="H340" s="4">
        <v>5</v>
      </c>
      <c r="I340" s="7">
        <v>46142</v>
      </c>
      <c r="J340" s="7">
        <v>46148</v>
      </c>
      <c r="K340" s="4" t="s">
        <v>79</v>
      </c>
    </row>
    <row r="341" spans="1:11" x14ac:dyDescent="0.3">
      <c r="A341" s="9">
        <v>1340</v>
      </c>
      <c r="B341" s="9" t="s">
        <v>46</v>
      </c>
      <c r="C341" s="4" t="s">
        <v>23</v>
      </c>
      <c r="D341" s="4" t="s">
        <v>24</v>
      </c>
      <c r="E341" s="4" t="s">
        <v>7</v>
      </c>
      <c r="F341" s="4">
        <v>12</v>
      </c>
      <c r="G341" s="4">
        <v>3857</v>
      </c>
      <c r="H341" s="4">
        <v>12</v>
      </c>
      <c r="I341" s="7">
        <v>46196</v>
      </c>
      <c r="J341" s="7">
        <v>46198</v>
      </c>
      <c r="K341" s="4" t="s">
        <v>81</v>
      </c>
    </row>
    <row r="342" spans="1:11" x14ac:dyDescent="0.3">
      <c r="A342" s="9">
        <v>1341</v>
      </c>
      <c r="B342" s="9" t="s">
        <v>54</v>
      </c>
      <c r="C342" s="4" t="s">
        <v>38</v>
      </c>
      <c r="D342" s="4" t="s">
        <v>24</v>
      </c>
      <c r="E342" s="4" t="s">
        <v>7</v>
      </c>
      <c r="F342" s="4">
        <v>19</v>
      </c>
      <c r="G342" s="4">
        <v>6488</v>
      </c>
      <c r="H342" s="4">
        <v>15</v>
      </c>
      <c r="I342" s="7">
        <v>46026</v>
      </c>
      <c r="J342" s="7">
        <v>46030</v>
      </c>
      <c r="K342" s="4" t="s">
        <v>79</v>
      </c>
    </row>
    <row r="343" spans="1:11" x14ac:dyDescent="0.3">
      <c r="A343" s="9">
        <v>1342</v>
      </c>
      <c r="B343" s="9" t="s">
        <v>56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7">
        <v>46132</v>
      </c>
      <c r="J343" s="7">
        <v>46139</v>
      </c>
      <c r="K343" s="4" t="s">
        <v>49</v>
      </c>
    </row>
    <row r="344" spans="1:11" x14ac:dyDescent="0.3">
      <c r="A344" s="9">
        <v>1343</v>
      </c>
      <c r="B344" s="9" t="s">
        <v>56</v>
      </c>
      <c r="C344" s="4" t="s">
        <v>31</v>
      </c>
      <c r="D344" s="4" t="s">
        <v>34</v>
      </c>
      <c r="E344" s="4" t="s">
        <v>5</v>
      </c>
      <c r="F344" s="4">
        <v>14</v>
      </c>
      <c r="G344" s="4">
        <v>32719</v>
      </c>
      <c r="H344" s="4">
        <v>15</v>
      </c>
      <c r="I344" s="7">
        <v>46174</v>
      </c>
      <c r="J344" s="7">
        <v>46179</v>
      </c>
      <c r="K344" s="4" t="s">
        <v>78</v>
      </c>
    </row>
    <row r="345" spans="1:11" x14ac:dyDescent="0.3">
      <c r="A345" s="9">
        <v>1344</v>
      </c>
      <c r="B345" s="9" t="s">
        <v>30</v>
      </c>
      <c r="C345" s="4" t="s">
        <v>23</v>
      </c>
      <c r="D345" s="4" t="s">
        <v>20</v>
      </c>
      <c r="E345" s="4" t="s">
        <v>51</v>
      </c>
      <c r="F345" s="4">
        <v>18</v>
      </c>
      <c r="G345" s="4">
        <v>240</v>
      </c>
      <c r="H345" s="4">
        <v>10</v>
      </c>
      <c r="I345" s="7">
        <v>46155</v>
      </c>
      <c r="J345" s="7">
        <v>46156</v>
      </c>
      <c r="K345" s="4" t="s">
        <v>80</v>
      </c>
    </row>
    <row r="346" spans="1:11" x14ac:dyDescent="0.3">
      <c r="A346" s="9">
        <v>1345</v>
      </c>
      <c r="B346" s="9" t="s">
        <v>32</v>
      </c>
      <c r="C346" s="4" t="s">
        <v>19</v>
      </c>
      <c r="D346" s="4" t="s">
        <v>34</v>
      </c>
      <c r="E346" s="4" t="s">
        <v>6</v>
      </c>
      <c r="F346" s="4">
        <v>12</v>
      </c>
      <c r="G346" s="4">
        <v>50544</v>
      </c>
      <c r="H346" s="4">
        <v>10</v>
      </c>
      <c r="I346" s="7">
        <v>46095</v>
      </c>
      <c r="J346" s="7">
        <v>46097</v>
      </c>
      <c r="K346" s="4" t="s">
        <v>49</v>
      </c>
    </row>
    <row r="347" spans="1:11" x14ac:dyDescent="0.3">
      <c r="A347" s="9">
        <v>1346</v>
      </c>
      <c r="B347" s="9" t="s">
        <v>32</v>
      </c>
      <c r="C347" s="4" t="s">
        <v>26</v>
      </c>
      <c r="D347" s="4" t="s">
        <v>24</v>
      </c>
      <c r="E347" s="4" t="s">
        <v>7</v>
      </c>
      <c r="F347" s="4">
        <v>16</v>
      </c>
      <c r="G347" s="4">
        <v>6910</v>
      </c>
      <c r="H347" s="4">
        <v>15</v>
      </c>
      <c r="I347" s="7">
        <v>46140</v>
      </c>
      <c r="J347" s="7">
        <v>46142</v>
      </c>
      <c r="K347" s="4" t="s">
        <v>49</v>
      </c>
    </row>
    <row r="348" spans="1:11" x14ac:dyDescent="0.3">
      <c r="A348" s="9">
        <v>1347</v>
      </c>
      <c r="B348" s="9" t="s">
        <v>49</v>
      </c>
      <c r="C348" s="4" t="s">
        <v>26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7">
        <v>46037</v>
      </c>
      <c r="J348" s="7">
        <v>46044</v>
      </c>
      <c r="K348" s="4" t="s">
        <v>80</v>
      </c>
    </row>
    <row r="349" spans="1:11" x14ac:dyDescent="0.3">
      <c r="A349" s="9">
        <v>1348</v>
      </c>
      <c r="B349" s="9" t="s">
        <v>18</v>
      </c>
      <c r="C349" s="4" t="s">
        <v>33</v>
      </c>
      <c r="D349" s="4" t="s">
        <v>20</v>
      </c>
      <c r="E349" s="4" t="s">
        <v>48</v>
      </c>
      <c r="F349" s="4">
        <v>12</v>
      </c>
      <c r="G349" s="4">
        <v>244</v>
      </c>
      <c r="H349" s="4">
        <v>7</v>
      </c>
      <c r="I349" s="7">
        <v>46048</v>
      </c>
      <c r="J349" s="7">
        <v>46053</v>
      </c>
      <c r="K349" s="4" t="s">
        <v>78</v>
      </c>
    </row>
    <row r="350" spans="1:11" x14ac:dyDescent="0.3">
      <c r="A350" s="9">
        <v>1349</v>
      </c>
      <c r="B350" s="9" t="s">
        <v>39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7">
        <v>46079</v>
      </c>
      <c r="J350" s="7">
        <v>46083</v>
      </c>
      <c r="K350" s="4" t="s">
        <v>79</v>
      </c>
    </row>
    <row r="351" spans="1:11" x14ac:dyDescent="0.3">
      <c r="A351" s="9">
        <v>1350</v>
      </c>
      <c r="B351" s="9" t="s">
        <v>28</v>
      </c>
      <c r="C351" s="4" t="s">
        <v>42</v>
      </c>
      <c r="D351" s="4" t="s">
        <v>24</v>
      </c>
      <c r="E351" s="4" t="s">
        <v>8</v>
      </c>
      <c r="F351" s="4">
        <v>16</v>
      </c>
      <c r="G351" s="4">
        <v>11790</v>
      </c>
      <c r="H351" s="4">
        <v>12</v>
      </c>
      <c r="I351" s="7">
        <v>46185</v>
      </c>
      <c r="J351" s="7">
        <v>46190</v>
      </c>
      <c r="K351" s="4" t="s">
        <v>49</v>
      </c>
    </row>
    <row r="352" spans="1:11" x14ac:dyDescent="0.3">
      <c r="A352" s="9">
        <v>1351</v>
      </c>
      <c r="B352" s="9" t="s">
        <v>41</v>
      </c>
      <c r="C352" s="4" t="s">
        <v>33</v>
      </c>
      <c r="D352" s="4" t="s">
        <v>34</v>
      </c>
      <c r="E352" s="4" t="s">
        <v>6</v>
      </c>
      <c r="F352" s="4">
        <v>12</v>
      </c>
      <c r="G352" s="4">
        <v>1272</v>
      </c>
      <c r="H352" s="4">
        <v>0</v>
      </c>
      <c r="I352" s="7">
        <v>46026</v>
      </c>
      <c r="J352" s="7">
        <v>46029</v>
      </c>
      <c r="K352" s="4" t="s">
        <v>78</v>
      </c>
    </row>
    <row r="353" spans="1:11" x14ac:dyDescent="0.3">
      <c r="A353" s="9">
        <v>1352</v>
      </c>
      <c r="B353" s="9" t="s">
        <v>52</v>
      </c>
      <c r="C353" s="4" t="s">
        <v>26</v>
      </c>
      <c r="D353" s="4" t="s">
        <v>20</v>
      </c>
      <c r="E353" s="4" t="s">
        <v>21</v>
      </c>
      <c r="F353" s="4">
        <v>12</v>
      </c>
      <c r="G353" s="4">
        <v>203</v>
      </c>
      <c r="H353" s="4">
        <v>5</v>
      </c>
      <c r="I353" s="7">
        <v>46024</v>
      </c>
      <c r="J353" s="7">
        <v>46033</v>
      </c>
      <c r="K353" s="4" t="s">
        <v>78</v>
      </c>
    </row>
    <row r="354" spans="1:11" x14ac:dyDescent="0.3">
      <c r="A354" s="9">
        <v>1353</v>
      </c>
      <c r="B354" s="9" t="s">
        <v>45</v>
      </c>
      <c r="C354" s="4" t="s">
        <v>42</v>
      </c>
      <c r="D354" s="4" t="s">
        <v>20</v>
      </c>
      <c r="E354" s="4" t="s">
        <v>21</v>
      </c>
      <c r="F354" s="4">
        <v>6</v>
      </c>
      <c r="G354" s="4">
        <v>495</v>
      </c>
      <c r="H354" s="4">
        <v>2</v>
      </c>
      <c r="I354" s="7">
        <v>46194</v>
      </c>
      <c r="J354" s="7">
        <v>46200</v>
      </c>
      <c r="K354" s="4" t="s">
        <v>80</v>
      </c>
    </row>
    <row r="355" spans="1:11" x14ac:dyDescent="0.3">
      <c r="A355" s="9">
        <v>1354</v>
      </c>
      <c r="B355" s="9" t="s">
        <v>45</v>
      </c>
      <c r="C355" s="4" t="s">
        <v>42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7">
        <v>46118</v>
      </c>
      <c r="J355" s="7">
        <v>46120</v>
      </c>
      <c r="K355" s="4" t="s">
        <v>81</v>
      </c>
    </row>
    <row r="356" spans="1:11" x14ac:dyDescent="0.3">
      <c r="A356" s="9">
        <v>1355</v>
      </c>
      <c r="B356" s="9" t="s">
        <v>29</v>
      </c>
      <c r="C356" s="4" t="s">
        <v>19</v>
      </c>
      <c r="D356" s="4" t="s">
        <v>34</v>
      </c>
      <c r="E356" s="4" t="s">
        <v>9</v>
      </c>
      <c r="F356" s="4">
        <v>18</v>
      </c>
      <c r="G356" s="4">
        <v>35997</v>
      </c>
      <c r="H356" s="4">
        <v>2</v>
      </c>
      <c r="I356" s="7">
        <v>46024</v>
      </c>
      <c r="J356" s="7">
        <v>46031</v>
      </c>
      <c r="K356" s="4" t="s">
        <v>81</v>
      </c>
    </row>
    <row r="357" spans="1:11" x14ac:dyDescent="0.3">
      <c r="A357" s="9">
        <v>1356</v>
      </c>
      <c r="B357" s="9" t="s">
        <v>28</v>
      </c>
      <c r="C357" s="4" t="s">
        <v>38</v>
      </c>
      <c r="D357" s="4" t="s">
        <v>34</v>
      </c>
      <c r="E357" s="4" t="s">
        <v>9</v>
      </c>
      <c r="F357" s="4">
        <v>16</v>
      </c>
      <c r="G357" s="4">
        <v>53457</v>
      </c>
      <c r="H357" s="4">
        <v>10</v>
      </c>
      <c r="I357" s="7">
        <v>46201</v>
      </c>
      <c r="J357" s="7">
        <v>46204</v>
      </c>
      <c r="K357" s="4" t="s">
        <v>78</v>
      </c>
    </row>
    <row r="358" spans="1:11" x14ac:dyDescent="0.3">
      <c r="A358" s="9">
        <v>1357</v>
      </c>
      <c r="B358" s="9" t="s">
        <v>56</v>
      </c>
      <c r="C358" s="4" t="s">
        <v>27</v>
      </c>
      <c r="D358" s="4" t="s">
        <v>20</v>
      </c>
      <c r="E358" s="4" t="s">
        <v>37</v>
      </c>
      <c r="F358" s="4">
        <v>6</v>
      </c>
      <c r="G358" s="4">
        <v>365</v>
      </c>
      <c r="H358" s="4">
        <v>7</v>
      </c>
      <c r="I358" s="7">
        <v>46133</v>
      </c>
      <c r="J358" s="7">
        <v>46140</v>
      </c>
      <c r="K358" s="4" t="s">
        <v>81</v>
      </c>
    </row>
    <row r="359" spans="1:11" x14ac:dyDescent="0.3">
      <c r="A359" s="9">
        <v>1358</v>
      </c>
      <c r="B359" s="9" t="s">
        <v>39</v>
      </c>
      <c r="C359" s="4" t="s">
        <v>38</v>
      </c>
      <c r="D359" s="4" t="s">
        <v>24</v>
      </c>
      <c r="E359" s="4" t="s">
        <v>7</v>
      </c>
      <c r="F359" s="4">
        <v>7</v>
      </c>
      <c r="G359" s="4">
        <v>6618</v>
      </c>
      <c r="H359" s="4">
        <v>0</v>
      </c>
      <c r="I359" s="7">
        <v>46127</v>
      </c>
      <c r="J359" s="7">
        <v>46129</v>
      </c>
      <c r="K359" s="4" t="s">
        <v>79</v>
      </c>
    </row>
    <row r="360" spans="1:11" x14ac:dyDescent="0.3">
      <c r="A360" s="9">
        <v>1359</v>
      </c>
      <c r="B360" s="9" t="s">
        <v>52</v>
      </c>
      <c r="C360" s="4" t="s">
        <v>19</v>
      </c>
      <c r="D360" s="4" t="s">
        <v>34</v>
      </c>
      <c r="E360" s="4" t="s">
        <v>12</v>
      </c>
      <c r="F360" s="4">
        <v>9</v>
      </c>
      <c r="G360" s="4">
        <v>38179</v>
      </c>
      <c r="H360" s="4">
        <v>0</v>
      </c>
      <c r="I360" s="7">
        <v>46096</v>
      </c>
      <c r="J360" s="7">
        <v>46099</v>
      </c>
      <c r="K360" s="4" t="s">
        <v>78</v>
      </c>
    </row>
    <row r="361" spans="1:11" x14ac:dyDescent="0.3">
      <c r="A361" s="9">
        <v>1360</v>
      </c>
      <c r="B361" s="9" t="s">
        <v>18</v>
      </c>
      <c r="C361" s="4" t="s">
        <v>42</v>
      </c>
      <c r="D361" s="4" t="s">
        <v>24</v>
      </c>
      <c r="E361" s="4" t="s">
        <v>10</v>
      </c>
      <c r="F361" s="4">
        <v>19</v>
      </c>
      <c r="G361" s="4">
        <v>6681</v>
      </c>
      <c r="H361" s="4">
        <v>2</v>
      </c>
      <c r="I361" s="7">
        <v>46146</v>
      </c>
      <c r="J361" s="7">
        <v>46150</v>
      </c>
      <c r="K361" s="4" t="s">
        <v>78</v>
      </c>
    </row>
    <row r="362" spans="1:11" x14ac:dyDescent="0.3">
      <c r="A362" s="9">
        <v>1361</v>
      </c>
      <c r="B362" s="9" t="s">
        <v>41</v>
      </c>
      <c r="C362" s="4" t="s">
        <v>23</v>
      </c>
      <c r="D362" s="4" t="s">
        <v>24</v>
      </c>
      <c r="E362" s="4" t="s">
        <v>10</v>
      </c>
      <c r="F362" s="4">
        <v>2</v>
      </c>
      <c r="G362" s="4">
        <v>1822</v>
      </c>
      <c r="H362" s="4">
        <v>5</v>
      </c>
      <c r="I362" s="7">
        <v>46141</v>
      </c>
      <c r="J362" s="7">
        <v>46145</v>
      </c>
      <c r="K362" s="4" t="s">
        <v>79</v>
      </c>
    </row>
    <row r="363" spans="1:11" x14ac:dyDescent="0.3">
      <c r="A363" s="9">
        <v>1362</v>
      </c>
      <c r="B363" s="9" t="s">
        <v>22</v>
      </c>
      <c r="C363" s="4" t="s">
        <v>19</v>
      </c>
      <c r="D363" s="4" t="s">
        <v>24</v>
      </c>
      <c r="E363" s="4" t="s">
        <v>8</v>
      </c>
      <c r="F363" s="4">
        <v>1</v>
      </c>
      <c r="G363" s="4">
        <v>10474</v>
      </c>
      <c r="H363" s="4">
        <v>0</v>
      </c>
      <c r="I363" s="7">
        <v>46094</v>
      </c>
      <c r="J363" s="7">
        <v>46096</v>
      </c>
      <c r="K363" s="4" t="s">
        <v>49</v>
      </c>
    </row>
    <row r="364" spans="1:11" x14ac:dyDescent="0.3">
      <c r="A364" s="9">
        <v>1363</v>
      </c>
      <c r="B364" s="9" t="s">
        <v>29</v>
      </c>
      <c r="C364" s="4" t="s">
        <v>27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7">
        <v>46122</v>
      </c>
      <c r="J364" s="7">
        <v>46128</v>
      </c>
      <c r="K364" s="4" t="s">
        <v>78</v>
      </c>
    </row>
    <row r="365" spans="1:11" x14ac:dyDescent="0.3">
      <c r="A365" s="9">
        <v>1364</v>
      </c>
      <c r="B365" s="9" t="s">
        <v>30</v>
      </c>
      <c r="C365" s="4" t="s">
        <v>26</v>
      </c>
      <c r="D365" s="4" t="s">
        <v>24</v>
      </c>
      <c r="E365" s="4" t="s">
        <v>11</v>
      </c>
      <c r="F365" s="4">
        <v>16</v>
      </c>
      <c r="G365" s="4">
        <v>1744</v>
      </c>
      <c r="H365" s="4">
        <v>15</v>
      </c>
      <c r="I365" s="7">
        <v>46031</v>
      </c>
      <c r="J365" s="7">
        <v>46033</v>
      </c>
      <c r="K365" s="4" t="s">
        <v>81</v>
      </c>
    </row>
    <row r="366" spans="1:11" x14ac:dyDescent="0.3">
      <c r="A366" s="9">
        <v>1365</v>
      </c>
      <c r="B366" s="9" t="s">
        <v>44</v>
      </c>
      <c r="C366" s="4" t="s">
        <v>33</v>
      </c>
      <c r="D366" s="4" t="s">
        <v>20</v>
      </c>
      <c r="E366" s="4" t="s">
        <v>48</v>
      </c>
      <c r="F366" s="4">
        <v>17</v>
      </c>
      <c r="G366" s="4">
        <v>119</v>
      </c>
      <c r="H366" s="4">
        <v>7</v>
      </c>
      <c r="I366" s="7">
        <v>46070</v>
      </c>
      <c r="J366" s="7">
        <v>46072</v>
      </c>
      <c r="K366" s="4" t="s">
        <v>79</v>
      </c>
    </row>
    <row r="367" spans="1:11" x14ac:dyDescent="0.3">
      <c r="A367" s="9">
        <v>1366</v>
      </c>
      <c r="B367" s="9" t="s">
        <v>28</v>
      </c>
      <c r="C367" s="4" t="s">
        <v>23</v>
      </c>
      <c r="D367" s="4" t="s">
        <v>34</v>
      </c>
      <c r="E367" s="4" t="s">
        <v>12</v>
      </c>
      <c r="F367" s="4">
        <v>20</v>
      </c>
      <c r="G367" s="4">
        <v>44312</v>
      </c>
      <c r="H367" s="4">
        <v>10</v>
      </c>
      <c r="I367" s="7">
        <v>46047</v>
      </c>
      <c r="J367" s="7">
        <v>46054</v>
      </c>
      <c r="K367" s="4" t="s">
        <v>49</v>
      </c>
    </row>
    <row r="368" spans="1:11" x14ac:dyDescent="0.3">
      <c r="A368" s="9">
        <v>1367</v>
      </c>
      <c r="B368" s="9" t="s">
        <v>52</v>
      </c>
      <c r="C368" s="4" t="s">
        <v>27</v>
      </c>
      <c r="D368" s="4" t="s">
        <v>20</v>
      </c>
      <c r="E368" s="4" t="s">
        <v>51</v>
      </c>
      <c r="F368" s="4">
        <v>1</v>
      </c>
      <c r="G368" s="4">
        <v>371</v>
      </c>
      <c r="H368" s="4">
        <v>5</v>
      </c>
      <c r="I368" s="7">
        <v>46158</v>
      </c>
      <c r="J368" s="7">
        <v>46168</v>
      </c>
      <c r="K368" s="4" t="s">
        <v>49</v>
      </c>
    </row>
    <row r="369" spans="1:11" x14ac:dyDescent="0.3">
      <c r="A369" s="9">
        <v>1368</v>
      </c>
      <c r="B369" s="9" t="s">
        <v>53</v>
      </c>
      <c r="C369" s="4" t="s">
        <v>38</v>
      </c>
      <c r="D369" s="4" t="s">
        <v>20</v>
      </c>
      <c r="E369" s="4" t="s">
        <v>36</v>
      </c>
      <c r="F369" s="4">
        <v>9</v>
      </c>
      <c r="G369" s="4">
        <v>115</v>
      </c>
      <c r="H369" s="4">
        <v>0</v>
      </c>
      <c r="I369" s="7">
        <v>46036</v>
      </c>
      <c r="J369" s="7">
        <v>46045</v>
      </c>
      <c r="K369" s="4" t="s">
        <v>80</v>
      </c>
    </row>
    <row r="370" spans="1:11" x14ac:dyDescent="0.3">
      <c r="A370" s="9">
        <v>1369</v>
      </c>
      <c r="B370" s="9" t="s">
        <v>54</v>
      </c>
      <c r="C370" s="4" t="s">
        <v>27</v>
      </c>
      <c r="D370" s="4" t="s">
        <v>24</v>
      </c>
      <c r="E370" s="4" t="s">
        <v>7</v>
      </c>
      <c r="F370" s="4">
        <v>19</v>
      </c>
      <c r="G370" s="4">
        <v>5840</v>
      </c>
      <c r="H370" s="4">
        <v>5</v>
      </c>
      <c r="I370" s="7">
        <v>46062</v>
      </c>
      <c r="J370" s="7">
        <v>46067</v>
      </c>
      <c r="K370" s="4" t="s">
        <v>78</v>
      </c>
    </row>
    <row r="371" spans="1:11" x14ac:dyDescent="0.3">
      <c r="A371" s="9">
        <v>1370</v>
      </c>
      <c r="B371" s="9" t="s">
        <v>56</v>
      </c>
      <c r="C371" s="4" t="s">
        <v>38</v>
      </c>
      <c r="D371" s="4" t="s">
        <v>20</v>
      </c>
      <c r="E371" s="4" t="s">
        <v>51</v>
      </c>
      <c r="F371" s="4">
        <v>13</v>
      </c>
      <c r="G371" s="4">
        <v>337</v>
      </c>
      <c r="H371" s="4">
        <v>7</v>
      </c>
      <c r="I371" s="7">
        <v>46184</v>
      </c>
      <c r="J371" s="7">
        <v>46188</v>
      </c>
      <c r="K371" s="4" t="s">
        <v>78</v>
      </c>
    </row>
    <row r="372" spans="1:11" x14ac:dyDescent="0.3">
      <c r="A372" s="9">
        <v>1371</v>
      </c>
      <c r="B372" s="9" t="s">
        <v>46</v>
      </c>
      <c r="C372" s="4" t="s">
        <v>38</v>
      </c>
      <c r="D372" s="4" t="s">
        <v>24</v>
      </c>
      <c r="E372" s="4" t="s">
        <v>7</v>
      </c>
      <c r="F372" s="4">
        <v>19</v>
      </c>
      <c r="G372" s="4">
        <v>1087</v>
      </c>
      <c r="H372" s="4">
        <v>15</v>
      </c>
      <c r="I372" s="7">
        <v>46072</v>
      </c>
      <c r="J372" s="7">
        <v>46082</v>
      </c>
      <c r="K372" s="4" t="s">
        <v>79</v>
      </c>
    </row>
    <row r="373" spans="1:11" x14ac:dyDescent="0.3">
      <c r="A373" s="9">
        <v>1372</v>
      </c>
      <c r="B373" s="9" t="s">
        <v>46</v>
      </c>
      <c r="C373" s="4" t="s">
        <v>23</v>
      </c>
      <c r="D373" s="4" t="s">
        <v>34</v>
      </c>
      <c r="E373" s="4" t="s">
        <v>5</v>
      </c>
      <c r="F373" s="4">
        <v>9</v>
      </c>
      <c r="G373" s="4">
        <v>9551</v>
      </c>
      <c r="H373" s="4">
        <v>10</v>
      </c>
      <c r="I373" s="7">
        <v>46161</v>
      </c>
      <c r="J373" s="7">
        <v>46168</v>
      </c>
      <c r="K373" s="4" t="s">
        <v>78</v>
      </c>
    </row>
    <row r="374" spans="1:11" x14ac:dyDescent="0.3">
      <c r="A374" s="9">
        <v>1373</v>
      </c>
      <c r="B374" s="9" t="s">
        <v>52</v>
      </c>
      <c r="C374" s="4" t="s">
        <v>27</v>
      </c>
      <c r="D374" s="4" t="s">
        <v>34</v>
      </c>
      <c r="E374" s="4" t="s">
        <v>9</v>
      </c>
      <c r="F374" s="4">
        <v>11</v>
      </c>
      <c r="G374" s="4">
        <v>47930</v>
      </c>
      <c r="H374" s="4">
        <v>12</v>
      </c>
      <c r="I374" s="7">
        <v>46191</v>
      </c>
      <c r="J374" s="7">
        <v>46201</v>
      </c>
      <c r="K374" s="4" t="s">
        <v>79</v>
      </c>
    </row>
    <row r="375" spans="1:11" x14ac:dyDescent="0.3">
      <c r="A375" s="9">
        <v>1374</v>
      </c>
      <c r="B375" s="9" t="s">
        <v>54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7">
        <v>46063</v>
      </c>
      <c r="J375" s="7">
        <v>46066</v>
      </c>
      <c r="K375" s="4" t="s">
        <v>81</v>
      </c>
    </row>
    <row r="376" spans="1:11" x14ac:dyDescent="0.3">
      <c r="A376" s="9">
        <v>1375</v>
      </c>
      <c r="B376" s="9" t="s">
        <v>44</v>
      </c>
      <c r="C376" s="4" t="s">
        <v>42</v>
      </c>
      <c r="D376" s="4" t="s">
        <v>34</v>
      </c>
      <c r="E376" s="4" t="s">
        <v>6</v>
      </c>
      <c r="F376" s="4">
        <v>20</v>
      </c>
      <c r="G376" s="4">
        <v>56766</v>
      </c>
      <c r="H376" s="4">
        <v>0</v>
      </c>
      <c r="I376" s="7">
        <v>46052</v>
      </c>
      <c r="J376" s="7">
        <v>46061</v>
      </c>
      <c r="K376" s="4" t="s">
        <v>80</v>
      </c>
    </row>
    <row r="377" spans="1:11" x14ac:dyDescent="0.3">
      <c r="A377" s="9">
        <v>1376</v>
      </c>
      <c r="B377" s="9" t="s">
        <v>50</v>
      </c>
      <c r="C377" s="4" t="s">
        <v>31</v>
      </c>
      <c r="D377" s="4" t="s">
        <v>20</v>
      </c>
      <c r="E377" s="4" t="s">
        <v>48</v>
      </c>
      <c r="F377" s="4">
        <v>20</v>
      </c>
      <c r="G377" s="4">
        <v>429</v>
      </c>
      <c r="H377" s="4">
        <v>5</v>
      </c>
      <c r="I377" s="7">
        <v>46178</v>
      </c>
      <c r="J377" s="7">
        <v>46184</v>
      </c>
      <c r="K377" s="4" t="s">
        <v>79</v>
      </c>
    </row>
    <row r="378" spans="1:11" x14ac:dyDescent="0.3">
      <c r="A378" s="9">
        <v>1377</v>
      </c>
      <c r="B378" s="9" t="s">
        <v>32</v>
      </c>
      <c r="C378" s="4" t="s">
        <v>38</v>
      </c>
      <c r="D378" s="4" t="s">
        <v>24</v>
      </c>
      <c r="E378" s="4" t="s">
        <v>7</v>
      </c>
      <c r="F378" s="4">
        <v>3</v>
      </c>
      <c r="G378" s="4">
        <v>5480</v>
      </c>
      <c r="H378" s="4">
        <v>12</v>
      </c>
      <c r="I378" s="7">
        <v>46105</v>
      </c>
      <c r="J378" s="7">
        <v>46111</v>
      </c>
      <c r="K378" s="4" t="s">
        <v>80</v>
      </c>
    </row>
    <row r="379" spans="1:11" x14ac:dyDescent="0.3">
      <c r="A379" s="9">
        <v>1378</v>
      </c>
      <c r="B379" s="9" t="s">
        <v>53</v>
      </c>
      <c r="C379" s="4" t="s">
        <v>26</v>
      </c>
      <c r="D379" s="4" t="s">
        <v>34</v>
      </c>
      <c r="E379" s="4" t="s">
        <v>6</v>
      </c>
      <c r="F379" s="4">
        <v>15</v>
      </c>
      <c r="G379" s="4">
        <v>22693</v>
      </c>
      <c r="H379" s="4">
        <v>12</v>
      </c>
      <c r="I379" s="7">
        <v>46074</v>
      </c>
      <c r="J379" s="7">
        <v>46080</v>
      </c>
      <c r="K379" s="4" t="s">
        <v>81</v>
      </c>
    </row>
    <row r="380" spans="1:11" x14ac:dyDescent="0.3">
      <c r="A380" s="9">
        <v>1379</v>
      </c>
      <c r="B380" s="9" t="s">
        <v>45</v>
      </c>
      <c r="C380" s="4" t="s">
        <v>23</v>
      </c>
      <c r="D380" s="4" t="s">
        <v>20</v>
      </c>
      <c r="E380" s="4" t="s">
        <v>21</v>
      </c>
      <c r="F380" s="4">
        <v>11</v>
      </c>
      <c r="G380" s="4">
        <v>136</v>
      </c>
      <c r="H380" s="4">
        <v>15</v>
      </c>
      <c r="I380" s="7">
        <v>46106</v>
      </c>
      <c r="J380" s="7">
        <v>46107</v>
      </c>
      <c r="K380" s="4" t="s">
        <v>79</v>
      </c>
    </row>
    <row r="381" spans="1:11" x14ac:dyDescent="0.3">
      <c r="A381" s="9">
        <v>1380</v>
      </c>
      <c r="B381" s="9" t="s">
        <v>50</v>
      </c>
      <c r="C381" s="4" t="s">
        <v>42</v>
      </c>
      <c r="D381" s="4" t="s">
        <v>20</v>
      </c>
      <c r="E381" s="4" t="s">
        <v>51</v>
      </c>
      <c r="F381" s="4">
        <v>3</v>
      </c>
      <c r="G381" s="4">
        <v>412</v>
      </c>
      <c r="H381" s="4">
        <v>7</v>
      </c>
      <c r="I381" s="7">
        <v>46128</v>
      </c>
      <c r="J381" s="7">
        <v>46138</v>
      </c>
      <c r="K381" s="4" t="s">
        <v>80</v>
      </c>
    </row>
    <row r="382" spans="1:11" x14ac:dyDescent="0.3">
      <c r="A382" s="9">
        <v>1381</v>
      </c>
      <c r="B382" s="9" t="s">
        <v>53</v>
      </c>
      <c r="C382" s="4" t="s">
        <v>33</v>
      </c>
      <c r="D382" s="4" t="s">
        <v>24</v>
      </c>
      <c r="E382" s="4" t="s">
        <v>8</v>
      </c>
      <c r="F382" s="4">
        <v>5</v>
      </c>
      <c r="G382" s="4">
        <v>7484</v>
      </c>
      <c r="H382" s="4">
        <v>2</v>
      </c>
      <c r="I382" s="7">
        <v>46089</v>
      </c>
      <c r="J382" s="7">
        <v>46093</v>
      </c>
      <c r="K382" s="4" t="s">
        <v>79</v>
      </c>
    </row>
    <row r="383" spans="1:11" x14ac:dyDescent="0.3">
      <c r="A383" s="9">
        <v>1382</v>
      </c>
      <c r="B383" s="9" t="s">
        <v>47</v>
      </c>
      <c r="C383" s="4" t="s">
        <v>33</v>
      </c>
      <c r="D383" s="4" t="s">
        <v>34</v>
      </c>
      <c r="E383" s="4" t="s">
        <v>9</v>
      </c>
      <c r="F383" s="4">
        <v>11</v>
      </c>
      <c r="G383" s="4">
        <v>36198</v>
      </c>
      <c r="H383" s="4">
        <v>0</v>
      </c>
      <c r="I383" s="7">
        <v>46130</v>
      </c>
      <c r="J383" s="7">
        <v>46134</v>
      </c>
      <c r="K383" s="4" t="s">
        <v>78</v>
      </c>
    </row>
    <row r="384" spans="1:11" x14ac:dyDescent="0.3">
      <c r="A384" s="9">
        <v>1383</v>
      </c>
      <c r="B384" s="9" t="s">
        <v>32</v>
      </c>
      <c r="C384" s="4" t="s">
        <v>19</v>
      </c>
      <c r="D384" s="4" t="s">
        <v>20</v>
      </c>
      <c r="E384" s="4" t="s">
        <v>51</v>
      </c>
      <c r="F384" s="4">
        <v>14</v>
      </c>
      <c r="G384" s="4">
        <v>334</v>
      </c>
      <c r="H384" s="4">
        <v>10</v>
      </c>
      <c r="I384" s="7">
        <v>46196</v>
      </c>
      <c r="J384" s="7">
        <v>46203</v>
      </c>
      <c r="K384" s="4" t="s">
        <v>78</v>
      </c>
    </row>
    <row r="385" spans="1:11" x14ac:dyDescent="0.3">
      <c r="A385" s="9">
        <v>1384</v>
      </c>
      <c r="B385" s="9" t="s">
        <v>56</v>
      </c>
      <c r="C385" s="4" t="s">
        <v>19</v>
      </c>
      <c r="D385" s="4" t="s">
        <v>34</v>
      </c>
      <c r="E385" s="4" t="s">
        <v>5</v>
      </c>
      <c r="F385" s="4">
        <v>15</v>
      </c>
      <c r="G385" s="4">
        <v>38116</v>
      </c>
      <c r="H385" s="4">
        <v>0</v>
      </c>
      <c r="I385" s="7">
        <v>46074</v>
      </c>
      <c r="J385" s="7">
        <v>46078</v>
      </c>
      <c r="K385" s="4" t="s">
        <v>49</v>
      </c>
    </row>
    <row r="386" spans="1:11" x14ac:dyDescent="0.3">
      <c r="A386" s="9">
        <v>1385</v>
      </c>
      <c r="B386" s="9" t="s">
        <v>28</v>
      </c>
      <c r="C386" s="4" t="s">
        <v>33</v>
      </c>
      <c r="D386" s="4" t="s">
        <v>34</v>
      </c>
      <c r="E386" s="4" t="s">
        <v>5</v>
      </c>
      <c r="F386" s="4">
        <v>12</v>
      </c>
      <c r="G386" s="4">
        <v>61360</v>
      </c>
      <c r="H386" s="4">
        <v>10</v>
      </c>
      <c r="I386" s="7">
        <v>46048</v>
      </c>
      <c r="J386" s="7">
        <v>46053</v>
      </c>
      <c r="K386" s="4" t="s">
        <v>81</v>
      </c>
    </row>
    <row r="387" spans="1:11" x14ac:dyDescent="0.3">
      <c r="A387" s="9">
        <v>1386</v>
      </c>
      <c r="B387" s="9" t="s">
        <v>29</v>
      </c>
      <c r="C387" s="4" t="s">
        <v>31</v>
      </c>
      <c r="D387" s="4" t="s">
        <v>24</v>
      </c>
      <c r="E387" s="4" t="s">
        <v>8</v>
      </c>
      <c r="F387" s="4">
        <v>9</v>
      </c>
      <c r="G387" s="4">
        <v>7509</v>
      </c>
      <c r="H387" s="4">
        <v>5</v>
      </c>
      <c r="I387" s="7">
        <v>46162</v>
      </c>
      <c r="J387" s="7">
        <v>46171</v>
      </c>
      <c r="K387" s="4" t="s">
        <v>81</v>
      </c>
    </row>
    <row r="388" spans="1:11" x14ac:dyDescent="0.3">
      <c r="A388" s="9">
        <v>1387</v>
      </c>
      <c r="B388" s="9" t="s">
        <v>52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7">
        <v>46102</v>
      </c>
      <c r="J388" s="7">
        <v>46112</v>
      </c>
      <c r="K388" s="4" t="s">
        <v>80</v>
      </c>
    </row>
    <row r="389" spans="1:11" x14ac:dyDescent="0.3">
      <c r="A389" s="9">
        <v>1388</v>
      </c>
      <c r="B389" s="9" t="s">
        <v>53</v>
      </c>
      <c r="C389" s="4" t="s">
        <v>31</v>
      </c>
      <c r="D389" s="4" t="s">
        <v>24</v>
      </c>
      <c r="E389" s="4" t="s">
        <v>8</v>
      </c>
      <c r="F389" s="4">
        <v>12</v>
      </c>
      <c r="G389" s="4">
        <v>11662</v>
      </c>
      <c r="H389" s="4">
        <v>12</v>
      </c>
      <c r="I389" s="7">
        <v>46094</v>
      </c>
      <c r="J389" s="7">
        <v>46096</v>
      </c>
      <c r="K389" s="4" t="s">
        <v>79</v>
      </c>
    </row>
    <row r="390" spans="1:11" x14ac:dyDescent="0.3">
      <c r="A390" s="9">
        <v>1389</v>
      </c>
      <c r="B390" s="9" t="s">
        <v>32</v>
      </c>
      <c r="C390" s="4" t="s">
        <v>19</v>
      </c>
      <c r="D390" s="4" t="s">
        <v>34</v>
      </c>
      <c r="E390" s="4" t="s">
        <v>40</v>
      </c>
      <c r="F390" s="4">
        <v>3</v>
      </c>
      <c r="G390" s="4">
        <v>56380</v>
      </c>
      <c r="H390" s="4">
        <v>5</v>
      </c>
      <c r="I390" s="7">
        <v>46044</v>
      </c>
      <c r="J390" s="7">
        <v>46048</v>
      </c>
      <c r="K390" s="4" t="s">
        <v>81</v>
      </c>
    </row>
    <row r="391" spans="1:11" x14ac:dyDescent="0.3">
      <c r="A391" s="9">
        <v>1390</v>
      </c>
      <c r="B391" s="9" t="s">
        <v>55</v>
      </c>
      <c r="C391" s="4" t="s">
        <v>42</v>
      </c>
      <c r="D391" s="4" t="s">
        <v>24</v>
      </c>
      <c r="E391" s="4" t="s">
        <v>7</v>
      </c>
      <c r="F391" s="4">
        <v>9</v>
      </c>
      <c r="G391" s="4">
        <v>7670</v>
      </c>
      <c r="H391" s="4">
        <v>0</v>
      </c>
      <c r="I391" s="7">
        <v>46076</v>
      </c>
      <c r="J391" s="7">
        <v>46081</v>
      </c>
      <c r="K391" s="4" t="s">
        <v>81</v>
      </c>
    </row>
    <row r="392" spans="1:11" x14ac:dyDescent="0.3">
      <c r="A392" s="9">
        <v>1391</v>
      </c>
      <c r="B392" s="9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7">
        <v>46100</v>
      </c>
      <c r="J392" s="7">
        <v>46103</v>
      </c>
      <c r="K392" s="4" t="s">
        <v>80</v>
      </c>
    </row>
    <row r="393" spans="1:11" x14ac:dyDescent="0.3">
      <c r="A393" s="9">
        <v>1392</v>
      </c>
      <c r="B393" s="9" t="s">
        <v>49</v>
      </c>
      <c r="C393" s="4" t="s">
        <v>42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7">
        <v>46124</v>
      </c>
      <c r="J393" s="7">
        <v>46125</v>
      </c>
      <c r="K393" s="4" t="s">
        <v>49</v>
      </c>
    </row>
    <row r="394" spans="1:11" x14ac:dyDescent="0.3">
      <c r="A394" s="9">
        <v>1393</v>
      </c>
      <c r="B394" s="9" t="s">
        <v>30</v>
      </c>
      <c r="C394" s="4" t="s">
        <v>27</v>
      </c>
      <c r="D394" s="4" t="s">
        <v>34</v>
      </c>
      <c r="E394" s="4" t="s">
        <v>6</v>
      </c>
      <c r="F394" s="4">
        <v>17</v>
      </c>
      <c r="G394" s="4">
        <v>30351</v>
      </c>
      <c r="H394" s="4">
        <v>15</v>
      </c>
      <c r="I394" s="7">
        <v>46047</v>
      </c>
      <c r="J394" s="7">
        <v>46051</v>
      </c>
      <c r="K394" s="4" t="s">
        <v>81</v>
      </c>
    </row>
    <row r="395" spans="1:11" x14ac:dyDescent="0.3">
      <c r="A395" s="9">
        <v>1394</v>
      </c>
      <c r="B395" s="9" t="s">
        <v>52</v>
      </c>
      <c r="C395" s="4" t="s">
        <v>19</v>
      </c>
      <c r="D395" s="4" t="s">
        <v>20</v>
      </c>
      <c r="E395" s="4" t="s">
        <v>21</v>
      </c>
      <c r="F395" s="4">
        <v>10</v>
      </c>
      <c r="G395" s="4">
        <v>138</v>
      </c>
      <c r="H395" s="4">
        <v>2</v>
      </c>
      <c r="I395" s="7">
        <v>46056</v>
      </c>
      <c r="J395" s="7">
        <v>46057</v>
      </c>
      <c r="K395" s="4" t="s">
        <v>78</v>
      </c>
    </row>
    <row r="396" spans="1:11" x14ac:dyDescent="0.3">
      <c r="A396" s="9">
        <v>1395</v>
      </c>
      <c r="B396" s="9" t="s">
        <v>52</v>
      </c>
      <c r="C396" s="4" t="s">
        <v>33</v>
      </c>
      <c r="D396" s="4" t="s">
        <v>24</v>
      </c>
      <c r="E396" s="4" t="s">
        <v>43</v>
      </c>
      <c r="F396" s="4">
        <v>18</v>
      </c>
      <c r="G396" s="4">
        <v>10402</v>
      </c>
      <c r="H396" s="4">
        <v>15</v>
      </c>
      <c r="I396" s="7">
        <v>46062</v>
      </c>
      <c r="J396" s="7">
        <v>46067</v>
      </c>
      <c r="K396" s="4" t="s">
        <v>49</v>
      </c>
    </row>
    <row r="397" spans="1:11" x14ac:dyDescent="0.3">
      <c r="A397" s="9">
        <v>1396</v>
      </c>
      <c r="B397" s="9" t="s">
        <v>25</v>
      </c>
      <c r="C397" s="4" t="s">
        <v>38</v>
      </c>
      <c r="D397" s="4" t="s">
        <v>20</v>
      </c>
      <c r="E397" s="4" t="s">
        <v>51</v>
      </c>
      <c r="F397" s="4">
        <v>8</v>
      </c>
      <c r="G397" s="4">
        <v>54</v>
      </c>
      <c r="H397" s="4">
        <v>15</v>
      </c>
      <c r="I397" s="7">
        <v>46031</v>
      </c>
      <c r="J397" s="7">
        <v>46035</v>
      </c>
      <c r="K397" s="4" t="s">
        <v>78</v>
      </c>
    </row>
    <row r="398" spans="1:11" x14ac:dyDescent="0.3">
      <c r="A398" s="9">
        <v>1397</v>
      </c>
      <c r="B398" s="9" t="s">
        <v>25</v>
      </c>
      <c r="C398" s="4" t="s">
        <v>33</v>
      </c>
      <c r="D398" s="4" t="s">
        <v>24</v>
      </c>
      <c r="E398" s="4" t="s">
        <v>10</v>
      </c>
      <c r="F398" s="4">
        <v>1</v>
      </c>
      <c r="G398" s="4">
        <v>8948</v>
      </c>
      <c r="H398" s="4">
        <v>5</v>
      </c>
      <c r="I398" s="7">
        <v>46194</v>
      </c>
      <c r="J398" s="7">
        <v>46201</v>
      </c>
      <c r="K398" s="4" t="s">
        <v>81</v>
      </c>
    </row>
    <row r="399" spans="1:11" x14ac:dyDescent="0.3">
      <c r="A399" s="9">
        <v>1398</v>
      </c>
      <c r="B399" s="9" t="s">
        <v>55</v>
      </c>
      <c r="C399" s="4" t="s">
        <v>42</v>
      </c>
      <c r="D399" s="4" t="s">
        <v>34</v>
      </c>
      <c r="E399" s="4" t="s">
        <v>5</v>
      </c>
      <c r="F399" s="4">
        <v>12</v>
      </c>
      <c r="G399" s="4">
        <v>10668</v>
      </c>
      <c r="H399" s="4">
        <v>0</v>
      </c>
      <c r="I399" s="7">
        <v>46170</v>
      </c>
      <c r="J399" s="7">
        <v>46176</v>
      </c>
      <c r="K399" s="4" t="s">
        <v>78</v>
      </c>
    </row>
    <row r="400" spans="1:11" x14ac:dyDescent="0.3">
      <c r="A400" s="9">
        <v>1399</v>
      </c>
      <c r="B400" s="9" t="s">
        <v>46</v>
      </c>
      <c r="C400" s="4" t="s">
        <v>31</v>
      </c>
      <c r="D400" s="4" t="s">
        <v>20</v>
      </c>
      <c r="E400" s="4" t="s">
        <v>21</v>
      </c>
      <c r="F400" s="4">
        <v>15</v>
      </c>
      <c r="G400" s="4">
        <v>87</v>
      </c>
      <c r="H400" s="4">
        <v>15</v>
      </c>
      <c r="I400" s="7">
        <v>46089</v>
      </c>
      <c r="J400" s="7">
        <v>46093</v>
      </c>
      <c r="K400" s="4" t="s">
        <v>79</v>
      </c>
    </row>
    <row r="401" spans="1:11" x14ac:dyDescent="0.3">
      <c r="A401" s="9">
        <v>1400</v>
      </c>
      <c r="B401" s="9" t="s">
        <v>39</v>
      </c>
      <c r="C401" s="4" t="s">
        <v>26</v>
      </c>
      <c r="D401" s="4" t="s">
        <v>34</v>
      </c>
      <c r="E401" s="4" t="s">
        <v>35</v>
      </c>
      <c r="F401" s="4">
        <v>13</v>
      </c>
      <c r="G401" s="4">
        <v>52411</v>
      </c>
      <c r="H401" s="4">
        <v>15</v>
      </c>
      <c r="I401" s="7">
        <v>46090</v>
      </c>
      <c r="J401" s="7">
        <v>46092</v>
      </c>
      <c r="K401" s="4" t="s">
        <v>79</v>
      </c>
    </row>
  </sheetData>
  <sortState xmlns:xlrd2="http://schemas.microsoft.com/office/spreadsheetml/2017/richdata2" ref="A2:K101">
    <sortCondition descending="1" ref="I2:I1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D5CE-7F60-4E0D-95B6-62CB876B51AC}">
  <dimension ref="A1:M401"/>
  <sheetViews>
    <sheetView topLeftCell="B1" workbookViewId="0">
      <pane ySplit="1" topLeftCell="A2" activePane="bottomLeft" state="frozen"/>
      <selection activeCell="B1" sqref="B1"/>
      <selection pane="bottomLeft" activeCell="B1" sqref="B1:M1"/>
    </sheetView>
  </sheetViews>
  <sheetFormatPr defaultRowHeight="14.4" x14ac:dyDescent="0.3"/>
  <cols>
    <col min="1" max="2" width="8.5546875" bestFit="1" customWidth="1"/>
    <col min="3" max="3" width="9.109375" bestFit="1" customWidth="1"/>
    <col min="4" max="4" width="10.6640625" bestFit="1" customWidth="1"/>
    <col min="5" max="5" width="9.88671875" bestFit="1" customWidth="1"/>
    <col min="6" max="6" width="9.21875" bestFit="1" customWidth="1"/>
    <col min="7" max="7" width="8.33203125" bestFit="1" customWidth="1"/>
    <col min="8" max="8" width="9.6640625" bestFit="1" customWidth="1"/>
    <col min="9" max="9" width="10.77734375" bestFit="1" customWidth="1"/>
    <col min="10" max="10" width="10.6640625" bestFit="1" customWidth="1"/>
    <col min="11" max="11" width="12.6640625" bestFit="1" customWidth="1"/>
    <col min="12" max="12" width="11" bestFit="1" customWidth="1"/>
    <col min="13" max="13" width="12.77734375" bestFit="1" customWidth="1"/>
  </cols>
  <sheetData>
    <row r="1" spans="1:13" x14ac:dyDescent="0.3">
      <c r="A1" s="6" t="s">
        <v>0</v>
      </c>
      <c r="B1" s="11" t="s">
        <v>0</v>
      </c>
      <c r="C1" s="11" t="s">
        <v>13</v>
      </c>
      <c r="D1" s="10" t="s">
        <v>14</v>
      </c>
      <c r="E1" s="10" t="s">
        <v>15</v>
      </c>
      <c r="F1" s="10" t="s">
        <v>1</v>
      </c>
      <c r="G1" s="10" t="s">
        <v>4</v>
      </c>
      <c r="H1" s="10" t="s">
        <v>16</v>
      </c>
      <c r="I1" s="10" t="s">
        <v>17</v>
      </c>
      <c r="J1" s="10" t="s">
        <v>2</v>
      </c>
      <c r="K1" s="10" t="s">
        <v>3</v>
      </c>
      <c r="L1" s="13" t="s">
        <v>77</v>
      </c>
      <c r="M1" s="1" t="s">
        <v>62</v>
      </c>
    </row>
    <row r="2" spans="1:13" x14ac:dyDescent="0.3">
      <c r="A2" s="4">
        <v>1063</v>
      </c>
      <c r="B2" s="9">
        <v>1001</v>
      </c>
      <c r="C2" s="9" t="s">
        <v>18</v>
      </c>
      <c r="D2" s="4" t="s">
        <v>19</v>
      </c>
      <c r="E2" s="4" t="s">
        <v>20</v>
      </c>
      <c r="F2" s="4" t="s">
        <v>21</v>
      </c>
      <c r="G2" s="4">
        <v>3</v>
      </c>
      <c r="H2" s="4">
        <v>222</v>
      </c>
      <c r="I2" s="4">
        <v>15</v>
      </c>
      <c r="J2" s="7">
        <v>46081</v>
      </c>
      <c r="K2" s="7">
        <v>46083</v>
      </c>
      <c r="L2" s="4" t="s">
        <v>78</v>
      </c>
      <c r="M2" s="4" t="str" cm="1">
        <f t="array" ref="M2">_xlfn.IFS(G2&gt;=15, "Bulk Order", G2&gt;=5, "Medium Order", G2&lt;5, "Normal Order")</f>
        <v>Normal Order</v>
      </c>
    </row>
    <row r="3" spans="1:13" x14ac:dyDescent="0.3">
      <c r="A3" s="4">
        <v>1090</v>
      </c>
      <c r="B3" s="9">
        <v>1002</v>
      </c>
      <c r="C3" s="9" t="s">
        <v>22</v>
      </c>
      <c r="D3" s="4" t="s">
        <v>23</v>
      </c>
      <c r="E3" s="4" t="s">
        <v>24</v>
      </c>
      <c r="F3" s="4" t="s">
        <v>7</v>
      </c>
      <c r="G3" s="4">
        <v>7</v>
      </c>
      <c r="H3" s="4">
        <v>8448</v>
      </c>
      <c r="I3" s="4">
        <v>12</v>
      </c>
      <c r="J3" s="7">
        <v>46174</v>
      </c>
      <c r="K3" s="7">
        <v>46179</v>
      </c>
      <c r="L3" s="4" t="s">
        <v>79</v>
      </c>
      <c r="M3" s="4" t="str" cm="1">
        <f t="array" ref="M3">_xlfn.IFS(G3&gt;=15, "Bulk Order", G3&gt;=5, "Medium Order", G3&lt;5, "Normal Order")</f>
        <v>Medium Order</v>
      </c>
    </row>
    <row r="4" spans="1:13" x14ac:dyDescent="0.3">
      <c r="A4" s="4">
        <v>1075</v>
      </c>
      <c r="B4" s="9">
        <v>1003</v>
      </c>
      <c r="C4" s="9" t="s">
        <v>25</v>
      </c>
      <c r="D4" s="4" t="s">
        <v>26</v>
      </c>
      <c r="E4" s="4" t="s">
        <v>24</v>
      </c>
      <c r="F4" s="4" t="s">
        <v>10</v>
      </c>
      <c r="G4" s="4">
        <v>20</v>
      </c>
      <c r="H4" s="4">
        <v>2123</v>
      </c>
      <c r="I4" s="4">
        <v>15</v>
      </c>
      <c r="J4" s="7">
        <v>46183</v>
      </c>
      <c r="K4" s="7">
        <v>46192</v>
      </c>
      <c r="L4" s="4" t="s">
        <v>80</v>
      </c>
      <c r="M4" s="4" t="str" cm="1">
        <f t="array" ref="M4">_xlfn.IFS(G4&gt;=15, "Bulk Order", G4&gt;=5, "Medium Order", G4&lt;5, "Normal Order")</f>
        <v>Bulk Order</v>
      </c>
    </row>
    <row r="5" spans="1:13" x14ac:dyDescent="0.3">
      <c r="A5" s="4">
        <v>1012</v>
      </c>
      <c r="B5" s="9">
        <v>1004</v>
      </c>
      <c r="C5" s="9" t="s">
        <v>22</v>
      </c>
      <c r="D5" s="4" t="s">
        <v>27</v>
      </c>
      <c r="E5" s="4" t="s">
        <v>24</v>
      </c>
      <c r="F5" s="4" t="s">
        <v>10</v>
      </c>
      <c r="G5" s="4">
        <v>16</v>
      </c>
      <c r="H5" s="4">
        <v>11739</v>
      </c>
      <c r="I5" s="4">
        <v>12</v>
      </c>
      <c r="J5" s="7">
        <v>46034</v>
      </c>
      <c r="K5" s="7">
        <v>46040</v>
      </c>
      <c r="L5" s="4" t="s">
        <v>79</v>
      </c>
      <c r="M5" s="4" t="str" cm="1">
        <f t="array" ref="M5">_xlfn.IFS(G5&gt;=15, "Bulk Order", G5&gt;=5, "Medium Order", G5&lt;5, "Normal Order")</f>
        <v>Bulk Order</v>
      </c>
    </row>
    <row r="6" spans="1:13" x14ac:dyDescent="0.3">
      <c r="A6" s="4">
        <v>1045</v>
      </c>
      <c r="B6" s="9">
        <v>1005</v>
      </c>
      <c r="C6" s="9" t="s">
        <v>28</v>
      </c>
      <c r="D6" s="4" t="s">
        <v>23</v>
      </c>
      <c r="E6" s="4" t="s">
        <v>20</v>
      </c>
      <c r="F6" s="4" t="s">
        <v>21</v>
      </c>
      <c r="G6" s="4">
        <v>18</v>
      </c>
      <c r="H6" s="4">
        <v>70</v>
      </c>
      <c r="I6" s="4">
        <v>0</v>
      </c>
      <c r="J6" s="7">
        <v>46171</v>
      </c>
      <c r="K6" s="7">
        <v>46179</v>
      </c>
      <c r="L6" s="4" t="s">
        <v>80</v>
      </c>
      <c r="M6" s="4" t="str" cm="1">
        <f t="array" ref="M6">_xlfn.IFS(G6&gt;=15, "Bulk Order", G6&gt;=5, "Medium Order", G6&lt;5, "Normal Order")</f>
        <v>Bulk Order</v>
      </c>
    </row>
    <row r="7" spans="1:13" x14ac:dyDescent="0.3">
      <c r="A7" s="4">
        <v>1039</v>
      </c>
      <c r="B7" s="9">
        <v>1006</v>
      </c>
      <c r="C7" s="9" t="s">
        <v>29</v>
      </c>
      <c r="D7" s="4" t="s">
        <v>27</v>
      </c>
      <c r="E7" s="4" t="s">
        <v>24</v>
      </c>
      <c r="F7" s="4" t="s">
        <v>8</v>
      </c>
      <c r="G7" s="4">
        <v>3</v>
      </c>
      <c r="H7" s="4">
        <v>2714</v>
      </c>
      <c r="I7" s="4">
        <v>5</v>
      </c>
      <c r="J7" s="7">
        <v>46055</v>
      </c>
      <c r="K7" s="7">
        <v>46062</v>
      </c>
      <c r="L7" s="4" t="s">
        <v>49</v>
      </c>
      <c r="M7" s="4" t="str" cm="1">
        <f t="array" ref="M7">_xlfn.IFS(G7&gt;=15, "Bulk Order", G7&gt;=5, "Medium Order", G7&lt;5, "Normal Order")</f>
        <v>Normal Order</v>
      </c>
    </row>
    <row r="8" spans="1:13" x14ac:dyDescent="0.3">
      <c r="A8" s="4">
        <v>1081</v>
      </c>
      <c r="B8" s="9">
        <v>1007</v>
      </c>
      <c r="C8" s="9" t="s">
        <v>25</v>
      </c>
      <c r="D8" s="4" t="s">
        <v>26</v>
      </c>
      <c r="E8" s="4" t="s">
        <v>20</v>
      </c>
      <c r="F8" s="4" t="s">
        <v>21</v>
      </c>
      <c r="G8" s="4">
        <v>19</v>
      </c>
      <c r="H8" s="4">
        <v>149</v>
      </c>
      <c r="I8" s="4">
        <v>7</v>
      </c>
      <c r="J8" s="7">
        <v>46162</v>
      </c>
      <c r="K8" s="7">
        <v>46168</v>
      </c>
      <c r="L8" s="4" t="s">
        <v>80</v>
      </c>
      <c r="M8" s="4" t="str" cm="1">
        <f t="array" ref="M8">_xlfn.IFS(G8&gt;=15, "Bulk Order", G8&gt;=5, "Medium Order", G8&lt;5, "Normal Order")</f>
        <v>Bulk Order</v>
      </c>
    </row>
    <row r="9" spans="1:13" x14ac:dyDescent="0.3">
      <c r="A9" s="4">
        <v>1061</v>
      </c>
      <c r="B9" s="9">
        <v>1008</v>
      </c>
      <c r="C9" s="9" t="s">
        <v>30</v>
      </c>
      <c r="D9" s="4" t="s">
        <v>31</v>
      </c>
      <c r="E9" s="4" t="s">
        <v>24</v>
      </c>
      <c r="F9" s="4" t="s">
        <v>8</v>
      </c>
      <c r="G9" s="4">
        <v>1</v>
      </c>
      <c r="H9" s="4">
        <v>1134</v>
      </c>
      <c r="I9" s="4">
        <v>0</v>
      </c>
      <c r="J9" s="7">
        <v>46033</v>
      </c>
      <c r="K9" s="7">
        <v>46041</v>
      </c>
      <c r="L9" s="4" t="s">
        <v>80</v>
      </c>
      <c r="M9" s="4" t="str" cm="1">
        <f t="array" ref="M9">_xlfn.IFS(G9&gt;=15, "Bulk Order", G9&gt;=5, "Medium Order", G9&lt;5, "Normal Order")</f>
        <v>Normal Order</v>
      </c>
    </row>
    <row r="10" spans="1:13" x14ac:dyDescent="0.3">
      <c r="A10" s="4">
        <v>1072</v>
      </c>
      <c r="B10" s="9">
        <v>1009</v>
      </c>
      <c r="C10" s="9" t="s">
        <v>32</v>
      </c>
      <c r="D10" s="4" t="s">
        <v>33</v>
      </c>
      <c r="E10" s="4" t="s">
        <v>34</v>
      </c>
      <c r="F10" s="4" t="s">
        <v>35</v>
      </c>
      <c r="G10" s="4">
        <v>10</v>
      </c>
      <c r="H10" s="4">
        <v>40671</v>
      </c>
      <c r="I10" s="4">
        <v>12</v>
      </c>
      <c r="J10" s="7">
        <v>46183</v>
      </c>
      <c r="K10" s="7">
        <v>46193</v>
      </c>
      <c r="L10" s="4" t="s">
        <v>80</v>
      </c>
      <c r="M10" s="4" t="str" cm="1">
        <f t="array" ref="M10">_xlfn.IFS(G10&gt;=15, "Bulk Order", G10&gt;=5, "Medium Order", G10&lt;5, "Normal Order")</f>
        <v>Medium Order</v>
      </c>
    </row>
    <row r="11" spans="1:13" x14ac:dyDescent="0.3">
      <c r="A11" s="4">
        <v>1080</v>
      </c>
      <c r="B11" s="9">
        <v>1010</v>
      </c>
      <c r="C11" s="9" t="s">
        <v>18</v>
      </c>
      <c r="D11" s="4" t="s">
        <v>23</v>
      </c>
      <c r="E11" s="4" t="s">
        <v>20</v>
      </c>
      <c r="F11" s="4" t="s">
        <v>36</v>
      </c>
      <c r="G11" s="4">
        <v>14</v>
      </c>
      <c r="H11" s="4">
        <v>470</v>
      </c>
      <c r="I11" s="4">
        <v>5</v>
      </c>
      <c r="J11" s="7">
        <v>46062</v>
      </c>
      <c r="K11" s="7">
        <v>46068</v>
      </c>
      <c r="L11" s="4" t="s">
        <v>78</v>
      </c>
      <c r="M11" s="4" t="str" cm="1">
        <f t="array" ref="M11">_xlfn.IFS(G11&gt;=15, "Bulk Order", G11&gt;=5, "Medium Order", G11&lt;5, "Normal Order")</f>
        <v>Medium Order</v>
      </c>
    </row>
    <row r="12" spans="1:13" x14ac:dyDescent="0.3">
      <c r="A12" s="4">
        <v>1014</v>
      </c>
      <c r="B12" s="9">
        <v>1011</v>
      </c>
      <c r="C12" s="9" t="s">
        <v>18</v>
      </c>
      <c r="D12" s="4" t="s">
        <v>23</v>
      </c>
      <c r="E12" s="4" t="s">
        <v>20</v>
      </c>
      <c r="F12" s="4" t="s">
        <v>37</v>
      </c>
      <c r="G12" s="4">
        <v>14</v>
      </c>
      <c r="H12" s="4">
        <v>88</v>
      </c>
      <c r="I12" s="4">
        <v>12</v>
      </c>
      <c r="J12" s="7">
        <v>46161</v>
      </c>
      <c r="K12" s="7">
        <v>46163</v>
      </c>
      <c r="L12" s="4" t="s">
        <v>78</v>
      </c>
      <c r="M12" s="4" t="str" cm="1">
        <f t="array" ref="M12">_xlfn.IFS(G12&gt;=15, "Bulk Order", G12&gt;=5, "Medium Order", G12&lt;5, "Normal Order")</f>
        <v>Medium Order</v>
      </c>
    </row>
    <row r="13" spans="1:13" x14ac:dyDescent="0.3">
      <c r="A13" s="4">
        <v>1079</v>
      </c>
      <c r="B13" s="9">
        <v>1012</v>
      </c>
      <c r="C13" s="9" t="s">
        <v>28</v>
      </c>
      <c r="D13" s="4" t="s">
        <v>38</v>
      </c>
      <c r="E13" s="4" t="s">
        <v>34</v>
      </c>
      <c r="F13" s="4" t="s">
        <v>5</v>
      </c>
      <c r="G13" s="4">
        <v>3</v>
      </c>
      <c r="H13" s="4">
        <v>64615</v>
      </c>
      <c r="I13" s="4">
        <v>10</v>
      </c>
      <c r="J13" s="7">
        <v>46086</v>
      </c>
      <c r="K13" s="7">
        <v>46095</v>
      </c>
      <c r="L13" s="4" t="s">
        <v>49</v>
      </c>
      <c r="M13" s="4" t="str" cm="1">
        <f t="array" ref="M13">_xlfn.IFS(G13&gt;=15, "Bulk Order", G13&gt;=5, "Medium Order", G13&lt;5, "Normal Order")</f>
        <v>Normal Order</v>
      </c>
    </row>
    <row r="14" spans="1:13" x14ac:dyDescent="0.3">
      <c r="A14" s="4">
        <v>1043</v>
      </c>
      <c r="B14" s="9">
        <v>1013</v>
      </c>
      <c r="C14" s="9" t="s">
        <v>22</v>
      </c>
      <c r="D14" s="4" t="s">
        <v>31</v>
      </c>
      <c r="E14" s="4" t="s">
        <v>20</v>
      </c>
      <c r="F14" s="4" t="s">
        <v>36</v>
      </c>
      <c r="G14" s="4">
        <v>17</v>
      </c>
      <c r="H14" s="4">
        <v>459</v>
      </c>
      <c r="I14" s="4">
        <v>12</v>
      </c>
      <c r="J14" s="7">
        <v>46095</v>
      </c>
      <c r="K14" s="7">
        <v>46105</v>
      </c>
      <c r="L14" s="4" t="s">
        <v>49</v>
      </c>
      <c r="M14" s="4" t="str" cm="1">
        <f t="array" ref="M14">_xlfn.IFS(G14&gt;=15, "Bulk Order", G14&gt;=5, "Medium Order", G14&lt;5, "Normal Order")</f>
        <v>Bulk Order</v>
      </c>
    </row>
    <row r="15" spans="1:13" x14ac:dyDescent="0.3">
      <c r="A15" s="4">
        <v>1019</v>
      </c>
      <c r="B15" s="9">
        <v>1014</v>
      </c>
      <c r="C15" s="9" t="s">
        <v>39</v>
      </c>
      <c r="D15" s="4" t="s">
        <v>23</v>
      </c>
      <c r="E15" s="4" t="s">
        <v>34</v>
      </c>
      <c r="F15" s="4" t="s">
        <v>40</v>
      </c>
      <c r="G15" s="4">
        <v>19</v>
      </c>
      <c r="H15" s="4">
        <v>53683</v>
      </c>
      <c r="I15" s="4">
        <v>12</v>
      </c>
      <c r="J15" s="7">
        <v>46129</v>
      </c>
      <c r="K15" s="7">
        <v>46134</v>
      </c>
      <c r="L15" s="4" t="s">
        <v>49</v>
      </c>
      <c r="M15" s="4" t="str" cm="1">
        <f t="array" ref="M15">_xlfn.IFS(G15&gt;=15, "Bulk Order", G15&gt;=5, "Medium Order", G15&lt;5, "Normal Order")</f>
        <v>Bulk Order</v>
      </c>
    </row>
    <row r="16" spans="1:13" x14ac:dyDescent="0.3">
      <c r="A16" s="4">
        <v>1085</v>
      </c>
      <c r="B16" s="9">
        <v>1015</v>
      </c>
      <c r="C16" s="9" t="s">
        <v>41</v>
      </c>
      <c r="D16" s="4" t="s">
        <v>42</v>
      </c>
      <c r="E16" s="4" t="s">
        <v>24</v>
      </c>
      <c r="F16" s="4" t="s">
        <v>43</v>
      </c>
      <c r="G16" s="4">
        <v>11</v>
      </c>
      <c r="H16" s="4">
        <v>14511</v>
      </c>
      <c r="I16" s="4">
        <v>2</v>
      </c>
      <c r="J16" s="7">
        <v>46175</v>
      </c>
      <c r="K16" s="7">
        <v>46185</v>
      </c>
      <c r="L16" s="4" t="s">
        <v>79</v>
      </c>
      <c r="M16" s="4" t="str" cm="1">
        <f t="array" ref="M16">_xlfn.IFS(G16&gt;=15, "Bulk Order", G16&gt;=5, "Medium Order", G16&lt;5, "Normal Order")</f>
        <v>Medium Order</v>
      </c>
    </row>
    <row r="17" spans="1:13" x14ac:dyDescent="0.3">
      <c r="A17" s="4">
        <v>1088</v>
      </c>
      <c r="B17" s="9">
        <v>1016</v>
      </c>
      <c r="C17" s="9" t="s">
        <v>32</v>
      </c>
      <c r="D17" s="4" t="s">
        <v>33</v>
      </c>
      <c r="E17" s="4" t="s">
        <v>34</v>
      </c>
      <c r="F17" s="4" t="s">
        <v>6</v>
      </c>
      <c r="G17" s="4">
        <v>16</v>
      </c>
      <c r="H17" s="4">
        <v>30234</v>
      </c>
      <c r="I17" s="4">
        <v>15</v>
      </c>
      <c r="J17" s="7">
        <v>46137</v>
      </c>
      <c r="K17" s="7">
        <v>46140</v>
      </c>
      <c r="L17" s="4" t="s">
        <v>80</v>
      </c>
      <c r="M17" s="4" t="str" cm="1">
        <f t="array" ref="M17">_xlfn.IFS(G17&gt;=15, "Bulk Order", G17&gt;=5, "Medium Order", G17&lt;5, "Normal Order")</f>
        <v>Bulk Order</v>
      </c>
    </row>
    <row r="18" spans="1:13" x14ac:dyDescent="0.3">
      <c r="A18" s="4">
        <v>1049</v>
      </c>
      <c r="B18" s="9">
        <v>1017</v>
      </c>
      <c r="C18" s="9" t="s">
        <v>44</v>
      </c>
      <c r="D18" s="4" t="s">
        <v>38</v>
      </c>
      <c r="E18" s="4" t="s">
        <v>20</v>
      </c>
      <c r="F18" s="4" t="s">
        <v>36</v>
      </c>
      <c r="G18" s="4">
        <v>8</v>
      </c>
      <c r="H18" s="4">
        <v>179</v>
      </c>
      <c r="I18" s="4">
        <v>15</v>
      </c>
      <c r="J18" s="7">
        <v>46082</v>
      </c>
      <c r="K18" s="7">
        <v>46084</v>
      </c>
      <c r="L18" s="4" t="s">
        <v>78</v>
      </c>
      <c r="M18" s="4" t="str" cm="1">
        <f t="array" ref="M18">_xlfn.IFS(G18&gt;=15, "Bulk Order", G18&gt;=5, "Medium Order", G18&lt;5, "Normal Order")</f>
        <v>Medium Order</v>
      </c>
    </row>
    <row r="19" spans="1:13" x14ac:dyDescent="0.3">
      <c r="A19" s="4">
        <v>1009</v>
      </c>
      <c r="B19" s="9">
        <v>1018</v>
      </c>
      <c r="C19" s="9" t="s">
        <v>45</v>
      </c>
      <c r="D19" s="4" t="s">
        <v>27</v>
      </c>
      <c r="E19" s="4" t="s">
        <v>20</v>
      </c>
      <c r="F19" s="4" t="s">
        <v>21</v>
      </c>
      <c r="G19" s="4">
        <v>20</v>
      </c>
      <c r="H19" s="4">
        <v>301</v>
      </c>
      <c r="I19" s="4">
        <v>0</v>
      </c>
      <c r="J19" s="7">
        <v>46089</v>
      </c>
      <c r="K19" s="7">
        <v>46094</v>
      </c>
      <c r="L19" s="4" t="s">
        <v>49</v>
      </c>
      <c r="M19" s="4" t="str" cm="1">
        <f t="array" ref="M19">_xlfn.IFS(G19&gt;=15, "Bulk Order", G19&gt;=5, "Medium Order", G19&lt;5, "Normal Order")</f>
        <v>Bulk Order</v>
      </c>
    </row>
    <row r="20" spans="1:13" x14ac:dyDescent="0.3">
      <c r="A20" s="4">
        <v>1071</v>
      </c>
      <c r="B20" s="9">
        <v>1019</v>
      </c>
      <c r="C20" s="9" t="s">
        <v>18</v>
      </c>
      <c r="D20" s="4" t="s">
        <v>42</v>
      </c>
      <c r="E20" s="4" t="s">
        <v>34</v>
      </c>
      <c r="F20" s="4" t="s">
        <v>40</v>
      </c>
      <c r="G20" s="4">
        <v>18</v>
      </c>
      <c r="H20" s="4">
        <v>45652</v>
      </c>
      <c r="I20" s="4">
        <v>10</v>
      </c>
      <c r="J20" s="7">
        <v>46023</v>
      </c>
      <c r="K20" s="7">
        <v>46030</v>
      </c>
      <c r="L20" s="4" t="s">
        <v>79</v>
      </c>
      <c r="M20" s="4" t="str" cm="1">
        <f t="array" ref="M20">_xlfn.IFS(G20&gt;=15, "Bulk Order", G20&gt;=5, "Medium Order", G20&lt;5, "Normal Order")</f>
        <v>Bulk Order</v>
      </c>
    </row>
    <row r="21" spans="1:13" x14ac:dyDescent="0.3">
      <c r="A21" s="4">
        <v>1016</v>
      </c>
      <c r="B21" s="9">
        <v>1020</v>
      </c>
      <c r="C21" s="9" t="s">
        <v>44</v>
      </c>
      <c r="D21" s="4" t="s">
        <v>19</v>
      </c>
      <c r="E21" s="4" t="s">
        <v>24</v>
      </c>
      <c r="F21" s="4" t="s">
        <v>7</v>
      </c>
      <c r="G21" s="4">
        <v>5</v>
      </c>
      <c r="H21" s="4">
        <v>4582</v>
      </c>
      <c r="I21" s="4">
        <v>5</v>
      </c>
      <c r="J21" s="7">
        <v>46078</v>
      </c>
      <c r="K21" s="7">
        <v>46083</v>
      </c>
      <c r="L21" s="4" t="s">
        <v>78</v>
      </c>
      <c r="M21" s="4" t="str" cm="1">
        <f t="array" ref="M21">_xlfn.IFS(G21&gt;=15, "Bulk Order", G21&gt;=5, "Medium Order", G21&lt;5, "Normal Order")</f>
        <v>Medium Order</v>
      </c>
    </row>
    <row r="22" spans="1:13" x14ac:dyDescent="0.3">
      <c r="A22" s="4">
        <v>1097</v>
      </c>
      <c r="B22" s="9">
        <v>1021</v>
      </c>
      <c r="C22" s="9" t="s">
        <v>46</v>
      </c>
      <c r="D22" s="4" t="s">
        <v>42</v>
      </c>
      <c r="E22" s="4" t="s">
        <v>20</v>
      </c>
      <c r="F22" s="4" t="s">
        <v>21</v>
      </c>
      <c r="G22" s="4">
        <v>3</v>
      </c>
      <c r="H22" s="4">
        <v>484</v>
      </c>
      <c r="I22" s="4">
        <v>2</v>
      </c>
      <c r="J22" s="7">
        <v>46144</v>
      </c>
      <c r="K22" s="7">
        <v>46148</v>
      </c>
      <c r="L22" s="4" t="s">
        <v>80</v>
      </c>
      <c r="M22" s="4" t="str" cm="1">
        <f t="array" ref="M22">_xlfn.IFS(G22&gt;=15, "Bulk Order", G22&gt;=5, "Medium Order", G22&lt;5, "Normal Order")</f>
        <v>Normal Order</v>
      </c>
    </row>
    <row r="23" spans="1:13" x14ac:dyDescent="0.3">
      <c r="A23" s="4">
        <v>1076</v>
      </c>
      <c r="B23" s="9">
        <v>1022</v>
      </c>
      <c r="C23" s="9" t="s">
        <v>28</v>
      </c>
      <c r="D23" s="4" t="s">
        <v>23</v>
      </c>
      <c r="E23" s="4" t="s">
        <v>34</v>
      </c>
      <c r="F23" s="4" t="s">
        <v>6</v>
      </c>
      <c r="G23" s="4">
        <v>15</v>
      </c>
      <c r="H23" s="4">
        <v>11596</v>
      </c>
      <c r="I23" s="4">
        <v>0</v>
      </c>
      <c r="J23" s="7">
        <v>46117</v>
      </c>
      <c r="K23" s="7">
        <v>46121</v>
      </c>
      <c r="L23" s="4" t="s">
        <v>49</v>
      </c>
      <c r="M23" s="4" t="str" cm="1">
        <f t="array" ref="M23">_xlfn.IFS(G23&gt;=15, "Bulk Order", G23&gt;=5, "Medium Order", G23&lt;5, "Normal Order")</f>
        <v>Bulk Order</v>
      </c>
    </row>
    <row r="24" spans="1:13" x14ac:dyDescent="0.3">
      <c r="A24" s="4">
        <v>1078</v>
      </c>
      <c r="B24" s="9">
        <v>1023</v>
      </c>
      <c r="C24" s="9" t="s">
        <v>39</v>
      </c>
      <c r="D24" s="4" t="s">
        <v>19</v>
      </c>
      <c r="E24" s="4" t="s">
        <v>24</v>
      </c>
      <c r="F24" s="4" t="s">
        <v>43</v>
      </c>
      <c r="G24" s="4">
        <v>15</v>
      </c>
      <c r="H24" s="4">
        <v>3506</v>
      </c>
      <c r="I24" s="4">
        <v>2</v>
      </c>
      <c r="J24" s="7">
        <v>46193</v>
      </c>
      <c r="K24" s="7">
        <v>46194</v>
      </c>
      <c r="L24" s="4" t="s">
        <v>49</v>
      </c>
      <c r="M24" s="4" t="str" cm="1">
        <f t="array" ref="M24">_xlfn.IFS(G24&gt;=15, "Bulk Order", G24&gt;=5, "Medium Order", G24&lt;5, "Normal Order")</f>
        <v>Bulk Order</v>
      </c>
    </row>
    <row r="25" spans="1:13" x14ac:dyDescent="0.3">
      <c r="A25" s="4">
        <v>1092</v>
      </c>
      <c r="B25" s="9">
        <v>1024</v>
      </c>
      <c r="C25" s="9" t="s">
        <v>32</v>
      </c>
      <c r="D25" s="4" t="s">
        <v>38</v>
      </c>
      <c r="E25" s="4" t="s">
        <v>34</v>
      </c>
      <c r="F25" s="4" t="s">
        <v>40</v>
      </c>
      <c r="G25" s="4">
        <v>12</v>
      </c>
      <c r="H25" s="4">
        <v>1682</v>
      </c>
      <c r="I25" s="4">
        <v>5</v>
      </c>
      <c r="J25" s="7">
        <v>46161</v>
      </c>
      <c r="K25" s="7">
        <v>46165</v>
      </c>
      <c r="L25" s="4" t="s">
        <v>78</v>
      </c>
      <c r="M25" s="4" t="str" cm="1">
        <f t="array" ref="M25">_xlfn.IFS(G25&gt;=15, "Bulk Order", G25&gt;=5, "Medium Order", G25&lt;5, "Normal Order")</f>
        <v>Medium Order</v>
      </c>
    </row>
    <row r="26" spans="1:13" x14ac:dyDescent="0.3">
      <c r="A26" s="4">
        <v>1046</v>
      </c>
      <c r="B26" s="9">
        <v>1025</v>
      </c>
      <c r="C26" s="9" t="s">
        <v>25</v>
      </c>
      <c r="D26" s="4" t="s">
        <v>19</v>
      </c>
      <c r="E26" s="4" t="s">
        <v>24</v>
      </c>
      <c r="F26" s="4" t="s">
        <v>7</v>
      </c>
      <c r="G26" s="4">
        <v>18</v>
      </c>
      <c r="H26" s="4">
        <v>7924</v>
      </c>
      <c r="I26" s="4">
        <v>0</v>
      </c>
      <c r="J26" s="7">
        <v>46175</v>
      </c>
      <c r="K26" s="7">
        <v>46181</v>
      </c>
      <c r="L26" s="4" t="s">
        <v>78</v>
      </c>
      <c r="M26" s="4" t="str" cm="1">
        <f t="array" ref="M26">_xlfn.IFS(G26&gt;=15, "Bulk Order", G26&gt;=5, "Medium Order", G26&lt;5, "Normal Order")</f>
        <v>Bulk Order</v>
      </c>
    </row>
    <row r="27" spans="1:13" x14ac:dyDescent="0.3">
      <c r="A27" s="4">
        <v>1089</v>
      </c>
      <c r="B27" s="9">
        <v>1026</v>
      </c>
      <c r="C27" s="9" t="s">
        <v>47</v>
      </c>
      <c r="D27" s="4" t="s">
        <v>31</v>
      </c>
      <c r="E27" s="4" t="s">
        <v>20</v>
      </c>
      <c r="F27" s="4" t="s">
        <v>48</v>
      </c>
      <c r="G27" s="4">
        <v>17</v>
      </c>
      <c r="H27" s="4">
        <v>323</v>
      </c>
      <c r="I27" s="4">
        <v>10</v>
      </c>
      <c r="J27" s="7">
        <v>46039</v>
      </c>
      <c r="K27" s="7">
        <v>46040</v>
      </c>
      <c r="L27" s="4" t="s">
        <v>49</v>
      </c>
      <c r="M27" s="4" t="str" cm="1">
        <f t="array" ref="M27">_xlfn.IFS(G27&gt;=15, "Bulk Order", G27&gt;=5, "Medium Order", G27&lt;5, "Normal Order")</f>
        <v>Bulk Order</v>
      </c>
    </row>
    <row r="28" spans="1:13" x14ac:dyDescent="0.3">
      <c r="A28" s="4">
        <v>1044</v>
      </c>
      <c r="B28" s="9">
        <v>1027</v>
      </c>
      <c r="C28" s="9" t="s">
        <v>49</v>
      </c>
      <c r="D28" s="4" t="s">
        <v>42</v>
      </c>
      <c r="E28" s="4" t="s">
        <v>20</v>
      </c>
      <c r="F28" s="4" t="s">
        <v>48</v>
      </c>
      <c r="G28" s="4">
        <v>4</v>
      </c>
      <c r="H28" s="4">
        <v>264</v>
      </c>
      <c r="I28" s="4">
        <v>0</v>
      </c>
      <c r="J28" s="7">
        <v>46155</v>
      </c>
      <c r="K28" s="7">
        <v>46161</v>
      </c>
      <c r="L28" s="4" t="s">
        <v>81</v>
      </c>
      <c r="M28" s="4" t="str" cm="1">
        <f t="array" ref="M28">_xlfn.IFS(G28&gt;=15, "Bulk Order", G28&gt;=5, "Medium Order", G28&lt;5, "Normal Order")</f>
        <v>Normal Order</v>
      </c>
    </row>
    <row r="29" spans="1:13" x14ac:dyDescent="0.3">
      <c r="A29" s="4">
        <v>1096</v>
      </c>
      <c r="B29" s="9">
        <v>1028</v>
      </c>
      <c r="C29" s="9" t="s">
        <v>45</v>
      </c>
      <c r="D29" s="4" t="s">
        <v>26</v>
      </c>
      <c r="E29" s="4" t="s">
        <v>20</v>
      </c>
      <c r="F29" s="4" t="s">
        <v>36</v>
      </c>
      <c r="G29" s="4">
        <v>13</v>
      </c>
      <c r="H29" s="4">
        <v>433</v>
      </c>
      <c r="I29" s="4">
        <v>2</v>
      </c>
      <c r="J29" s="7">
        <v>46116</v>
      </c>
      <c r="K29" s="7">
        <v>46121</v>
      </c>
      <c r="L29" s="4" t="s">
        <v>80</v>
      </c>
      <c r="M29" s="4" t="str" cm="1">
        <f t="array" ref="M29">_xlfn.IFS(G29&gt;=15, "Bulk Order", G29&gt;=5, "Medium Order", G29&lt;5, "Normal Order")</f>
        <v>Medium Order</v>
      </c>
    </row>
    <row r="30" spans="1:13" x14ac:dyDescent="0.3">
      <c r="A30" s="4">
        <v>1068</v>
      </c>
      <c r="B30" s="9">
        <v>1029</v>
      </c>
      <c r="C30" s="9" t="s">
        <v>30</v>
      </c>
      <c r="D30" s="4" t="s">
        <v>27</v>
      </c>
      <c r="E30" s="4" t="s">
        <v>20</v>
      </c>
      <c r="F30" s="4" t="s">
        <v>36</v>
      </c>
      <c r="G30" s="4">
        <v>18</v>
      </c>
      <c r="H30" s="4">
        <v>443</v>
      </c>
      <c r="I30" s="4">
        <v>5</v>
      </c>
      <c r="J30" s="7">
        <v>46046</v>
      </c>
      <c r="K30" s="7">
        <v>46054</v>
      </c>
      <c r="L30" s="4" t="s">
        <v>80</v>
      </c>
      <c r="M30" s="4" t="str" cm="1">
        <f t="array" ref="M30">_xlfn.IFS(G30&gt;=15, "Bulk Order", G30&gt;=5, "Medium Order", G30&lt;5, "Normal Order")</f>
        <v>Bulk Order</v>
      </c>
    </row>
    <row r="31" spans="1:13" x14ac:dyDescent="0.3">
      <c r="A31" s="4">
        <v>1015</v>
      </c>
      <c r="B31" s="9">
        <v>1030</v>
      </c>
      <c r="C31" s="9" t="s">
        <v>50</v>
      </c>
      <c r="D31" s="4" t="s">
        <v>19</v>
      </c>
      <c r="E31" s="4" t="s">
        <v>20</v>
      </c>
      <c r="F31" s="4" t="s">
        <v>51</v>
      </c>
      <c r="G31" s="4">
        <v>13</v>
      </c>
      <c r="H31" s="4">
        <v>336</v>
      </c>
      <c r="I31" s="4">
        <v>10</v>
      </c>
      <c r="J31" s="7">
        <v>46098</v>
      </c>
      <c r="K31" s="7">
        <v>46108</v>
      </c>
      <c r="L31" s="4" t="s">
        <v>78</v>
      </c>
      <c r="M31" s="4" t="str" cm="1">
        <f t="array" ref="M31">_xlfn.IFS(G31&gt;=15, "Bulk Order", G31&gt;=5, "Medium Order", G31&lt;5, "Normal Order")</f>
        <v>Medium Order</v>
      </c>
    </row>
    <row r="32" spans="1:13" x14ac:dyDescent="0.3">
      <c r="A32" s="4">
        <v>1037</v>
      </c>
      <c r="B32" s="9">
        <v>1031</v>
      </c>
      <c r="C32" s="9" t="s">
        <v>52</v>
      </c>
      <c r="D32" s="4" t="s">
        <v>31</v>
      </c>
      <c r="E32" s="4" t="s">
        <v>20</v>
      </c>
      <c r="F32" s="4" t="s">
        <v>51</v>
      </c>
      <c r="G32" s="4">
        <v>2</v>
      </c>
      <c r="H32" s="4">
        <v>184</v>
      </c>
      <c r="I32" s="4">
        <v>5</v>
      </c>
      <c r="J32" s="7">
        <v>46089</v>
      </c>
      <c r="K32" s="7">
        <v>46093</v>
      </c>
      <c r="L32" s="4" t="s">
        <v>79</v>
      </c>
      <c r="M32" s="4" t="str" cm="1">
        <f t="array" ref="M32">_xlfn.IFS(G32&gt;=15, "Bulk Order", G32&gt;=5, "Medium Order", G32&lt;5, "Normal Order")</f>
        <v>Normal Order</v>
      </c>
    </row>
    <row r="33" spans="1:13" x14ac:dyDescent="0.3">
      <c r="A33" s="4">
        <v>1066</v>
      </c>
      <c r="B33" s="9">
        <v>1032</v>
      </c>
      <c r="C33" s="9" t="s">
        <v>52</v>
      </c>
      <c r="D33" s="4" t="s">
        <v>42</v>
      </c>
      <c r="E33" s="4" t="s">
        <v>34</v>
      </c>
      <c r="F33" s="4" t="s">
        <v>5</v>
      </c>
      <c r="G33" s="4">
        <v>20</v>
      </c>
      <c r="H33" s="4">
        <v>11305</v>
      </c>
      <c r="I33" s="4">
        <v>2</v>
      </c>
      <c r="J33" s="7">
        <v>46163</v>
      </c>
      <c r="K33" s="7">
        <v>46165</v>
      </c>
      <c r="L33" s="4" t="s">
        <v>49</v>
      </c>
      <c r="M33" s="4" t="str" cm="1">
        <f t="array" ref="M33">_xlfn.IFS(G33&gt;=15, "Bulk Order", G33&gt;=5, "Medium Order", G33&lt;5, "Normal Order")</f>
        <v>Bulk Order</v>
      </c>
    </row>
    <row r="34" spans="1:13" x14ac:dyDescent="0.3">
      <c r="A34" s="4">
        <v>1048</v>
      </c>
      <c r="B34" s="9">
        <v>1033</v>
      </c>
      <c r="C34" s="9" t="s">
        <v>18</v>
      </c>
      <c r="D34" s="4" t="s">
        <v>42</v>
      </c>
      <c r="E34" s="4" t="s">
        <v>24</v>
      </c>
      <c r="F34" s="4" t="s">
        <v>7</v>
      </c>
      <c r="G34" s="4">
        <v>9</v>
      </c>
      <c r="H34" s="4">
        <v>4895</v>
      </c>
      <c r="I34" s="4">
        <v>2</v>
      </c>
      <c r="J34" s="7">
        <v>46082</v>
      </c>
      <c r="K34" s="7">
        <v>46084</v>
      </c>
      <c r="L34" s="4" t="s">
        <v>49</v>
      </c>
      <c r="M34" s="4" t="str" cm="1">
        <f t="array" ref="M34">_xlfn.IFS(G34&gt;=15, "Bulk Order", G34&gt;=5, "Medium Order", G34&lt;5, "Normal Order")</f>
        <v>Medium Order</v>
      </c>
    </row>
    <row r="35" spans="1:13" x14ac:dyDescent="0.3">
      <c r="A35" s="4">
        <v>1004</v>
      </c>
      <c r="B35" s="9">
        <v>1034</v>
      </c>
      <c r="C35" s="9" t="s">
        <v>53</v>
      </c>
      <c r="D35" s="4" t="s">
        <v>33</v>
      </c>
      <c r="E35" s="4" t="s">
        <v>24</v>
      </c>
      <c r="F35" s="4" t="s">
        <v>8</v>
      </c>
      <c r="G35" s="4">
        <v>17</v>
      </c>
      <c r="H35" s="4">
        <v>5104</v>
      </c>
      <c r="I35" s="4">
        <v>12</v>
      </c>
      <c r="J35" s="7">
        <v>46052</v>
      </c>
      <c r="K35" s="7">
        <v>46061</v>
      </c>
      <c r="L35" s="4" t="s">
        <v>81</v>
      </c>
      <c r="M35" s="4" t="str" cm="1">
        <f t="array" ref="M35">_xlfn.IFS(G35&gt;=15, "Bulk Order", G35&gt;=5, "Medium Order", G35&lt;5, "Normal Order")</f>
        <v>Bulk Order</v>
      </c>
    </row>
    <row r="36" spans="1:13" x14ac:dyDescent="0.3">
      <c r="A36" s="4">
        <v>1022</v>
      </c>
      <c r="B36" s="9">
        <v>1035</v>
      </c>
      <c r="C36" s="9" t="s">
        <v>47</v>
      </c>
      <c r="D36" s="4" t="s">
        <v>42</v>
      </c>
      <c r="E36" s="4" t="s">
        <v>24</v>
      </c>
      <c r="F36" s="4" t="s">
        <v>11</v>
      </c>
      <c r="G36" s="4">
        <v>3</v>
      </c>
      <c r="H36" s="4">
        <v>9149</v>
      </c>
      <c r="I36" s="4">
        <v>0</v>
      </c>
      <c r="J36" s="7">
        <v>46031</v>
      </c>
      <c r="K36" s="7">
        <v>46034</v>
      </c>
      <c r="L36" s="4" t="s">
        <v>80</v>
      </c>
      <c r="M36" s="4" t="str" cm="1">
        <f t="array" ref="M36">_xlfn.IFS(G36&gt;=15, "Bulk Order", G36&gt;=5, "Medium Order", G36&lt;5, "Normal Order")</f>
        <v>Normal Order</v>
      </c>
    </row>
    <row r="37" spans="1:13" x14ac:dyDescent="0.3">
      <c r="A37" s="4">
        <v>1032</v>
      </c>
      <c r="B37" s="9">
        <v>1036</v>
      </c>
      <c r="C37" s="9" t="s">
        <v>18</v>
      </c>
      <c r="D37" s="4" t="s">
        <v>27</v>
      </c>
      <c r="E37" s="4" t="s">
        <v>20</v>
      </c>
      <c r="F37" s="4" t="s">
        <v>36</v>
      </c>
      <c r="G37" s="4">
        <v>20</v>
      </c>
      <c r="H37" s="4">
        <v>161</v>
      </c>
      <c r="I37" s="4">
        <v>7</v>
      </c>
      <c r="J37" s="7">
        <v>46071</v>
      </c>
      <c r="K37" s="7">
        <v>46077</v>
      </c>
      <c r="L37" s="4" t="s">
        <v>80</v>
      </c>
      <c r="M37" s="4" t="str" cm="1">
        <f t="array" ref="M37">_xlfn.IFS(G37&gt;=15, "Bulk Order", G37&gt;=5, "Medium Order", G37&lt;5, "Normal Order")</f>
        <v>Bulk Order</v>
      </c>
    </row>
    <row r="38" spans="1:13" x14ac:dyDescent="0.3">
      <c r="A38" s="4">
        <v>1067</v>
      </c>
      <c r="B38" s="9">
        <v>1037</v>
      </c>
      <c r="C38" s="9" t="s">
        <v>44</v>
      </c>
      <c r="D38" s="4" t="s">
        <v>42</v>
      </c>
      <c r="E38" s="4" t="s">
        <v>24</v>
      </c>
      <c r="F38" s="4" t="s">
        <v>11</v>
      </c>
      <c r="G38" s="4">
        <v>6</v>
      </c>
      <c r="H38" s="4">
        <v>14385</v>
      </c>
      <c r="I38" s="4">
        <v>12</v>
      </c>
      <c r="J38" s="7">
        <v>46033</v>
      </c>
      <c r="K38" s="7">
        <v>46043</v>
      </c>
      <c r="L38" s="4" t="s">
        <v>80</v>
      </c>
      <c r="M38" s="4" t="str" cm="1">
        <f t="array" ref="M38">_xlfn.IFS(G38&gt;=15, "Bulk Order", G38&gt;=5, "Medium Order", G38&lt;5, "Normal Order")</f>
        <v>Medium Order</v>
      </c>
    </row>
    <row r="39" spans="1:13" x14ac:dyDescent="0.3">
      <c r="A39" s="4">
        <v>1047</v>
      </c>
      <c r="B39" s="9">
        <v>1038</v>
      </c>
      <c r="C39" s="9" t="s">
        <v>53</v>
      </c>
      <c r="D39" s="4" t="s">
        <v>23</v>
      </c>
      <c r="E39" s="4" t="s">
        <v>20</v>
      </c>
      <c r="F39" s="4" t="s">
        <v>36</v>
      </c>
      <c r="G39" s="4">
        <v>17</v>
      </c>
      <c r="H39" s="4">
        <v>223</v>
      </c>
      <c r="I39" s="4">
        <v>7</v>
      </c>
      <c r="J39" s="7">
        <v>46030</v>
      </c>
      <c r="K39" s="7">
        <v>46031</v>
      </c>
      <c r="L39" s="4" t="s">
        <v>81</v>
      </c>
      <c r="M39" s="4" t="str" cm="1">
        <f t="array" ref="M39">_xlfn.IFS(G39&gt;=15, "Bulk Order", G39&gt;=5, "Medium Order", G39&lt;5, "Normal Order")</f>
        <v>Bulk Order</v>
      </c>
    </row>
    <row r="40" spans="1:13" x14ac:dyDescent="0.3">
      <c r="A40" s="4">
        <v>1054</v>
      </c>
      <c r="B40" s="9">
        <v>1039</v>
      </c>
      <c r="C40" s="9" t="s">
        <v>46</v>
      </c>
      <c r="D40" s="4" t="s">
        <v>38</v>
      </c>
      <c r="E40" s="4" t="s">
        <v>34</v>
      </c>
      <c r="F40" s="4" t="s">
        <v>6</v>
      </c>
      <c r="G40" s="4">
        <v>5</v>
      </c>
      <c r="H40" s="4">
        <v>60236</v>
      </c>
      <c r="I40" s="4">
        <v>10</v>
      </c>
      <c r="J40" s="7">
        <v>46107</v>
      </c>
      <c r="K40" s="7">
        <v>46110</v>
      </c>
      <c r="L40" s="4" t="s">
        <v>79</v>
      </c>
      <c r="M40" s="4" t="str" cm="1">
        <f t="array" ref="M40">_xlfn.IFS(G40&gt;=15, "Bulk Order", G40&gt;=5, "Medium Order", G40&lt;5, "Normal Order")</f>
        <v>Medium Order</v>
      </c>
    </row>
    <row r="41" spans="1:13" x14ac:dyDescent="0.3">
      <c r="A41" s="4">
        <v>1056</v>
      </c>
      <c r="B41" s="9">
        <v>1040</v>
      </c>
      <c r="C41" s="9" t="s">
        <v>47</v>
      </c>
      <c r="D41" s="4" t="s">
        <v>38</v>
      </c>
      <c r="E41" s="4" t="s">
        <v>24</v>
      </c>
      <c r="F41" s="4" t="s">
        <v>8</v>
      </c>
      <c r="G41" s="4">
        <v>10</v>
      </c>
      <c r="H41" s="4">
        <v>7531</v>
      </c>
      <c r="I41" s="4">
        <v>2</v>
      </c>
      <c r="J41" s="7">
        <v>46171</v>
      </c>
      <c r="K41" s="7">
        <v>46178</v>
      </c>
      <c r="L41" s="4" t="s">
        <v>80</v>
      </c>
      <c r="M41" s="4" t="str" cm="1">
        <f t="array" ref="M41">_xlfn.IFS(G41&gt;=15, "Bulk Order", G41&gt;=5, "Medium Order", G41&lt;5, "Normal Order")</f>
        <v>Medium Order</v>
      </c>
    </row>
    <row r="42" spans="1:13" x14ac:dyDescent="0.3">
      <c r="A42" s="4">
        <v>1053</v>
      </c>
      <c r="B42" s="9">
        <v>1041</v>
      </c>
      <c r="C42" s="9" t="s">
        <v>52</v>
      </c>
      <c r="D42" s="4" t="s">
        <v>38</v>
      </c>
      <c r="E42" s="4" t="s">
        <v>20</v>
      </c>
      <c r="F42" s="4" t="s">
        <v>48</v>
      </c>
      <c r="G42" s="4">
        <v>9</v>
      </c>
      <c r="H42" s="4">
        <v>71</v>
      </c>
      <c r="I42" s="4">
        <v>7</v>
      </c>
      <c r="J42" s="7">
        <v>46185</v>
      </c>
      <c r="K42" s="7">
        <v>46188</v>
      </c>
      <c r="L42" s="4" t="s">
        <v>78</v>
      </c>
      <c r="M42" s="4" t="str" cm="1">
        <f t="array" ref="M42">_xlfn.IFS(G42&gt;=15, "Bulk Order", G42&gt;=5, "Medium Order", G42&lt;5, "Normal Order")</f>
        <v>Medium Order</v>
      </c>
    </row>
    <row r="43" spans="1:13" x14ac:dyDescent="0.3">
      <c r="A43" s="4">
        <v>1060</v>
      </c>
      <c r="B43" s="9">
        <v>1042</v>
      </c>
      <c r="C43" s="9" t="s">
        <v>44</v>
      </c>
      <c r="D43" s="4" t="s">
        <v>33</v>
      </c>
      <c r="E43" s="4" t="s">
        <v>20</v>
      </c>
      <c r="F43" s="4" t="s">
        <v>51</v>
      </c>
      <c r="G43" s="4">
        <v>16</v>
      </c>
      <c r="H43" s="4">
        <v>232</v>
      </c>
      <c r="I43" s="4">
        <v>0</v>
      </c>
      <c r="J43" s="7">
        <v>46081</v>
      </c>
      <c r="K43" s="7">
        <v>46088</v>
      </c>
      <c r="L43" s="4" t="s">
        <v>49</v>
      </c>
      <c r="M43" s="4" t="str" cm="1">
        <f t="array" ref="M43">_xlfn.IFS(G43&gt;=15, "Bulk Order", G43&gt;=5, "Medium Order", G43&lt;5, "Normal Order")</f>
        <v>Bulk Order</v>
      </c>
    </row>
    <row r="44" spans="1:13" x14ac:dyDescent="0.3">
      <c r="A44" s="4">
        <v>1057</v>
      </c>
      <c r="B44" s="9">
        <v>1043</v>
      </c>
      <c r="C44" s="9" t="s">
        <v>47</v>
      </c>
      <c r="D44" s="4" t="s">
        <v>38</v>
      </c>
      <c r="E44" s="4" t="s">
        <v>34</v>
      </c>
      <c r="F44" s="4" t="s">
        <v>35</v>
      </c>
      <c r="G44" s="4">
        <v>20</v>
      </c>
      <c r="H44" s="4">
        <v>46093</v>
      </c>
      <c r="I44" s="4">
        <v>5</v>
      </c>
      <c r="J44" s="7">
        <v>46091</v>
      </c>
      <c r="K44" s="7">
        <v>46098</v>
      </c>
      <c r="L44" s="4" t="s">
        <v>49</v>
      </c>
      <c r="M44" s="4" t="str" cm="1">
        <f t="array" ref="M44">_xlfn.IFS(G44&gt;=15, "Bulk Order", G44&gt;=5, "Medium Order", G44&lt;5, "Normal Order")</f>
        <v>Bulk Order</v>
      </c>
    </row>
    <row r="45" spans="1:13" x14ac:dyDescent="0.3">
      <c r="A45" s="4">
        <v>1035</v>
      </c>
      <c r="B45" s="9">
        <v>1044</v>
      </c>
      <c r="C45" s="9" t="s">
        <v>46</v>
      </c>
      <c r="D45" s="4" t="s">
        <v>38</v>
      </c>
      <c r="E45" s="4" t="s">
        <v>24</v>
      </c>
      <c r="F45" s="4" t="s">
        <v>7</v>
      </c>
      <c r="G45" s="4">
        <v>4</v>
      </c>
      <c r="H45" s="4">
        <v>14731</v>
      </c>
      <c r="I45" s="4">
        <v>2</v>
      </c>
      <c r="J45" s="7">
        <v>46173</v>
      </c>
      <c r="K45" s="7">
        <v>46176</v>
      </c>
      <c r="L45" s="4" t="s">
        <v>79</v>
      </c>
      <c r="M45" s="4" t="str" cm="1">
        <f t="array" ref="M45">_xlfn.IFS(G45&gt;=15, "Bulk Order", G45&gt;=5, "Medium Order", G45&lt;5, "Normal Order")</f>
        <v>Normal Order</v>
      </c>
    </row>
    <row r="46" spans="1:13" x14ac:dyDescent="0.3">
      <c r="A46" s="4">
        <v>1002</v>
      </c>
      <c r="B46" s="9">
        <v>1045</v>
      </c>
      <c r="C46" s="9" t="s">
        <v>32</v>
      </c>
      <c r="D46" s="4" t="s">
        <v>38</v>
      </c>
      <c r="E46" s="4" t="s">
        <v>34</v>
      </c>
      <c r="F46" s="4" t="s">
        <v>35</v>
      </c>
      <c r="G46" s="4">
        <v>3</v>
      </c>
      <c r="H46" s="4">
        <v>62762</v>
      </c>
      <c r="I46" s="4">
        <v>7</v>
      </c>
      <c r="J46" s="7">
        <v>46038</v>
      </c>
      <c r="K46" s="7">
        <v>46039</v>
      </c>
      <c r="L46" s="4" t="s">
        <v>49</v>
      </c>
      <c r="M46" s="4" t="str" cm="1">
        <f t="array" ref="M46">_xlfn.IFS(G46&gt;=15, "Bulk Order", G46&gt;=5, "Medium Order", G46&lt;5, "Normal Order")</f>
        <v>Normal Order</v>
      </c>
    </row>
    <row r="47" spans="1:13" x14ac:dyDescent="0.3">
      <c r="A47" s="4">
        <v>1062</v>
      </c>
      <c r="B47" s="9">
        <v>1046</v>
      </c>
      <c r="C47" s="9" t="s">
        <v>54</v>
      </c>
      <c r="D47" s="4" t="s">
        <v>38</v>
      </c>
      <c r="E47" s="4" t="s">
        <v>34</v>
      </c>
      <c r="F47" s="4" t="s">
        <v>6</v>
      </c>
      <c r="G47" s="4">
        <v>3</v>
      </c>
      <c r="H47" s="4">
        <v>19443</v>
      </c>
      <c r="I47" s="4">
        <v>10</v>
      </c>
      <c r="J47" s="7">
        <v>46153</v>
      </c>
      <c r="K47" s="7">
        <v>46158</v>
      </c>
      <c r="L47" s="4" t="s">
        <v>49</v>
      </c>
      <c r="M47" s="4" t="str" cm="1">
        <f t="array" ref="M47">_xlfn.IFS(G47&gt;=15, "Bulk Order", G47&gt;=5, "Medium Order", G47&lt;5, "Normal Order")</f>
        <v>Normal Order</v>
      </c>
    </row>
    <row r="48" spans="1:13" x14ac:dyDescent="0.3">
      <c r="A48" s="4">
        <v>1093</v>
      </c>
      <c r="B48" s="9">
        <v>1047</v>
      </c>
      <c r="C48" s="9" t="s">
        <v>55</v>
      </c>
      <c r="D48" s="4" t="s">
        <v>38</v>
      </c>
      <c r="E48" s="4" t="s">
        <v>24</v>
      </c>
      <c r="F48" s="4" t="s">
        <v>11</v>
      </c>
      <c r="G48" s="4">
        <v>11</v>
      </c>
      <c r="H48" s="4">
        <v>9976</v>
      </c>
      <c r="I48" s="4">
        <v>12</v>
      </c>
      <c r="J48" s="7">
        <v>46200</v>
      </c>
      <c r="K48" s="7">
        <v>46209</v>
      </c>
      <c r="L48" s="4" t="s">
        <v>78</v>
      </c>
      <c r="M48" s="4" t="str" cm="1">
        <f t="array" ref="M48">_xlfn.IFS(G48&gt;=15, "Bulk Order", G48&gt;=5, "Medium Order", G48&lt;5, "Normal Order")</f>
        <v>Medium Order</v>
      </c>
    </row>
    <row r="49" spans="1:13" x14ac:dyDescent="0.3">
      <c r="A49" s="4">
        <v>1025</v>
      </c>
      <c r="B49" s="9">
        <v>1048</v>
      </c>
      <c r="C49" s="9" t="s">
        <v>56</v>
      </c>
      <c r="D49" s="4" t="s">
        <v>27</v>
      </c>
      <c r="E49" s="4" t="s">
        <v>34</v>
      </c>
      <c r="F49" s="4" t="s">
        <v>9</v>
      </c>
      <c r="G49" s="4">
        <v>14</v>
      </c>
      <c r="H49" s="4">
        <v>11762</v>
      </c>
      <c r="I49" s="4">
        <v>7</v>
      </c>
      <c r="J49" s="7">
        <v>46180</v>
      </c>
      <c r="K49" s="7">
        <v>46186</v>
      </c>
      <c r="L49" s="4" t="s">
        <v>80</v>
      </c>
      <c r="M49" s="4" t="str" cm="1">
        <f t="array" ref="M49">_xlfn.IFS(G49&gt;=15, "Bulk Order", G49&gt;=5, "Medium Order", G49&lt;5, "Normal Order")</f>
        <v>Medium Order</v>
      </c>
    </row>
    <row r="50" spans="1:13" x14ac:dyDescent="0.3">
      <c r="A50" s="4">
        <v>1065</v>
      </c>
      <c r="B50" s="9">
        <v>1049</v>
      </c>
      <c r="C50" s="9" t="s">
        <v>50</v>
      </c>
      <c r="D50" s="4" t="s">
        <v>27</v>
      </c>
      <c r="E50" s="4" t="s">
        <v>34</v>
      </c>
      <c r="F50" s="4" t="s">
        <v>6</v>
      </c>
      <c r="G50" s="4">
        <v>2</v>
      </c>
      <c r="H50" s="4">
        <v>40789</v>
      </c>
      <c r="I50" s="4">
        <v>0</v>
      </c>
      <c r="J50" s="7">
        <v>46102</v>
      </c>
      <c r="K50" s="7">
        <v>46108</v>
      </c>
      <c r="L50" s="4" t="s">
        <v>80</v>
      </c>
      <c r="M50" s="4" t="str" cm="1">
        <f t="array" ref="M50">_xlfn.IFS(G50&gt;=15, "Bulk Order", G50&gt;=5, "Medium Order", G50&lt;5, "Normal Order")</f>
        <v>Normal Order</v>
      </c>
    </row>
    <row r="51" spans="1:13" x14ac:dyDescent="0.3">
      <c r="A51" s="4">
        <v>1040</v>
      </c>
      <c r="B51" s="9">
        <v>1050</v>
      </c>
      <c r="C51" s="9" t="s">
        <v>32</v>
      </c>
      <c r="D51" s="4" t="s">
        <v>27</v>
      </c>
      <c r="E51" s="4" t="s">
        <v>20</v>
      </c>
      <c r="F51" s="4" t="s">
        <v>51</v>
      </c>
      <c r="G51" s="4">
        <v>12</v>
      </c>
      <c r="H51" s="4">
        <v>360</v>
      </c>
      <c r="I51" s="4">
        <v>5</v>
      </c>
      <c r="J51" s="7">
        <v>46127</v>
      </c>
      <c r="K51" s="7">
        <v>46137</v>
      </c>
      <c r="L51" s="4" t="s">
        <v>49</v>
      </c>
      <c r="M51" s="4" t="str" cm="1">
        <f t="array" ref="M51">_xlfn.IFS(G51&gt;=15, "Bulk Order", G51&gt;=5, "Medium Order", G51&lt;5, "Normal Order")</f>
        <v>Medium Order</v>
      </c>
    </row>
    <row r="52" spans="1:13" x14ac:dyDescent="0.3">
      <c r="A52" s="4">
        <v>1094</v>
      </c>
      <c r="B52" s="9">
        <v>1051</v>
      </c>
      <c r="C52" s="9" t="s">
        <v>55</v>
      </c>
      <c r="D52" s="4" t="s">
        <v>23</v>
      </c>
      <c r="E52" s="4" t="s">
        <v>20</v>
      </c>
      <c r="F52" s="4" t="s">
        <v>36</v>
      </c>
      <c r="G52" s="4">
        <v>12</v>
      </c>
      <c r="H52" s="4">
        <v>47</v>
      </c>
      <c r="I52" s="4">
        <v>2</v>
      </c>
      <c r="J52" s="7">
        <v>46037</v>
      </c>
      <c r="K52" s="7">
        <v>46045</v>
      </c>
      <c r="L52" s="4" t="s">
        <v>78</v>
      </c>
      <c r="M52" s="4" t="str" cm="1">
        <f t="array" ref="M52">_xlfn.IFS(G52&gt;=15, "Bulk Order", G52&gt;=5, "Medium Order", G52&lt;5, "Normal Order")</f>
        <v>Medium Order</v>
      </c>
    </row>
    <row r="53" spans="1:13" x14ac:dyDescent="0.3">
      <c r="A53" s="4">
        <v>1084</v>
      </c>
      <c r="B53" s="9">
        <v>1052</v>
      </c>
      <c r="C53" s="9" t="s">
        <v>53</v>
      </c>
      <c r="D53" s="4" t="s">
        <v>19</v>
      </c>
      <c r="E53" s="4" t="s">
        <v>20</v>
      </c>
      <c r="F53" s="4" t="s">
        <v>21</v>
      </c>
      <c r="G53" s="4">
        <v>17</v>
      </c>
      <c r="H53" s="4">
        <v>172</v>
      </c>
      <c r="I53" s="4">
        <v>10</v>
      </c>
      <c r="J53" s="7">
        <v>46159</v>
      </c>
      <c r="K53" s="7">
        <v>46165</v>
      </c>
      <c r="L53" s="4" t="s">
        <v>79</v>
      </c>
      <c r="M53" s="4" t="str" cm="1">
        <f t="array" ref="M53">_xlfn.IFS(G53&gt;=15, "Bulk Order", G53&gt;=5, "Medium Order", G53&lt;5, "Normal Order")</f>
        <v>Bulk Order</v>
      </c>
    </row>
    <row r="54" spans="1:13" x14ac:dyDescent="0.3">
      <c r="A54" s="4">
        <v>1058</v>
      </c>
      <c r="B54" s="9">
        <v>1053</v>
      </c>
      <c r="C54" s="9" t="s">
        <v>22</v>
      </c>
      <c r="D54" s="4" t="s">
        <v>33</v>
      </c>
      <c r="E54" s="4" t="s">
        <v>24</v>
      </c>
      <c r="F54" s="4" t="s">
        <v>8</v>
      </c>
      <c r="G54" s="4">
        <v>1</v>
      </c>
      <c r="H54" s="4">
        <v>9749</v>
      </c>
      <c r="I54" s="4">
        <v>15</v>
      </c>
      <c r="J54" s="7">
        <v>46064</v>
      </c>
      <c r="K54" s="7">
        <v>46070</v>
      </c>
      <c r="L54" s="4" t="s">
        <v>80</v>
      </c>
      <c r="M54" s="4" t="str" cm="1">
        <f t="array" ref="M54">_xlfn.IFS(G54&gt;=15, "Bulk Order", G54&gt;=5, "Medium Order", G54&lt;5, "Normal Order")</f>
        <v>Normal Order</v>
      </c>
    </row>
    <row r="55" spans="1:13" x14ac:dyDescent="0.3">
      <c r="A55" s="4">
        <v>1099</v>
      </c>
      <c r="B55" s="9">
        <v>1054</v>
      </c>
      <c r="C55" s="9" t="s">
        <v>28</v>
      </c>
      <c r="D55" s="4" t="s">
        <v>27</v>
      </c>
      <c r="E55" s="4" t="s">
        <v>24</v>
      </c>
      <c r="F55" s="4" t="s">
        <v>10</v>
      </c>
      <c r="G55" s="4">
        <v>8</v>
      </c>
      <c r="H55" s="4">
        <v>9798</v>
      </c>
      <c r="I55" s="4">
        <v>12</v>
      </c>
      <c r="J55" s="7">
        <v>46200</v>
      </c>
      <c r="K55" s="7">
        <v>46201</v>
      </c>
      <c r="L55" s="4" t="s">
        <v>81</v>
      </c>
      <c r="M55" s="4" t="str" cm="1">
        <f t="array" ref="M55">_xlfn.IFS(G55&gt;=15, "Bulk Order", G55&gt;=5, "Medium Order", G55&lt;5, "Normal Order")</f>
        <v>Medium Order</v>
      </c>
    </row>
    <row r="56" spans="1:13" x14ac:dyDescent="0.3">
      <c r="A56" s="4">
        <v>1034</v>
      </c>
      <c r="B56" s="9">
        <v>1055</v>
      </c>
      <c r="C56" s="9" t="s">
        <v>46</v>
      </c>
      <c r="D56" s="4" t="s">
        <v>19</v>
      </c>
      <c r="E56" s="4" t="s">
        <v>20</v>
      </c>
      <c r="F56" s="4" t="s">
        <v>37</v>
      </c>
      <c r="G56" s="4">
        <v>18</v>
      </c>
      <c r="H56" s="4">
        <v>185</v>
      </c>
      <c r="I56" s="4">
        <v>15</v>
      </c>
      <c r="J56" s="7">
        <v>46077</v>
      </c>
      <c r="K56" s="7">
        <v>46078</v>
      </c>
      <c r="L56" s="4" t="s">
        <v>78</v>
      </c>
      <c r="M56" s="4" t="str" cm="1">
        <f t="array" ref="M56">_xlfn.IFS(G56&gt;=15, "Bulk Order", G56&gt;=5, "Medium Order", G56&lt;5, "Normal Order")</f>
        <v>Bulk Order</v>
      </c>
    </row>
    <row r="57" spans="1:13" x14ac:dyDescent="0.3">
      <c r="A57" s="4">
        <v>1033</v>
      </c>
      <c r="B57" s="9">
        <v>1056</v>
      </c>
      <c r="C57" s="9" t="s">
        <v>18</v>
      </c>
      <c r="D57" s="4" t="s">
        <v>26</v>
      </c>
      <c r="E57" s="4" t="s">
        <v>24</v>
      </c>
      <c r="F57" s="4" t="s">
        <v>7</v>
      </c>
      <c r="G57" s="4">
        <v>3</v>
      </c>
      <c r="H57" s="4">
        <v>9771</v>
      </c>
      <c r="I57" s="4">
        <v>5</v>
      </c>
      <c r="J57" s="7">
        <v>46133</v>
      </c>
      <c r="K57" s="7">
        <v>46139</v>
      </c>
      <c r="L57" s="4" t="s">
        <v>80</v>
      </c>
      <c r="M57" s="4" t="str" cm="1">
        <f t="array" ref="M57">_xlfn.IFS(G57&gt;=15, "Bulk Order", G57&gt;=5, "Medium Order", G57&lt;5, "Normal Order")</f>
        <v>Normal Order</v>
      </c>
    </row>
    <row r="58" spans="1:13" x14ac:dyDescent="0.3">
      <c r="A58" s="4">
        <v>1020</v>
      </c>
      <c r="B58" s="9">
        <v>1057</v>
      </c>
      <c r="C58" s="9" t="s">
        <v>56</v>
      </c>
      <c r="D58" s="4" t="s">
        <v>26</v>
      </c>
      <c r="E58" s="4" t="s">
        <v>24</v>
      </c>
      <c r="F58" s="4" t="s">
        <v>8</v>
      </c>
      <c r="G58" s="4">
        <v>2</v>
      </c>
      <c r="H58" s="4">
        <v>9531</v>
      </c>
      <c r="I58" s="4">
        <v>15</v>
      </c>
      <c r="J58" s="7">
        <v>46067</v>
      </c>
      <c r="K58" s="7">
        <v>46076</v>
      </c>
      <c r="L58" s="4" t="s">
        <v>81</v>
      </c>
      <c r="M58" s="4" t="str" cm="1">
        <f t="array" ref="M58">_xlfn.IFS(G58&gt;=15, "Bulk Order", G58&gt;=5, "Medium Order", G58&lt;5, "Normal Order")</f>
        <v>Normal Order</v>
      </c>
    </row>
    <row r="59" spans="1:13" x14ac:dyDescent="0.3">
      <c r="A59" s="4">
        <v>1069</v>
      </c>
      <c r="B59" s="9">
        <v>1058</v>
      </c>
      <c r="C59" s="9" t="s">
        <v>50</v>
      </c>
      <c r="D59" s="4" t="s">
        <v>38</v>
      </c>
      <c r="E59" s="4" t="s">
        <v>24</v>
      </c>
      <c r="F59" s="4" t="s">
        <v>8</v>
      </c>
      <c r="G59" s="4">
        <v>10</v>
      </c>
      <c r="H59" s="4">
        <v>5532</v>
      </c>
      <c r="I59" s="4">
        <v>7</v>
      </c>
      <c r="J59" s="7">
        <v>46074</v>
      </c>
      <c r="K59" s="7">
        <v>46084</v>
      </c>
      <c r="L59" s="4" t="s">
        <v>80</v>
      </c>
      <c r="M59" s="4" t="str" cm="1">
        <f t="array" ref="M59">_xlfn.IFS(G59&gt;=15, "Bulk Order", G59&gt;=5, "Medium Order", G59&lt;5, "Normal Order")</f>
        <v>Medium Order</v>
      </c>
    </row>
    <row r="60" spans="1:13" x14ac:dyDescent="0.3">
      <c r="A60" s="4">
        <v>1023</v>
      </c>
      <c r="B60" s="9">
        <v>1059</v>
      </c>
      <c r="C60" s="9" t="s">
        <v>52</v>
      </c>
      <c r="D60" s="4" t="s">
        <v>27</v>
      </c>
      <c r="E60" s="4" t="s">
        <v>20</v>
      </c>
      <c r="F60" s="4" t="s">
        <v>48</v>
      </c>
      <c r="G60" s="4">
        <v>20</v>
      </c>
      <c r="H60" s="4">
        <v>112</v>
      </c>
      <c r="I60" s="4">
        <v>10</v>
      </c>
      <c r="J60" s="7">
        <v>46113</v>
      </c>
      <c r="K60" s="7">
        <v>46122</v>
      </c>
      <c r="L60" s="4" t="s">
        <v>81</v>
      </c>
      <c r="M60" s="4" t="str" cm="1">
        <f t="array" ref="M60">_xlfn.IFS(G60&gt;=15, "Bulk Order", G60&gt;=5, "Medium Order", G60&lt;5, "Normal Order")</f>
        <v>Bulk Order</v>
      </c>
    </row>
    <row r="61" spans="1:13" x14ac:dyDescent="0.3">
      <c r="A61" s="4">
        <v>1006</v>
      </c>
      <c r="B61" s="9">
        <v>1060</v>
      </c>
      <c r="C61" s="9" t="s">
        <v>47</v>
      </c>
      <c r="D61" s="4" t="s">
        <v>19</v>
      </c>
      <c r="E61" s="4" t="s">
        <v>24</v>
      </c>
      <c r="F61" s="4" t="s">
        <v>43</v>
      </c>
      <c r="G61" s="4">
        <v>9</v>
      </c>
      <c r="H61" s="4">
        <v>9727</v>
      </c>
      <c r="I61" s="4">
        <v>2</v>
      </c>
      <c r="J61" s="7">
        <v>46024</v>
      </c>
      <c r="K61" s="7">
        <v>46030</v>
      </c>
      <c r="L61" s="4" t="s">
        <v>79</v>
      </c>
      <c r="M61" s="4" t="str" cm="1">
        <f t="array" ref="M61">_xlfn.IFS(G61&gt;=15, "Bulk Order", G61&gt;=5, "Medium Order", G61&lt;5, "Normal Order")</f>
        <v>Medium Order</v>
      </c>
    </row>
    <row r="62" spans="1:13" x14ac:dyDescent="0.3">
      <c r="A62" s="4">
        <v>1073</v>
      </c>
      <c r="B62" s="9">
        <v>1061</v>
      </c>
      <c r="C62" s="9" t="s">
        <v>54</v>
      </c>
      <c r="D62" s="4" t="s">
        <v>19</v>
      </c>
      <c r="E62" s="4" t="s">
        <v>34</v>
      </c>
      <c r="F62" s="4" t="s">
        <v>40</v>
      </c>
      <c r="G62" s="4">
        <v>16</v>
      </c>
      <c r="H62" s="4">
        <v>59084</v>
      </c>
      <c r="I62" s="4">
        <v>0</v>
      </c>
      <c r="J62" s="7">
        <v>46060</v>
      </c>
      <c r="K62" s="7">
        <v>46069</v>
      </c>
      <c r="L62" s="4" t="s">
        <v>79</v>
      </c>
      <c r="M62" s="4" t="str" cm="1">
        <f t="array" ref="M62">_xlfn.IFS(G62&gt;=15, "Bulk Order", G62&gt;=5, "Medium Order", G62&lt;5, "Normal Order")</f>
        <v>Bulk Order</v>
      </c>
    </row>
    <row r="63" spans="1:13" x14ac:dyDescent="0.3">
      <c r="A63" s="4">
        <v>1003</v>
      </c>
      <c r="B63" s="9">
        <v>1062</v>
      </c>
      <c r="C63" s="9" t="s">
        <v>39</v>
      </c>
      <c r="D63" s="4" t="s">
        <v>42</v>
      </c>
      <c r="E63" s="4" t="s">
        <v>24</v>
      </c>
      <c r="F63" s="4" t="s">
        <v>10</v>
      </c>
      <c r="G63" s="4">
        <v>8</v>
      </c>
      <c r="H63" s="4">
        <v>8360</v>
      </c>
      <c r="I63" s="4">
        <v>2</v>
      </c>
      <c r="J63" s="7">
        <v>46190</v>
      </c>
      <c r="K63" s="7">
        <v>46200</v>
      </c>
      <c r="L63" s="4" t="s">
        <v>81</v>
      </c>
      <c r="M63" s="4" t="str" cm="1">
        <f t="array" ref="M63">_xlfn.IFS(G63&gt;=15, "Bulk Order", G63&gt;=5, "Medium Order", G63&lt;5, "Normal Order")</f>
        <v>Medium Order</v>
      </c>
    </row>
    <row r="64" spans="1:13" x14ac:dyDescent="0.3">
      <c r="A64" s="4">
        <v>1024</v>
      </c>
      <c r="B64" s="9">
        <v>1063</v>
      </c>
      <c r="C64" s="9" t="s">
        <v>52</v>
      </c>
      <c r="D64" s="4" t="s">
        <v>26</v>
      </c>
      <c r="E64" s="4" t="s">
        <v>34</v>
      </c>
      <c r="F64" s="4" t="s">
        <v>6</v>
      </c>
      <c r="G64" s="4">
        <v>7</v>
      </c>
      <c r="H64" s="4">
        <v>66744</v>
      </c>
      <c r="I64" s="4">
        <v>7</v>
      </c>
      <c r="J64" s="7">
        <v>46148</v>
      </c>
      <c r="K64" s="7">
        <v>46155</v>
      </c>
      <c r="L64" s="4" t="s">
        <v>78</v>
      </c>
      <c r="M64" s="4" t="str" cm="1">
        <f t="array" ref="M64">_xlfn.IFS(G64&gt;=15, "Bulk Order", G64&gt;=5, "Medium Order", G64&lt;5, "Normal Order")</f>
        <v>Medium Order</v>
      </c>
    </row>
    <row r="65" spans="1:13" x14ac:dyDescent="0.3">
      <c r="A65" s="4">
        <v>1008</v>
      </c>
      <c r="B65" s="9">
        <v>1064</v>
      </c>
      <c r="C65" s="9" t="s">
        <v>28</v>
      </c>
      <c r="D65" s="4" t="s">
        <v>23</v>
      </c>
      <c r="E65" s="4" t="s">
        <v>20</v>
      </c>
      <c r="F65" s="4" t="s">
        <v>48</v>
      </c>
      <c r="G65" s="4">
        <v>20</v>
      </c>
      <c r="H65" s="4">
        <v>191</v>
      </c>
      <c r="I65" s="4">
        <v>7</v>
      </c>
      <c r="J65" s="7">
        <v>46185</v>
      </c>
      <c r="K65" s="7">
        <v>46195</v>
      </c>
      <c r="L65" s="4" t="s">
        <v>49</v>
      </c>
      <c r="M65" s="4" t="str" cm="1">
        <f t="array" ref="M65">_xlfn.IFS(G65&gt;=15, "Bulk Order", G65&gt;=5, "Medium Order", G65&lt;5, "Normal Order")</f>
        <v>Bulk Order</v>
      </c>
    </row>
    <row r="66" spans="1:13" x14ac:dyDescent="0.3">
      <c r="A66" s="4">
        <v>1095</v>
      </c>
      <c r="B66" s="9">
        <v>1065</v>
      </c>
      <c r="C66" s="9" t="s">
        <v>41</v>
      </c>
      <c r="D66" s="4" t="s">
        <v>42</v>
      </c>
      <c r="E66" s="4" t="s">
        <v>24</v>
      </c>
      <c r="F66" s="4" t="s">
        <v>43</v>
      </c>
      <c r="G66" s="4">
        <v>1</v>
      </c>
      <c r="H66" s="4">
        <v>7730</v>
      </c>
      <c r="I66" s="4">
        <v>5</v>
      </c>
      <c r="J66" s="7">
        <v>46192</v>
      </c>
      <c r="K66" s="7">
        <v>46195</v>
      </c>
      <c r="L66" s="4" t="s">
        <v>81</v>
      </c>
      <c r="M66" s="4" t="str" cm="1">
        <f t="array" ref="M66">_xlfn.IFS(G66&gt;=15, "Bulk Order", G66&gt;=5, "Medium Order", G66&lt;5, "Normal Order")</f>
        <v>Normal Order</v>
      </c>
    </row>
    <row r="67" spans="1:13" x14ac:dyDescent="0.3">
      <c r="A67" s="4">
        <v>1021</v>
      </c>
      <c r="B67" s="9">
        <v>1066</v>
      </c>
      <c r="C67" s="9" t="s">
        <v>45</v>
      </c>
      <c r="D67" s="4" t="s">
        <v>27</v>
      </c>
      <c r="E67" s="4" t="s">
        <v>24</v>
      </c>
      <c r="F67" s="4" t="s">
        <v>43</v>
      </c>
      <c r="G67" s="4">
        <v>15</v>
      </c>
      <c r="H67" s="4">
        <v>11987</v>
      </c>
      <c r="I67" s="4">
        <v>5</v>
      </c>
      <c r="J67" s="7">
        <v>46082</v>
      </c>
      <c r="K67" s="7">
        <v>46083</v>
      </c>
      <c r="L67" s="4" t="s">
        <v>78</v>
      </c>
      <c r="M67" s="4" t="str" cm="1">
        <f t="array" ref="M67">_xlfn.IFS(G67&gt;=15, "Bulk Order", G67&gt;=5, "Medium Order", G67&lt;5, "Normal Order")</f>
        <v>Bulk Order</v>
      </c>
    </row>
    <row r="68" spans="1:13" x14ac:dyDescent="0.3">
      <c r="A68" s="4">
        <v>1010</v>
      </c>
      <c r="B68" s="9">
        <v>1067</v>
      </c>
      <c r="C68" s="9" t="s">
        <v>32</v>
      </c>
      <c r="D68" s="4" t="s">
        <v>42</v>
      </c>
      <c r="E68" s="4" t="s">
        <v>24</v>
      </c>
      <c r="F68" s="4" t="s">
        <v>11</v>
      </c>
      <c r="G68" s="4">
        <v>14</v>
      </c>
      <c r="H68" s="4">
        <v>10869</v>
      </c>
      <c r="I68" s="4">
        <v>0</v>
      </c>
      <c r="J68" s="7">
        <v>46058</v>
      </c>
      <c r="K68" s="7">
        <v>46062</v>
      </c>
      <c r="L68" s="4" t="s">
        <v>49</v>
      </c>
      <c r="M68" s="4" t="str" cm="1">
        <f t="array" ref="M68">_xlfn.IFS(G68&gt;=15, "Bulk Order", G68&gt;=5, "Medium Order", G68&lt;5, "Normal Order")</f>
        <v>Medium Order</v>
      </c>
    </row>
    <row r="69" spans="1:13" x14ac:dyDescent="0.3">
      <c r="A69" s="4">
        <v>1013</v>
      </c>
      <c r="B69" s="9">
        <v>1068</v>
      </c>
      <c r="C69" s="9" t="s">
        <v>50</v>
      </c>
      <c r="D69" s="4" t="s">
        <v>42</v>
      </c>
      <c r="E69" s="4" t="s">
        <v>34</v>
      </c>
      <c r="F69" s="4" t="s">
        <v>9</v>
      </c>
      <c r="G69" s="4">
        <v>15</v>
      </c>
      <c r="H69" s="4">
        <v>14534</v>
      </c>
      <c r="I69" s="4">
        <v>5</v>
      </c>
      <c r="J69" s="7">
        <v>46196</v>
      </c>
      <c r="K69" s="7">
        <v>46199</v>
      </c>
      <c r="L69" s="4" t="s">
        <v>49</v>
      </c>
      <c r="M69" s="4" t="str" cm="1">
        <f t="array" ref="M69">_xlfn.IFS(G69&gt;=15, "Bulk Order", G69&gt;=5, "Medium Order", G69&lt;5, "Normal Order")</f>
        <v>Bulk Order</v>
      </c>
    </row>
    <row r="70" spans="1:13" x14ac:dyDescent="0.3">
      <c r="A70" s="4">
        <v>1029</v>
      </c>
      <c r="B70" s="9">
        <v>1069</v>
      </c>
      <c r="C70" s="9" t="s">
        <v>50</v>
      </c>
      <c r="D70" s="4" t="s">
        <v>31</v>
      </c>
      <c r="E70" s="4" t="s">
        <v>24</v>
      </c>
      <c r="F70" s="4" t="s">
        <v>8</v>
      </c>
      <c r="G70" s="4">
        <v>9</v>
      </c>
      <c r="H70" s="4">
        <v>4415</v>
      </c>
      <c r="I70" s="4">
        <v>5</v>
      </c>
      <c r="J70" s="7">
        <v>46039</v>
      </c>
      <c r="K70" s="7">
        <v>46046</v>
      </c>
      <c r="L70" s="4" t="s">
        <v>78</v>
      </c>
      <c r="M70" s="4" t="str" cm="1">
        <f t="array" ref="M70">_xlfn.IFS(G70&gt;=15, "Bulk Order", G70&gt;=5, "Medium Order", G70&lt;5, "Normal Order")</f>
        <v>Medium Order</v>
      </c>
    </row>
    <row r="71" spans="1:13" x14ac:dyDescent="0.3">
      <c r="A71" s="4">
        <v>1028</v>
      </c>
      <c r="B71" s="9">
        <v>1070</v>
      </c>
      <c r="C71" s="9" t="s">
        <v>50</v>
      </c>
      <c r="D71" s="4" t="s">
        <v>42</v>
      </c>
      <c r="E71" s="4" t="s">
        <v>20</v>
      </c>
      <c r="F71" s="4" t="s">
        <v>36</v>
      </c>
      <c r="G71" s="4">
        <v>10</v>
      </c>
      <c r="H71" s="4">
        <v>233</v>
      </c>
      <c r="I71" s="4">
        <v>7</v>
      </c>
      <c r="J71" s="7">
        <v>46076</v>
      </c>
      <c r="K71" s="7">
        <v>46077</v>
      </c>
      <c r="L71" s="4" t="s">
        <v>49</v>
      </c>
      <c r="M71" s="4" t="str" cm="1">
        <f t="array" ref="M71">_xlfn.IFS(G71&gt;=15, "Bulk Order", G71&gt;=5, "Medium Order", G71&lt;5, "Normal Order")</f>
        <v>Medium Order</v>
      </c>
    </row>
    <row r="72" spans="1:13" x14ac:dyDescent="0.3">
      <c r="A72" s="4">
        <v>1083</v>
      </c>
      <c r="B72" s="9">
        <v>1071</v>
      </c>
      <c r="C72" s="9" t="s">
        <v>56</v>
      </c>
      <c r="D72" s="4" t="s">
        <v>26</v>
      </c>
      <c r="E72" s="4" t="s">
        <v>34</v>
      </c>
      <c r="F72" s="4" t="s">
        <v>12</v>
      </c>
      <c r="G72" s="4">
        <v>18</v>
      </c>
      <c r="H72" s="4">
        <v>32197</v>
      </c>
      <c r="I72" s="4">
        <v>5</v>
      </c>
      <c r="J72" s="7">
        <v>46129</v>
      </c>
      <c r="K72" s="7">
        <v>46137</v>
      </c>
      <c r="L72" s="4" t="s">
        <v>79</v>
      </c>
      <c r="M72" s="4" t="str" cm="1">
        <f t="array" ref="M72">_xlfn.IFS(G72&gt;=15, "Bulk Order", G72&gt;=5, "Medium Order", G72&lt;5, "Normal Order")</f>
        <v>Bulk Order</v>
      </c>
    </row>
    <row r="73" spans="1:13" x14ac:dyDescent="0.3">
      <c r="A73" s="4">
        <v>1074</v>
      </c>
      <c r="B73" s="9">
        <v>1072</v>
      </c>
      <c r="C73" s="9" t="s">
        <v>22</v>
      </c>
      <c r="D73" s="4" t="s">
        <v>27</v>
      </c>
      <c r="E73" s="4" t="s">
        <v>34</v>
      </c>
      <c r="F73" s="4" t="s">
        <v>12</v>
      </c>
      <c r="G73" s="4">
        <v>20</v>
      </c>
      <c r="H73" s="4">
        <v>58779</v>
      </c>
      <c r="I73" s="4">
        <v>0</v>
      </c>
      <c r="J73" s="7">
        <v>46035</v>
      </c>
      <c r="K73" s="7">
        <v>46036</v>
      </c>
      <c r="L73" s="4" t="s">
        <v>80</v>
      </c>
      <c r="M73" s="4" t="str" cm="1">
        <f t="array" ref="M73">_xlfn.IFS(G73&gt;=15, "Bulk Order", G73&gt;=5, "Medium Order", G73&lt;5, "Normal Order")</f>
        <v>Bulk Order</v>
      </c>
    </row>
    <row r="74" spans="1:13" x14ac:dyDescent="0.3">
      <c r="A74" s="4">
        <v>1087</v>
      </c>
      <c r="B74" s="9">
        <v>1073</v>
      </c>
      <c r="C74" s="9" t="s">
        <v>55</v>
      </c>
      <c r="D74" s="4" t="s">
        <v>23</v>
      </c>
      <c r="E74" s="4" t="s">
        <v>24</v>
      </c>
      <c r="F74" s="4" t="s">
        <v>11</v>
      </c>
      <c r="G74" s="4">
        <v>4</v>
      </c>
      <c r="H74" s="4">
        <v>2453</v>
      </c>
      <c r="I74" s="4">
        <v>7</v>
      </c>
      <c r="J74" s="7">
        <v>46126</v>
      </c>
      <c r="K74" s="7">
        <v>46129</v>
      </c>
      <c r="L74" s="4" t="s">
        <v>81</v>
      </c>
      <c r="M74" s="4" t="str" cm="1">
        <f t="array" ref="M74">_xlfn.IFS(G74&gt;=15, "Bulk Order", G74&gt;=5, "Medium Order", G74&lt;5, "Normal Order")</f>
        <v>Normal Order</v>
      </c>
    </row>
    <row r="75" spans="1:13" x14ac:dyDescent="0.3">
      <c r="A75" s="4">
        <v>1050</v>
      </c>
      <c r="B75" s="9">
        <v>1074</v>
      </c>
      <c r="C75" s="9" t="s">
        <v>28</v>
      </c>
      <c r="D75" s="4" t="s">
        <v>31</v>
      </c>
      <c r="E75" s="4" t="s">
        <v>20</v>
      </c>
      <c r="F75" s="4" t="s">
        <v>48</v>
      </c>
      <c r="G75" s="4">
        <v>11</v>
      </c>
      <c r="H75" s="4">
        <v>390</v>
      </c>
      <c r="I75" s="4">
        <v>15</v>
      </c>
      <c r="J75" s="7">
        <v>46114</v>
      </c>
      <c r="K75" s="7">
        <v>46123</v>
      </c>
      <c r="L75" s="4" t="s">
        <v>49</v>
      </c>
      <c r="M75" s="4" t="str" cm="1">
        <f t="array" ref="M75">_xlfn.IFS(G75&gt;=15, "Bulk Order", G75&gt;=5, "Medium Order", G75&lt;5, "Normal Order")</f>
        <v>Medium Order</v>
      </c>
    </row>
    <row r="76" spans="1:13" x14ac:dyDescent="0.3">
      <c r="A76" s="4">
        <v>1098</v>
      </c>
      <c r="B76" s="9">
        <v>1075</v>
      </c>
      <c r="C76" s="9" t="s">
        <v>41</v>
      </c>
      <c r="D76" s="4" t="s">
        <v>42</v>
      </c>
      <c r="E76" s="4" t="s">
        <v>34</v>
      </c>
      <c r="F76" s="4" t="s">
        <v>12</v>
      </c>
      <c r="G76" s="4">
        <v>4</v>
      </c>
      <c r="H76" s="4">
        <v>64773</v>
      </c>
      <c r="I76" s="4">
        <v>10</v>
      </c>
      <c r="J76" s="7">
        <v>46185</v>
      </c>
      <c r="K76" s="7">
        <v>46186</v>
      </c>
      <c r="L76" s="4" t="s">
        <v>81</v>
      </c>
      <c r="M76" s="4" t="str" cm="1">
        <f t="array" ref="M76">_xlfn.IFS(G76&gt;=15, "Bulk Order", G76&gt;=5, "Medium Order", G76&lt;5, "Normal Order")</f>
        <v>Normal Order</v>
      </c>
    </row>
    <row r="77" spans="1:13" x14ac:dyDescent="0.3">
      <c r="A77" s="4">
        <v>1030</v>
      </c>
      <c r="B77" s="9">
        <v>1076</v>
      </c>
      <c r="C77" s="9" t="s">
        <v>49</v>
      </c>
      <c r="D77" s="4" t="s">
        <v>23</v>
      </c>
      <c r="E77" s="4" t="s">
        <v>34</v>
      </c>
      <c r="F77" s="4" t="s">
        <v>35</v>
      </c>
      <c r="G77" s="4">
        <v>19</v>
      </c>
      <c r="H77" s="4">
        <v>26714</v>
      </c>
      <c r="I77" s="4">
        <v>5</v>
      </c>
      <c r="J77" s="7">
        <v>46045</v>
      </c>
      <c r="K77" s="7">
        <v>46055</v>
      </c>
      <c r="L77" s="4" t="s">
        <v>49</v>
      </c>
      <c r="M77" s="4" t="str" cm="1">
        <f t="array" ref="M77">_xlfn.IFS(G77&gt;=15, "Bulk Order", G77&gt;=5, "Medium Order", G77&lt;5, "Normal Order")</f>
        <v>Bulk Order</v>
      </c>
    </row>
    <row r="78" spans="1:13" x14ac:dyDescent="0.3">
      <c r="A78" s="4">
        <v>1026</v>
      </c>
      <c r="B78" s="9">
        <v>1077</v>
      </c>
      <c r="C78" s="9" t="s">
        <v>53</v>
      </c>
      <c r="D78" s="4" t="s">
        <v>27</v>
      </c>
      <c r="E78" s="4" t="s">
        <v>20</v>
      </c>
      <c r="F78" s="4" t="s">
        <v>21</v>
      </c>
      <c r="G78" s="4">
        <v>1</v>
      </c>
      <c r="H78" s="4">
        <v>123</v>
      </c>
      <c r="I78" s="4">
        <v>10</v>
      </c>
      <c r="J78" s="7">
        <v>46113</v>
      </c>
      <c r="K78" s="7">
        <v>46121</v>
      </c>
      <c r="L78" s="4" t="s">
        <v>81</v>
      </c>
      <c r="M78" s="4" t="str" cm="1">
        <f t="array" ref="M78">_xlfn.IFS(G78&gt;=15, "Bulk Order", G78&gt;=5, "Medium Order", G78&lt;5, "Normal Order")</f>
        <v>Normal Order</v>
      </c>
    </row>
    <row r="79" spans="1:13" x14ac:dyDescent="0.3">
      <c r="A79" s="4">
        <v>1091</v>
      </c>
      <c r="B79" s="9">
        <v>1078</v>
      </c>
      <c r="C79" s="9" t="s">
        <v>50</v>
      </c>
      <c r="D79" s="4" t="s">
        <v>23</v>
      </c>
      <c r="E79" s="4" t="s">
        <v>34</v>
      </c>
      <c r="F79" s="4" t="s">
        <v>5</v>
      </c>
      <c r="G79" s="4">
        <v>11</v>
      </c>
      <c r="H79" s="4">
        <v>24278</v>
      </c>
      <c r="I79" s="4">
        <v>12</v>
      </c>
      <c r="J79" s="7">
        <v>46084</v>
      </c>
      <c r="K79" s="7">
        <v>46090</v>
      </c>
      <c r="L79" s="4" t="s">
        <v>49</v>
      </c>
      <c r="M79" s="4" t="str" cm="1">
        <f t="array" ref="M79">_xlfn.IFS(G79&gt;=15, "Bulk Order", G79&gt;=5, "Medium Order", G79&lt;5, "Normal Order")</f>
        <v>Medium Order</v>
      </c>
    </row>
    <row r="80" spans="1:13" x14ac:dyDescent="0.3">
      <c r="A80" s="4">
        <v>1018</v>
      </c>
      <c r="B80" s="9">
        <v>1079</v>
      </c>
      <c r="C80" s="9" t="s">
        <v>28</v>
      </c>
      <c r="D80" s="4" t="s">
        <v>38</v>
      </c>
      <c r="E80" s="4" t="s">
        <v>34</v>
      </c>
      <c r="F80" s="4" t="s">
        <v>40</v>
      </c>
      <c r="G80" s="4">
        <v>19</v>
      </c>
      <c r="H80" s="4">
        <v>48956</v>
      </c>
      <c r="I80" s="4">
        <v>12</v>
      </c>
      <c r="J80" s="7">
        <v>46170</v>
      </c>
      <c r="K80" s="7">
        <v>46177</v>
      </c>
      <c r="L80" s="4" t="s">
        <v>81</v>
      </c>
      <c r="M80" s="4" t="str" cm="1">
        <f t="array" ref="M80">_xlfn.IFS(G80&gt;=15, "Bulk Order", G80&gt;=5, "Medium Order", G80&lt;5, "Normal Order")</f>
        <v>Bulk Order</v>
      </c>
    </row>
    <row r="81" spans="1:13" x14ac:dyDescent="0.3">
      <c r="A81" s="4">
        <v>1100</v>
      </c>
      <c r="B81" s="9">
        <v>1080</v>
      </c>
      <c r="C81" s="9" t="s">
        <v>25</v>
      </c>
      <c r="D81" s="4" t="s">
        <v>26</v>
      </c>
      <c r="E81" s="4" t="s">
        <v>34</v>
      </c>
      <c r="F81" s="4" t="s">
        <v>40</v>
      </c>
      <c r="G81" s="4">
        <v>12</v>
      </c>
      <c r="H81" s="4">
        <v>54161</v>
      </c>
      <c r="I81" s="4">
        <v>15</v>
      </c>
      <c r="J81" s="7">
        <v>46133</v>
      </c>
      <c r="K81" s="7">
        <v>46143</v>
      </c>
      <c r="L81" s="4" t="s">
        <v>80</v>
      </c>
      <c r="M81" s="4" t="str" cm="1">
        <f t="array" ref="M81">_xlfn.IFS(G81&gt;=15, "Bulk Order", G81&gt;=5, "Medium Order", G81&lt;5, "Normal Order")</f>
        <v>Medium Order</v>
      </c>
    </row>
    <row r="82" spans="1:13" x14ac:dyDescent="0.3">
      <c r="A82" s="4">
        <v>1027</v>
      </c>
      <c r="B82" s="9">
        <v>1081</v>
      </c>
      <c r="C82" s="9" t="s">
        <v>45</v>
      </c>
      <c r="D82" s="4" t="s">
        <v>19</v>
      </c>
      <c r="E82" s="4" t="s">
        <v>34</v>
      </c>
      <c r="F82" s="4" t="s">
        <v>35</v>
      </c>
      <c r="G82" s="4">
        <v>15</v>
      </c>
      <c r="H82" s="4">
        <v>59912</v>
      </c>
      <c r="I82" s="4">
        <v>7</v>
      </c>
      <c r="J82" s="7">
        <v>46058</v>
      </c>
      <c r="K82" s="7">
        <v>46060</v>
      </c>
      <c r="L82" s="4" t="s">
        <v>81</v>
      </c>
      <c r="M82" s="4" t="str" cm="1">
        <f t="array" ref="M82">_xlfn.IFS(G82&gt;=15, "Bulk Order", G82&gt;=5, "Medium Order", G82&lt;5, "Normal Order")</f>
        <v>Bulk Order</v>
      </c>
    </row>
    <row r="83" spans="1:13" x14ac:dyDescent="0.3">
      <c r="A83" s="4">
        <v>1070</v>
      </c>
      <c r="B83" s="9">
        <v>1082</v>
      </c>
      <c r="C83" s="9" t="s">
        <v>25</v>
      </c>
      <c r="D83" s="4" t="s">
        <v>19</v>
      </c>
      <c r="E83" s="4" t="s">
        <v>20</v>
      </c>
      <c r="F83" s="4" t="s">
        <v>21</v>
      </c>
      <c r="G83" s="4">
        <v>7</v>
      </c>
      <c r="H83" s="4">
        <v>133</v>
      </c>
      <c r="I83" s="4">
        <v>10</v>
      </c>
      <c r="J83" s="7">
        <v>46075</v>
      </c>
      <c r="K83" s="7">
        <v>46085</v>
      </c>
      <c r="L83" s="4" t="s">
        <v>81</v>
      </c>
      <c r="M83" s="4" t="str" cm="1">
        <f t="array" ref="M83">_xlfn.IFS(G83&gt;=15, "Bulk Order", G83&gt;=5, "Medium Order", G83&lt;5, "Normal Order")</f>
        <v>Medium Order</v>
      </c>
    </row>
    <row r="84" spans="1:13" x14ac:dyDescent="0.3">
      <c r="A84" s="4">
        <v>1042</v>
      </c>
      <c r="B84" s="9">
        <v>1083</v>
      </c>
      <c r="C84" s="9" t="s">
        <v>53</v>
      </c>
      <c r="D84" s="4" t="s">
        <v>33</v>
      </c>
      <c r="E84" s="4" t="s">
        <v>20</v>
      </c>
      <c r="F84" s="4" t="s">
        <v>51</v>
      </c>
      <c r="G84" s="4">
        <v>4</v>
      </c>
      <c r="H84" s="4">
        <v>397</v>
      </c>
      <c r="I84" s="4">
        <v>7</v>
      </c>
      <c r="J84" s="7">
        <v>46185</v>
      </c>
      <c r="K84" s="7">
        <v>46193</v>
      </c>
      <c r="L84" s="4" t="s">
        <v>78</v>
      </c>
      <c r="M84" s="4" t="str" cm="1">
        <f t="array" ref="M84">_xlfn.IFS(G84&gt;=15, "Bulk Order", G84&gt;=5, "Medium Order", G84&lt;5, "Normal Order")</f>
        <v>Normal Order</v>
      </c>
    </row>
    <row r="85" spans="1:13" x14ac:dyDescent="0.3">
      <c r="A85" s="4">
        <v>1038</v>
      </c>
      <c r="B85" s="9">
        <v>1084</v>
      </c>
      <c r="C85" s="9" t="s">
        <v>47</v>
      </c>
      <c r="D85" s="4" t="s">
        <v>31</v>
      </c>
      <c r="E85" s="4" t="s">
        <v>24</v>
      </c>
      <c r="F85" s="4" t="s">
        <v>8</v>
      </c>
      <c r="G85" s="4">
        <v>4</v>
      </c>
      <c r="H85" s="4">
        <v>6901</v>
      </c>
      <c r="I85" s="4">
        <v>10</v>
      </c>
      <c r="J85" s="7">
        <v>46047</v>
      </c>
      <c r="K85" s="7">
        <v>46057</v>
      </c>
      <c r="L85" s="4" t="s">
        <v>79</v>
      </c>
      <c r="M85" s="4" t="str" cm="1">
        <f t="array" ref="M85">_xlfn.IFS(G85&gt;=15, "Bulk Order", G85&gt;=5, "Medium Order", G85&lt;5, "Normal Order")</f>
        <v>Normal Order</v>
      </c>
    </row>
    <row r="86" spans="1:13" x14ac:dyDescent="0.3">
      <c r="A86" s="4">
        <v>1001</v>
      </c>
      <c r="B86" s="9">
        <v>1085</v>
      </c>
      <c r="C86" s="9" t="s">
        <v>32</v>
      </c>
      <c r="D86" s="4" t="s">
        <v>38</v>
      </c>
      <c r="E86" s="4" t="s">
        <v>34</v>
      </c>
      <c r="F86" s="4" t="s">
        <v>9</v>
      </c>
      <c r="G86" s="4">
        <v>19</v>
      </c>
      <c r="H86" s="4">
        <v>45307</v>
      </c>
      <c r="I86" s="4">
        <v>12</v>
      </c>
      <c r="J86" s="7">
        <v>46146</v>
      </c>
      <c r="K86" s="7">
        <v>46150</v>
      </c>
      <c r="L86" s="4" t="s">
        <v>80</v>
      </c>
      <c r="M86" s="4" t="str" cm="1">
        <f t="array" ref="M86">_xlfn.IFS(G86&gt;=15, "Bulk Order", G86&gt;=5, "Medium Order", G86&lt;5, "Normal Order")</f>
        <v>Bulk Order</v>
      </c>
    </row>
    <row r="87" spans="1:13" x14ac:dyDescent="0.3">
      <c r="A87" s="4">
        <v>1064</v>
      </c>
      <c r="B87" s="9">
        <v>1086</v>
      </c>
      <c r="C87" s="9" t="s">
        <v>32</v>
      </c>
      <c r="D87" s="4" t="s">
        <v>19</v>
      </c>
      <c r="E87" s="4" t="s">
        <v>20</v>
      </c>
      <c r="F87" s="4" t="s">
        <v>51</v>
      </c>
      <c r="G87" s="4">
        <v>15</v>
      </c>
      <c r="H87" s="4">
        <v>40</v>
      </c>
      <c r="I87" s="4">
        <v>10</v>
      </c>
      <c r="J87" s="7">
        <v>46045</v>
      </c>
      <c r="K87" s="7">
        <v>46049</v>
      </c>
      <c r="L87" s="4" t="s">
        <v>80</v>
      </c>
      <c r="M87" s="4" t="str" cm="1">
        <f t="array" ref="M87">_xlfn.IFS(G87&gt;=15, "Bulk Order", G87&gt;=5, "Medium Order", G87&lt;5, "Normal Order")</f>
        <v>Bulk Order</v>
      </c>
    </row>
    <row r="88" spans="1:13" x14ac:dyDescent="0.3">
      <c r="A88" s="4">
        <v>1055</v>
      </c>
      <c r="B88" s="9">
        <v>1087</v>
      </c>
      <c r="C88" s="9" t="s">
        <v>18</v>
      </c>
      <c r="D88" s="4" t="s">
        <v>31</v>
      </c>
      <c r="E88" s="4" t="s">
        <v>20</v>
      </c>
      <c r="F88" s="4" t="s">
        <v>37</v>
      </c>
      <c r="G88" s="4">
        <v>13</v>
      </c>
      <c r="H88" s="4">
        <v>387</v>
      </c>
      <c r="I88" s="4">
        <v>7</v>
      </c>
      <c r="J88" s="7">
        <v>46171</v>
      </c>
      <c r="K88" s="7">
        <v>46176</v>
      </c>
      <c r="L88" s="4" t="s">
        <v>80</v>
      </c>
      <c r="M88" s="4" t="str" cm="1">
        <f t="array" ref="M88">_xlfn.IFS(G88&gt;=15, "Bulk Order", G88&gt;=5, "Medium Order", G88&lt;5, "Normal Order")</f>
        <v>Medium Order</v>
      </c>
    </row>
    <row r="89" spans="1:13" x14ac:dyDescent="0.3">
      <c r="A89" s="4">
        <v>1031</v>
      </c>
      <c r="B89" s="9">
        <v>1088</v>
      </c>
      <c r="C89" s="9" t="s">
        <v>39</v>
      </c>
      <c r="D89" s="4" t="s">
        <v>33</v>
      </c>
      <c r="E89" s="4" t="s">
        <v>34</v>
      </c>
      <c r="F89" s="4" t="s">
        <v>40</v>
      </c>
      <c r="G89" s="4">
        <v>20</v>
      </c>
      <c r="H89" s="4">
        <v>41165</v>
      </c>
      <c r="I89" s="4">
        <v>0</v>
      </c>
      <c r="J89" s="7">
        <v>46068</v>
      </c>
      <c r="K89" s="7">
        <v>46069</v>
      </c>
      <c r="L89" s="4" t="s">
        <v>79</v>
      </c>
      <c r="M89" s="4" t="str" cm="1">
        <f t="array" ref="M89">_xlfn.IFS(G89&gt;=15, "Bulk Order", G89&gt;=5, "Medium Order", G89&lt;5, "Normal Order")</f>
        <v>Bulk Order</v>
      </c>
    </row>
    <row r="90" spans="1:13" x14ac:dyDescent="0.3">
      <c r="A90" s="4">
        <v>1017</v>
      </c>
      <c r="B90" s="9">
        <v>1089</v>
      </c>
      <c r="C90" s="9" t="s">
        <v>44</v>
      </c>
      <c r="D90" s="4" t="s">
        <v>19</v>
      </c>
      <c r="E90" s="4" t="s">
        <v>34</v>
      </c>
      <c r="F90" s="4" t="s">
        <v>35</v>
      </c>
      <c r="G90" s="4">
        <v>10</v>
      </c>
      <c r="H90" s="4">
        <v>17041</v>
      </c>
      <c r="I90" s="4">
        <v>2</v>
      </c>
      <c r="J90" s="7">
        <v>46066</v>
      </c>
      <c r="K90" s="7">
        <v>46071</v>
      </c>
      <c r="L90" s="4" t="s">
        <v>80</v>
      </c>
      <c r="M90" s="4" t="str" cm="1">
        <f t="array" ref="M90">_xlfn.IFS(G90&gt;=15, "Bulk Order", G90&gt;=5, "Medium Order", G90&lt;5, "Normal Order")</f>
        <v>Medium Order</v>
      </c>
    </row>
    <row r="91" spans="1:13" x14ac:dyDescent="0.3">
      <c r="A91" s="4">
        <v>1052</v>
      </c>
      <c r="B91" s="9">
        <v>1090</v>
      </c>
      <c r="C91" s="9" t="s">
        <v>47</v>
      </c>
      <c r="D91" s="4" t="s">
        <v>31</v>
      </c>
      <c r="E91" s="4" t="s">
        <v>34</v>
      </c>
      <c r="F91" s="4" t="s">
        <v>6</v>
      </c>
      <c r="G91" s="4">
        <v>19</v>
      </c>
      <c r="H91" s="4">
        <v>66139</v>
      </c>
      <c r="I91" s="4">
        <v>5</v>
      </c>
      <c r="J91" s="7">
        <v>46088</v>
      </c>
      <c r="K91" s="7">
        <v>46095</v>
      </c>
      <c r="L91" s="4" t="s">
        <v>80</v>
      </c>
      <c r="M91" s="4" t="str" cm="1">
        <f t="array" ref="M91">_xlfn.IFS(G91&gt;=15, "Bulk Order", G91&gt;=5, "Medium Order", G91&lt;5, "Normal Order")</f>
        <v>Bulk Order</v>
      </c>
    </row>
    <row r="92" spans="1:13" x14ac:dyDescent="0.3">
      <c r="A92" s="4">
        <v>1036</v>
      </c>
      <c r="B92" s="9">
        <v>1091</v>
      </c>
      <c r="C92" s="9" t="s">
        <v>53</v>
      </c>
      <c r="D92" s="4" t="s">
        <v>23</v>
      </c>
      <c r="E92" s="4" t="s">
        <v>20</v>
      </c>
      <c r="F92" s="4" t="s">
        <v>51</v>
      </c>
      <c r="G92" s="4">
        <v>2</v>
      </c>
      <c r="H92" s="4">
        <v>305</v>
      </c>
      <c r="I92" s="4">
        <v>0</v>
      </c>
      <c r="J92" s="7">
        <v>46136</v>
      </c>
      <c r="K92" s="7">
        <v>46144</v>
      </c>
      <c r="L92" s="4" t="s">
        <v>78</v>
      </c>
      <c r="M92" s="4" t="str" cm="1">
        <f t="array" ref="M92">_xlfn.IFS(G92&gt;=15, "Bulk Order", G92&gt;=5, "Medium Order", G92&lt;5, "Normal Order")</f>
        <v>Normal Order</v>
      </c>
    </row>
    <row r="93" spans="1:13" x14ac:dyDescent="0.3">
      <c r="A93" s="4">
        <v>1007</v>
      </c>
      <c r="B93" s="9">
        <v>1092</v>
      </c>
      <c r="C93" s="9" t="s">
        <v>25</v>
      </c>
      <c r="D93" s="4" t="s">
        <v>26</v>
      </c>
      <c r="E93" s="4" t="s">
        <v>34</v>
      </c>
      <c r="F93" s="4" t="s">
        <v>40</v>
      </c>
      <c r="G93" s="4">
        <v>9</v>
      </c>
      <c r="H93" s="4">
        <v>23438</v>
      </c>
      <c r="I93" s="4">
        <v>2</v>
      </c>
      <c r="J93" s="7">
        <v>46049</v>
      </c>
      <c r="K93" s="7">
        <v>46055</v>
      </c>
      <c r="L93" s="4" t="s">
        <v>49</v>
      </c>
      <c r="M93" s="4" t="str" cm="1">
        <f t="array" ref="M93">_xlfn.IFS(G93&gt;=15, "Bulk Order", G93&gt;=5, "Medium Order", G93&lt;5, "Normal Order")</f>
        <v>Medium Order</v>
      </c>
    </row>
    <row r="94" spans="1:13" x14ac:dyDescent="0.3">
      <c r="A94" s="4">
        <v>1082</v>
      </c>
      <c r="B94" s="9">
        <v>1093</v>
      </c>
      <c r="C94" s="9" t="s">
        <v>45</v>
      </c>
      <c r="D94" s="4" t="s">
        <v>27</v>
      </c>
      <c r="E94" s="4" t="s">
        <v>24</v>
      </c>
      <c r="F94" s="4" t="s">
        <v>10</v>
      </c>
      <c r="G94" s="4">
        <v>6</v>
      </c>
      <c r="H94" s="4">
        <v>8224</v>
      </c>
      <c r="I94" s="4">
        <v>15</v>
      </c>
      <c r="J94" s="7">
        <v>46175</v>
      </c>
      <c r="K94" s="7">
        <v>46185</v>
      </c>
      <c r="L94" s="4" t="s">
        <v>81</v>
      </c>
      <c r="M94" s="4" t="str" cm="1">
        <f t="array" ref="M94">_xlfn.IFS(G94&gt;=15, "Bulk Order", G94&gt;=5, "Medium Order", G94&lt;5, "Normal Order")</f>
        <v>Medium Order</v>
      </c>
    </row>
    <row r="95" spans="1:13" x14ac:dyDescent="0.3">
      <c r="A95" s="4">
        <v>1077</v>
      </c>
      <c r="B95" s="9">
        <v>1094</v>
      </c>
      <c r="C95" s="9" t="s">
        <v>45</v>
      </c>
      <c r="D95" s="4" t="s">
        <v>42</v>
      </c>
      <c r="E95" s="4" t="s">
        <v>34</v>
      </c>
      <c r="F95" s="4" t="s">
        <v>12</v>
      </c>
      <c r="G95" s="4">
        <v>4</v>
      </c>
      <c r="H95" s="4">
        <v>7073</v>
      </c>
      <c r="I95" s="4">
        <v>0</v>
      </c>
      <c r="J95" s="7">
        <v>46101</v>
      </c>
      <c r="K95" s="7">
        <v>46105</v>
      </c>
      <c r="L95" s="4" t="s">
        <v>49</v>
      </c>
      <c r="M95" s="4" t="str" cm="1">
        <f t="array" ref="M95">_xlfn.IFS(G95&gt;=15, "Bulk Order", G95&gt;=5, "Medium Order", G95&lt;5, "Normal Order")</f>
        <v>Normal Order</v>
      </c>
    </row>
    <row r="96" spans="1:13" x14ac:dyDescent="0.3">
      <c r="A96" s="4">
        <v>1059</v>
      </c>
      <c r="B96" s="9">
        <v>1095</v>
      </c>
      <c r="C96" s="9" t="s">
        <v>45</v>
      </c>
      <c r="D96" s="4" t="s">
        <v>27</v>
      </c>
      <c r="E96" s="4" t="s">
        <v>34</v>
      </c>
      <c r="F96" s="4" t="s">
        <v>40</v>
      </c>
      <c r="G96" s="4">
        <v>18</v>
      </c>
      <c r="H96" s="4">
        <v>587</v>
      </c>
      <c r="I96" s="4">
        <v>2</v>
      </c>
      <c r="J96" s="7">
        <v>46167</v>
      </c>
      <c r="K96" s="7">
        <v>46171</v>
      </c>
      <c r="L96" s="4" t="s">
        <v>79</v>
      </c>
      <c r="M96" s="4" t="str" cm="1">
        <f t="array" ref="M96">_xlfn.IFS(G96&gt;=15, "Bulk Order", G96&gt;=5, "Medium Order", G96&lt;5, "Normal Order")</f>
        <v>Bulk Order</v>
      </c>
    </row>
    <row r="97" spans="1:13" x14ac:dyDescent="0.3">
      <c r="A97" s="4">
        <v>1011</v>
      </c>
      <c r="B97" s="9">
        <v>1096</v>
      </c>
      <c r="C97" s="9" t="s">
        <v>47</v>
      </c>
      <c r="D97" s="4" t="s">
        <v>23</v>
      </c>
      <c r="E97" s="4" t="s">
        <v>24</v>
      </c>
      <c r="F97" s="4" t="s">
        <v>10</v>
      </c>
      <c r="G97" s="4">
        <v>15</v>
      </c>
      <c r="H97" s="4">
        <v>14724</v>
      </c>
      <c r="I97" s="4">
        <v>15</v>
      </c>
      <c r="J97" s="7">
        <v>46054</v>
      </c>
      <c r="K97" s="7">
        <v>46061</v>
      </c>
      <c r="L97" s="4" t="s">
        <v>79</v>
      </c>
      <c r="M97" s="4" t="str" cm="1">
        <f t="array" ref="M97">_xlfn.IFS(G97&gt;=15, "Bulk Order", G97&gt;=5, "Medium Order", G97&lt;5, "Normal Order")</f>
        <v>Bulk Order</v>
      </c>
    </row>
    <row r="98" spans="1:13" x14ac:dyDescent="0.3">
      <c r="A98" s="4">
        <v>1041</v>
      </c>
      <c r="B98" s="9">
        <v>1097</v>
      </c>
      <c r="C98" s="9" t="s">
        <v>50</v>
      </c>
      <c r="D98" s="4" t="s">
        <v>26</v>
      </c>
      <c r="E98" s="4" t="s">
        <v>34</v>
      </c>
      <c r="F98" s="4" t="s">
        <v>12</v>
      </c>
      <c r="G98" s="4">
        <v>10</v>
      </c>
      <c r="H98" s="4">
        <v>28980</v>
      </c>
      <c r="I98" s="4">
        <v>10</v>
      </c>
      <c r="J98" s="7">
        <v>46089</v>
      </c>
      <c r="K98" s="7">
        <v>46094</v>
      </c>
      <c r="L98" s="4" t="s">
        <v>80</v>
      </c>
      <c r="M98" s="4" t="str" cm="1">
        <f t="array" ref="M98">_xlfn.IFS(G98&gt;=15, "Bulk Order", G98&gt;=5, "Medium Order", G98&lt;5, "Normal Order")</f>
        <v>Medium Order</v>
      </c>
    </row>
    <row r="99" spans="1:13" x14ac:dyDescent="0.3">
      <c r="A99" s="4">
        <v>1005</v>
      </c>
      <c r="B99" s="9">
        <v>1098</v>
      </c>
      <c r="C99" s="9" t="s">
        <v>28</v>
      </c>
      <c r="D99" s="4" t="s">
        <v>27</v>
      </c>
      <c r="E99" s="4" t="s">
        <v>20</v>
      </c>
      <c r="F99" s="4" t="s">
        <v>51</v>
      </c>
      <c r="G99" s="4">
        <v>17</v>
      </c>
      <c r="H99" s="4">
        <v>345</v>
      </c>
      <c r="I99" s="4">
        <v>2</v>
      </c>
      <c r="J99" s="7">
        <v>46126</v>
      </c>
      <c r="K99" s="7">
        <v>46127</v>
      </c>
      <c r="L99" s="4" t="s">
        <v>81</v>
      </c>
      <c r="M99" s="4" t="str" cm="1">
        <f t="array" ref="M99">_xlfn.IFS(G99&gt;=15, "Bulk Order", G99&gt;=5, "Medium Order", G99&lt;5, "Normal Order")</f>
        <v>Bulk Order</v>
      </c>
    </row>
    <row r="100" spans="1:13" x14ac:dyDescent="0.3">
      <c r="A100" s="4">
        <v>1051</v>
      </c>
      <c r="B100" s="9">
        <v>1099</v>
      </c>
      <c r="C100" s="9" t="s">
        <v>28</v>
      </c>
      <c r="D100" s="4" t="s">
        <v>31</v>
      </c>
      <c r="E100" s="4" t="s">
        <v>24</v>
      </c>
      <c r="F100" s="4" t="s">
        <v>7</v>
      </c>
      <c r="G100" s="4">
        <v>1</v>
      </c>
      <c r="H100" s="4">
        <v>5165</v>
      </c>
      <c r="I100" s="4">
        <v>2</v>
      </c>
      <c r="J100" s="7">
        <v>46058</v>
      </c>
      <c r="K100" s="7">
        <v>46060</v>
      </c>
      <c r="L100" s="4" t="s">
        <v>78</v>
      </c>
      <c r="M100" s="4" t="str" cm="1">
        <f t="array" ref="M100">_xlfn.IFS(G100&gt;=15, "Bulk Order", G100&gt;=5, "Medium Order", G100&lt;5, "Normal Order")</f>
        <v>Normal Order</v>
      </c>
    </row>
    <row r="101" spans="1:13" x14ac:dyDescent="0.3">
      <c r="A101" s="4">
        <v>1086</v>
      </c>
      <c r="B101" s="9">
        <v>1100</v>
      </c>
      <c r="C101" s="9" t="s">
        <v>18</v>
      </c>
      <c r="D101" s="4" t="s">
        <v>31</v>
      </c>
      <c r="E101" s="4" t="s">
        <v>20</v>
      </c>
      <c r="F101" s="4" t="s">
        <v>21</v>
      </c>
      <c r="G101" s="4">
        <v>11</v>
      </c>
      <c r="H101" s="4">
        <v>296</v>
      </c>
      <c r="I101" s="4">
        <v>10</v>
      </c>
      <c r="J101" s="7">
        <v>46027</v>
      </c>
      <c r="K101" s="7">
        <v>46031</v>
      </c>
      <c r="L101" s="4" t="s">
        <v>81</v>
      </c>
      <c r="M101" s="4" t="str" cm="1">
        <f t="array" ref="M101">_xlfn.IFS(G101&gt;=15, "Bulk Order", G101&gt;=5, "Medium Order", G101&lt;5, "Normal Order")</f>
        <v>Medium Order</v>
      </c>
    </row>
    <row r="102" spans="1:13" x14ac:dyDescent="0.3">
      <c r="A102" s="3"/>
      <c r="B102" s="9">
        <v>1101</v>
      </c>
      <c r="C102" s="9" t="s">
        <v>29</v>
      </c>
      <c r="D102" s="4" t="s">
        <v>26</v>
      </c>
      <c r="E102" s="4" t="s">
        <v>34</v>
      </c>
      <c r="F102" s="4" t="s">
        <v>12</v>
      </c>
      <c r="G102" s="4">
        <v>9</v>
      </c>
      <c r="H102" s="4">
        <v>37361</v>
      </c>
      <c r="I102" s="4">
        <v>10</v>
      </c>
      <c r="J102" s="7">
        <v>46141</v>
      </c>
      <c r="K102" s="7">
        <v>46142</v>
      </c>
      <c r="L102" s="4" t="s">
        <v>80</v>
      </c>
      <c r="M102" s="4" t="str" cm="1">
        <f t="array" ref="M102">_xlfn.IFS(G102&gt;=15, "Bulk Order", G102&gt;=5, "Medium Order", G102&lt;5, "Normal Order")</f>
        <v>Medium Order</v>
      </c>
    </row>
    <row r="103" spans="1:13" x14ac:dyDescent="0.3">
      <c r="A103" s="3"/>
      <c r="B103" s="9">
        <v>1102</v>
      </c>
      <c r="C103" s="9" t="s">
        <v>52</v>
      </c>
      <c r="D103" s="4" t="s">
        <v>27</v>
      </c>
      <c r="E103" s="4" t="s">
        <v>34</v>
      </c>
      <c r="F103" s="4" t="s">
        <v>6</v>
      </c>
      <c r="G103" s="4">
        <v>12</v>
      </c>
      <c r="H103" s="4">
        <v>63402</v>
      </c>
      <c r="I103" s="4">
        <v>7</v>
      </c>
      <c r="J103" s="7">
        <v>46106</v>
      </c>
      <c r="K103" s="7">
        <v>46113</v>
      </c>
      <c r="L103" s="4" t="s">
        <v>81</v>
      </c>
      <c r="M103" s="4" t="str" cm="1">
        <f t="array" ref="M103">_xlfn.IFS(G103&gt;=15, "Bulk Order", G103&gt;=5, "Medium Order", G103&lt;5, "Normal Order")</f>
        <v>Medium Order</v>
      </c>
    </row>
    <row r="104" spans="1:13" x14ac:dyDescent="0.3">
      <c r="A104" s="3"/>
      <c r="B104" s="9">
        <v>1103</v>
      </c>
      <c r="C104" s="9" t="s">
        <v>22</v>
      </c>
      <c r="D104" s="4" t="s">
        <v>19</v>
      </c>
      <c r="E104" s="4" t="s">
        <v>24</v>
      </c>
      <c r="F104" s="4" t="s">
        <v>10</v>
      </c>
      <c r="G104" s="4">
        <v>7</v>
      </c>
      <c r="H104" s="4">
        <v>11925</v>
      </c>
      <c r="I104" s="4">
        <v>5</v>
      </c>
      <c r="J104" s="7">
        <v>46040</v>
      </c>
      <c r="K104" s="7">
        <v>46041</v>
      </c>
      <c r="L104" s="4" t="s">
        <v>49</v>
      </c>
      <c r="M104" s="4" t="str" cm="1">
        <f t="array" ref="M104">_xlfn.IFS(G104&gt;=15, "Bulk Order", G104&gt;=5, "Medium Order", G104&lt;5, "Normal Order")</f>
        <v>Medium Order</v>
      </c>
    </row>
    <row r="105" spans="1:13" x14ac:dyDescent="0.3">
      <c r="A105" s="3"/>
      <c r="B105" s="9">
        <v>1104</v>
      </c>
      <c r="C105" s="9" t="s">
        <v>22</v>
      </c>
      <c r="D105" s="4" t="s">
        <v>42</v>
      </c>
      <c r="E105" s="4" t="s">
        <v>24</v>
      </c>
      <c r="F105" s="4" t="s">
        <v>7</v>
      </c>
      <c r="G105" s="4">
        <v>10</v>
      </c>
      <c r="H105" s="4">
        <v>12848</v>
      </c>
      <c r="I105" s="4">
        <v>15</v>
      </c>
      <c r="J105" s="7">
        <v>46060</v>
      </c>
      <c r="K105" s="7">
        <v>46064</v>
      </c>
      <c r="L105" s="4" t="s">
        <v>49</v>
      </c>
      <c r="M105" s="4" t="str" cm="1">
        <f t="array" ref="M105">_xlfn.IFS(G105&gt;=15, "Bulk Order", G105&gt;=5, "Medium Order", G105&lt;5, "Normal Order")</f>
        <v>Medium Order</v>
      </c>
    </row>
    <row r="106" spans="1:13" x14ac:dyDescent="0.3">
      <c r="A106" s="3"/>
      <c r="B106" s="9">
        <v>1105</v>
      </c>
      <c r="C106" s="9" t="s">
        <v>56</v>
      </c>
      <c r="D106" s="4" t="s">
        <v>27</v>
      </c>
      <c r="E106" s="4" t="s">
        <v>20</v>
      </c>
      <c r="F106" s="4" t="s">
        <v>48</v>
      </c>
      <c r="G106" s="4">
        <v>2</v>
      </c>
      <c r="H106" s="4">
        <v>493</v>
      </c>
      <c r="I106" s="4">
        <v>12</v>
      </c>
      <c r="J106" s="7">
        <v>46057</v>
      </c>
      <c r="K106" s="7">
        <v>46066</v>
      </c>
      <c r="L106" s="4" t="s">
        <v>81</v>
      </c>
      <c r="M106" s="4" t="str" cm="1">
        <f t="array" ref="M106">_xlfn.IFS(G106&gt;=15, "Bulk Order", G106&gt;=5, "Medium Order", G106&lt;5, "Normal Order")</f>
        <v>Normal Order</v>
      </c>
    </row>
    <row r="107" spans="1:13" x14ac:dyDescent="0.3">
      <c r="A107" s="3"/>
      <c r="B107" s="9">
        <v>1106</v>
      </c>
      <c r="C107" s="9" t="s">
        <v>29</v>
      </c>
      <c r="D107" s="4" t="s">
        <v>42</v>
      </c>
      <c r="E107" s="4" t="s">
        <v>24</v>
      </c>
      <c r="F107" s="4" t="s">
        <v>10</v>
      </c>
      <c r="G107" s="4">
        <v>20</v>
      </c>
      <c r="H107" s="4">
        <v>2141</v>
      </c>
      <c r="I107" s="4">
        <v>2</v>
      </c>
      <c r="J107" s="7">
        <v>46091</v>
      </c>
      <c r="K107" s="7">
        <v>46097</v>
      </c>
      <c r="L107" s="4" t="s">
        <v>49</v>
      </c>
      <c r="M107" s="4" t="str" cm="1">
        <f t="array" ref="M107">_xlfn.IFS(G107&gt;=15, "Bulk Order", G107&gt;=5, "Medium Order", G107&lt;5, "Normal Order")</f>
        <v>Bulk Order</v>
      </c>
    </row>
    <row r="108" spans="1:13" x14ac:dyDescent="0.3">
      <c r="A108" s="3"/>
      <c r="B108" s="9">
        <v>1107</v>
      </c>
      <c r="C108" s="9" t="s">
        <v>50</v>
      </c>
      <c r="D108" s="4" t="s">
        <v>23</v>
      </c>
      <c r="E108" s="4" t="s">
        <v>34</v>
      </c>
      <c r="F108" s="4" t="s">
        <v>9</v>
      </c>
      <c r="G108" s="4">
        <v>4</v>
      </c>
      <c r="H108" s="4">
        <v>14291</v>
      </c>
      <c r="I108" s="4">
        <v>2</v>
      </c>
      <c r="J108" s="7">
        <v>46076</v>
      </c>
      <c r="K108" s="7">
        <v>46078</v>
      </c>
      <c r="L108" s="4" t="s">
        <v>78</v>
      </c>
      <c r="M108" s="4" t="str" cm="1">
        <f t="array" ref="M108">_xlfn.IFS(G108&gt;=15, "Bulk Order", G108&gt;=5, "Medium Order", G108&lt;5, "Normal Order")</f>
        <v>Normal Order</v>
      </c>
    </row>
    <row r="109" spans="1:13" x14ac:dyDescent="0.3">
      <c r="A109" s="3"/>
      <c r="B109" s="9">
        <v>1108</v>
      </c>
      <c r="C109" s="9" t="s">
        <v>41</v>
      </c>
      <c r="D109" s="4" t="s">
        <v>33</v>
      </c>
      <c r="E109" s="4" t="s">
        <v>24</v>
      </c>
      <c r="F109" s="4" t="s">
        <v>8</v>
      </c>
      <c r="G109" s="4">
        <v>15</v>
      </c>
      <c r="H109" s="4">
        <v>13843</v>
      </c>
      <c r="I109" s="4">
        <v>7</v>
      </c>
      <c r="J109" s="7">
        <v>46119</v>
      </c>
      <c r="K109" s="7">
        <v>46127</v>
      </c>
      <c r="L109" s="4" t="s">
        <v>79</v>
      </c>
      <c r="M109" s="4" t="str" cm="1">
        <f t="array" ref="M109">_xlfn.IFS(G109&gt;=15, "Bulk Order", G109&gt;=5, "Medium Order", G109&lt;5, "Normal Order")</f>
        <v>Bulk Order</v>
      </c>
    </row>
    <row r="110" spans="1:13" x14ac:dyDescent="0.3">
      <c r="A110" s="3"/>
      <c r="B110" s="9">
        <v>1109</v>
      </c>
      <c r="C110" s="9" t="s">
        <v>25</v>
      </c>
      <c r="D110" s="4" t="s">
        <v>31</v>
      </c>
      <c r="E110" s="4" t="s">
        <v>24</v>
      </c>
      <c r="F110" s="4" t="s">
        <v>43</v>
      </c>
      <c r="G110" s="4">
        <v>19</v>
      </c>
      <c r="H110" s="4">
        <v>6512</v>
      </c>
      <c r="I110" s="4">
        <v>10</v>
      </c>
      <c r="J110" s="7">
        <v>46033</v>
      </c>
      <c r="K110" s="7">
        <v>46037</v>
      </c>
      <c r="L110" s="4" t="s">
        <v>79</v>
      </c>
      <c r="M110" s="4" t="str" cm="1">
        <f t="array" ref="M110">_xlfn.IFS(G110&gt;=15, "Bulk Order", G110&gt;=5, "Medium Order", G110&lt;5, "Normal Order")</f>
        <v>Bulk Order</v>
      </c>
    </row>
    <row r="111" spans="1:13" x14ac:dyDescent="0.3">
      <c r="A111" s="3"/>
      <c r="B111" s="9">
        <v>1110</v>
      </c>
      <c r="C111" s="9" t="s">
        <v>47</v>
      </c>
      <c r="D111" s="4" t="s">
        <v>38</v>
      </c>
      <c r="E111" s="4" t="s">
        <v>24</v>
      </c>
      <c r="F111" s="4" t="s">
        <v>10</v>
      </c>
      <c r="G111" s="4">
        <v>14</v>
      </c>
      <c r="H111" s="4">
        <v>6793</v>
      </c>
      <c r="I111" s="4">
        <v>7</v>
      </c>
      <c r="J111" s="7">
        <v>46077</v>
      </c>
      <c r="K111" s="7">
        <v>46082</v>
      </c>
      <c r="L111" s="4" t="s">
        <v>49</v>
      </c>
      <c r="M111" s="4" t="str" cm="1">
        <f t="array" ref="M111">_xlfn.IFS(G111&gt;=15, "Bulk Order", G111&gt;=5, "Medium Order", G111&lt;5, "Normal Order")</f>
        <v>Medium Order</v>
      </c>
    </row>
    <row r="112" spans="1:13" x14ac:dyDescent="0.3">
      <c r="A112" s="3"/>
      <c r="B112" s="9">
        <v>1111</v>
      </c>
      <c r="C112" s="9" t="s">
        <v>45</v>
      </c>
      <c r="D112" s="4" t="s">
        <v>23</v>
      </c>
      <c r="E112" s="4" t="s">
        <v>34</v>
      </c>
      <c r="F112" s="4" t="s">
        <v>35</v>
      </c>
      <c r="G112" s="4">
        <v>5</v>
      </c>
      <c r="H112" s="4">
        <v>49945</v>
      </c>
      <c r="I112" s="4">
        <v>12</v>
      </c>
      <c r="J112" s="7">
        <v>46133</v>
      </c>
      <c r="K112" s="7">
        <v>46141</v>
      </c>
      <c r="L112" s="4" t="s">
        <v>49</v>
      </c>
      <c r="M112" s="4" t="str" cm="1">
        <f t="array" ref="M112">_xlfn.IFS(G112&gt;=15, "Bulk Order", G112&gt;=5, "Medium Order", G112&lt;5, "Normal Order")</f>
        <v>Medium Order</v>
      </c>
    </row>
    <row r="113" spans="1:13" x14ac:dyDescent="0.3">
      <c r="A113" s="3"/>
      <c r="B113" s="9">
        <v>1112</v>
      </c>
      <c r="C113" s="9" t="s">
        <v>25</v>
      </c>
      <c r="D113" s="4" t="s">
        <v>42</v>
      </c>
      <c r="E113" s="4" t="s">
        <v>24</v>
      </c>
      <c r="F113" s="4" t="s">
        <v>43</v>
      </c>
      <c r="G113" s="4">
        <v>7</v>
      </c>
      <c r="H113" s="4">
        <v>1959</v>
      </c>
      <c r="I113" s="4">
        <v>15</v>
      </c>
      <c r="J113" s="7">
        <v>46090</v>
      </c>
      <c r="K113" s="7">
        <v>46100</v>
      </c>
      <c r="L113" s="4" t="s">
        <v>78</v>
      </c>
      <c r="M113" s="4" t="str" cm="1">
        <f t="array" ref="M113">_xlfn.IFS(G113&gt;=15, "Bulk Order", G113&gt;=5, "Medium Order", G113&lt;5, "Normal Order")</f>
        <v>Medium Order</v>
      </c>
    </row>
    <row r="114" spans="1:13" x14ac:dyDescent="0.3">
      <c r="A114" s="3"/>
      <c r="B114" s="9">
        <v>1113</v>
      </c>
      <c r="C114" s="9" t="s">
        <v>28</v>
      </c>
      <c r="D114" s="4" t="s">
        <v>42</v>
      </c>
      <c r="E114" s="4" t="s">
        <v>24</v>
      </c>
      <c r="F114" s="4" t="s">
        <v>11</v>
      </c>
      <c r="G114" s="4">
        <v>13</v>
      </c>
      <c r="H114" s="4">
        <v>6719</v>
      </c>
      <c r="I114" s="4">
        <v>15</v>
      </c>
      <c r="J114" s="7">
        <v>46076</v>
      </c>
      <c r="K114" s="7">
        <v>46081</v>
      </c>
      <c r="L114" s="4" t="s">
        <v>80</v>
      </c>
      <c r="M114" s="4" t="str" cm="1">
        <f t="array" ref="M114">_xlfn.IFS(G114&gt;=15, "Bulk Order", G114&gt;=5, "Medium Order", G114&lt;5, "Normal Order")</f>
        <v>Medium Order</v>
      </c>
    </row>
    <row r="115" spans="1:13" x14ac:dyDescent="0.3">
      <c r="A115" s="3"/>
      <c r="B115" s="9">
        <v>1114</v>
      </c>
      <c r="C115" s="9" t="s">
        <v>22</v>
      </c>
      <c r="D115" s="4" t="s">
        <v>27</v>
      </c>
      <c r="E115" s="4" t="s">
        <v>20</v>
      </c>
      <c r="F115" s="4" t="s">
        <v>48</v>
      </c>
      <c r="G115" s="4">
        <v>13</v>
      </c>
      <c r="H115" s="4">
        <v>32</v>
      </c>
      <c r="I115" s="4">
        <v>15</v>
      </c>
      <c r="J115" s="7">
        <v>46066</v>
      </c>
      <c r="K115" s="7">
        <v>46069</v>
      </c>
      <c r="L115" s="4" t="s">
        <v>78</v>
      </c>
      <c r="M115" s="4" t="str" cm="1">
        <f t="array" ref="M115">_xlfn.IFS(G115&gt;=15, "Bulk Order", G115&gt;=5, "Medium Order", G115&lt;5, "Normal Order")</f>
        <v>Medium Order</v>
      </c>
    </row>
    <row r="116" spans="1:13" x14ac:dyDescent="0.3">
      <c r="A116" s="3"/>
      <c r="B116" s="9">
        <v>1115</v>
      </c>
      <c r="C116" s="9" t="s">
        <v>56</v>
      </c>
      <c r="D116" s="4" t="s">
        <v>42</v>
      </c>
      <c r="E116" s="4" t="s">
        <v>20</v>
      </c>
      <c r="F116" s="4" t="s">
        <v>48</v>
      </c>
      <c r="G116" s="4">
        <v>9</v>
      </c>
      <c r="H116" s="4">
        <v>303</v>
      </c>
      <c r="I116" s="4">
        <v>10</v>
      </c>
      <c r="J116" s="7">
        <v>46149</v>
      </c>
      <c r="K116" s="7">
        <v>46157</v>
      </c>
      <c r="L116" s="4" t="s">
        <v>49</v>
      </c>
      <c r="M116" s="4" t="str" cm="1">
        <f t="array" ref="M116">_xlfn.IFS(G116&gt;=15, "Bulk Order", G116&gt;=5, "Medium Order", G116&lt;5, "Normal Order")</f>
        <v>Medium Order</v>
      </c>
    </row>
    <row r="117" spans="1:13" x14ac:dyDescent="0.3">
      <c r="A117" s="3"/>
      <c r="B117" s="9">
        <v>1116</v>
      </c>
      <c r="C117" s="9" t="s">
        <v>22</v>
      </c>
      <c r="D117" s="4" t="s">
        <v>27</v>
      </c>
      <c r="E117" s="4" t="s">
        <v>24</v>
      </c>
      <c r="F117" s="4" t="s">
        <v>11</v>
      </c>
      <c r="G117" s="4">
        <v>2</v>
      </c>
      <c r="H117" s="4">
        <v>12692</v>
      </c>
      <c r="I117" s="4">
        <v>15</v>
      </c>
      <c r="J117" s="7">
        <v>46049</v>
      </c>
      <c r="K117" s="7">
        <v>46051</v>
      </c>
      <c r="L117" s="4" t="s">
        <v>78</v>
      </c>
      <c r="M117" s="4" t="str" cm="1">
        <f t="array" ref="M117">_xlfn.IFS(G117&gt;=15, "Bulk Order", G117&gt;=5, "Medium Order", G117&lt;5, "Normal Order")</f>
        <v>Normal Order</v>
      </c>
    </row>
    <row r="118" spans="1:13" x14ac:dyDescent="0.3">
      <c r="A118" s="3"/>
      <c r="B118" s="9">
        <v>1117</v>
      </c>
      <c r="C118" s="9" t="s">
        <v>53</v>
      </c>
      <c r="D118" s="4" t="s">
        <v>42</v>
      </c>
      <c r="E118" s="4" t="s">
        <v>34</v>
      </c>
      <c r="F118" s="4" t="s">
        <v>5</v>
      </c>
      <c r="G118" s="4">
        <v>16</v>
      </c>
      <c r="H118" s="4">
        <v>33162</v>
      </c>
      <c r="I118" s="4">
        <v>7</v>
      </c>
      <c r="J118" s="7">
        <v>46147</v>
      </c>
      <c r="K118" s="7">
        <v>46155</v>
      </c>
      <c r="L118" s="4" t="s">
        <v>49</v>
      </c>
      <c r="M118" s="4" t="str" cm="1">
        <f t="array" ref="M118">_xlfn.IFS(G118&gt;=15, "Bulk Order", G118&gt;=5, "Medium Order", G118&lt;5, "Normal Order")</f>
        <v>Bulk Order</v>
      </c>
    </row>
    <row r="119" spans="1:13" x14ac:dyDescent="0.3">
      <c r="A119" s="3"/>
      <c r="B119" s="9">
        <v>1118</v>
      </c>
      <c r="C119" s="9" t="s">
        <v>25</v>
      </c>
      <c r="D119" s="4" t="s">
        <v>26</v>
      </c>
      <c r="E119" s="4" t="s">
        <v>24</v>
      </c>
      <c r="F119" s="4" t="s">
        <v>10</v>
      </c>
      <c r="G119" s="4">
        <v>18</v>
      </c>
      <c r="H119" s="4">
        <v>9118</v>
      </c>
      <c r="I119" s="4">
        <v>5</v>
      </c>
      <c r="J119" s="7">
        <v>46178</v>
      </c>
      <c r="K119" s="7">
        <v>46187</v>
      </c>
      <c r="L119" s="4" t="s">
        <v>49</v>
      </c>
      <c r="M119" s="4" t="str" cm="1">
        <f t="array" ref="M119">_xlfn.IFS(G119&gt;=15, "Bulk Order", G119&gt;=5, "Medium Order", G119&lt;5, "Normal Order")</f>
        <v>Bulk Order</v>
      </c>
    </row>
    <row r="120" spans="1:13" x14ac:dyDescent="0.3">
      <c r="A120" s="3"/>
      <c r="B120" s="9">
        <v>1119</v>
      </c>
      <c r="C120" s="9" t="s">
        <v>30</v>
      </c>
      <c r="D120" s="4" t="s">
        <v>42</v>
      </c>
      <c r="E120" s="4" t="s">
        <v>24</v>
      </c>
      <c r="F120" s="4" t="s">
        <v>8</v>
      </c>
      <c r="G120" s="4">
        <v>2</v>
      </c>
      <c r="H120" s="4">
        <v>3706</v>
      </c>
      <c r="I120" s="4">
        <v>5</v>
      </c>
      <c r="J120" s="7">
        <v>46184</v>
      </c>
      <c r="K120" s="7">
        <v>46192</v>
      </c>
      <c r="L120" s="4" t="s">
        <v>81</v>
      </c>
      <c r="M120" s="4" t="str" cm="1">
        <f t="array" ref="M120">_xlfn.IFS(G120&gt;=15, "Bulk Order", G120&gt;=5, "Medium Order", G120&lt;5, "Normal Order")</f>
        <v>Normal Order</v>
      </c>
    </row>
    <row r="121" spans="1:13" x14ac:dyDescent="0.3">
      <c r="A121" s="3"/>
      <c r="B121" s="9">
        <v>1120</v>
      </c>
      <c r="C121" s="9" t="s">
        <v>32</v>
      </c>
      <c r="D121" s="4" t="s">
        <v>38</v>
      </c>
      <c r="E121" s="4" t="s">
        <v>20</v>
      </c>
      <c r="F121" s="4" t="s">
        <v>36</v>
      </c>
      <c r="G121" s="4">
        <v>10</v>
      </c>
      <c r="H121" s="4">
        <v>438</v>
      </c>
      <c r="I121" s="4">
        <v>10</v>
      </c>
      <c r="J121" s="7">
        <v>46061</v>
      </c>
      <c r="K121" s="7">
        <v>46065</v>
      </c>
      <c r="L121" s="4" t="s">
        <v>81</v>
      </c>
      <c r="M121" s="4" t="str" cm="1">
        <f t="array" ref="M121">_xlfn.IFS(G121&gt;=15, "Bulk Order", G121&gt;=5, "Medium Order", G121&lt;5, "Normal Order")</f>
        <v>Medium Order</v>
      </c>
    </row>
    <row r="122" spans="1:13" x14ac:dyDescent="0.3">
      <c r="A122" s="3"/>
      <c r="B122" s="9">
        <v>1121</v>
      </c>
      <c r="C122" s="9" t="s">
        <v>49</v>
      </c>
      <c r="D122" s="4" t="s">
        <v>19</v>
      </c>
      <c r="E122" s="4" t="s">
        <v>34</v>
      </c>
      <c r="F122" s="4" t="s">
        <v>5</v>
      </c>
      <c r="G122" s="4">
        <v>4</v>
      </c>
      <c r="H122" s="4">
        <v>55809</v>
      </c>
      <c r="I122" s="4">
        <v>2</v>
      </c>
      <c r="J122" s="7">
        <v>46103</v>
      </c>
      <c r="K122" s="7">
        <v>46108</v>
      </c>
      <c r="L122" s="4" t="s">
        <v>49</v>
      </c>
      <c r="M122" s="4" t="str" cm="1">
        <f t="array" ref="M122">_xlfn.IFS(G122&gt;=15, "Bulk Order", G122&gt;=5, "Medium Order", G122&lt;5, "Normal Order")</f>
        <v>Normal Order</v>
      </c>
    </row>
    <row r="123" spans="1:13" x14ac:dyDescent="0.3">
      <c r="A123" s="3"/>
      <c r="B123" s="9">
        <v>1122</v>
      </c>
      <c r="C123" s="9" t="s">
        <v>39</v>
      </c>
      <c r="D123" s="4" t="s">
        <v>26</v>
      </c>
      <c r="E123" s="4" t="s">
        <v>34</v>
      </c>
      <c r="F123" s="4" t="s">
        <v>5</v>
      </c>
      <c r="G123" s="4">
        <v>14</v>
      </c>
      <c r="H123" s="4">
        <v>49990</v>
      </c>
      <c r="I123" s="4">
        <v>10</v>
      </c>
      <c r="J123" s="7">
        <v>46132</v>
      </c>
      <c r="K123" s="7">
        <v>46135</v>
      </c>
      <c r="L123" s="4" t="s">
        <v>49</v>
      </c>
      <c r="M123" s="4" t="str" cm="1">
        <f t="array" ref="M123">_xlfn.IFS(G123&gt;=15, "Bulk Order", G123&gt;=5, "Medium Order", G123&lt;5, "Normal Order")</f>
        <v>Medium Order</v>
      </c>
    </row>
    <row r="124" spans="1:13" x14ac:dyDescent="0.3">
      <c r="A124" s="3"/>
      <c r="B124" s="9">
        <v>1123</v>
      </c>
      <c r="C124" s="9" t="s">
        <v>32</v>
      </c>
      <c r="D124" s="4" t="s">
        <v>31</v>
      </c>
      <c r="E124" s="4" t="s">
        <v>34</v>
      </c>
      <c r="F124" s="4" t="s">
        <v>6</v>
      </c>
      <c r="G124" s="4">
        <v>16</v>
      </c>
      <c r="H124" s="4">
        <v>1332</v>
      </c>
      <c r="I124" s="4">
        <v>7</v>
      </c>
      <c r="J124" s="7">
        <v>46107</v>
      </c>
      <c r="K124" s="7">
        <v>46109</v>
      </c>
      <c r="L124" s="4" t="s">
        <v>49</v>
      </c>
      <c r="M124" s="4" t="str" cm="1">
        <f t="array" ref="M124">_xlfn.IFS(G124&gt;=15, "Bulk Order", G124&gt;=5, "Medium Order", G124&lt;5, "Normal Order")</f>
        <v>Bulk Order</v>
      </c>
    </row>
    <row r="125" spans="1:13" x14ac:dyDescent="0.3">
      <c r="A125" s="3"/>
      <c r="B125" s="9">
        <v>1124</v>
      </c>
      <c r="C125" s="9" t="s">
        <v>29</v>
      </c>
      <c r="D125" s="4" t="s">
        <v>38</v>
      </c>
      <c r="E125" s="4" t="s">
        <v>24</v>
      </c>
      <c r="F125" s="4" t="s">
        <v>11</v>
      </c>
      <c r="G125" s="4">
        <v>4</v>
      </c>
      <c r="H125" s="4">
        <v>14195</v>
      </c>
      <c r="I125" s="4">
        <v>15</v>
      </c>
      <c r="J125" s="7">
        <v>46182</v>
      </c>
      <c r="K125" s="7">
        <v>46189</v>
      </c>
      <c r="L125" s="4" t="s">
        <v>81</v>
      </c>
      <c r="M125" s="4" t="str" cm="1">
        <f t="array" ref="M125">_xlfn.IFS(G125&gt;=15, "Bulk Order", G125&gt;=5, "Medium Order", G125&lt;5, "Normal Order")</f>
        <v>Normal Order</v>
      </c>
    </row>
    <row r="126" spans="1:13" x14ac:dyDescent="0.3">
      <c r="A126" s="3"/>
      <c r="B126" s="9">
        <v>1125</v>
      </c>
      <c r="C126" s="9" t="s">
        <v>47</v>
      </c>
      <c r="D126" s="4" t="s">
        <v>33</v>
      </c>
      <c r="E126" s="4" t="s">
        <v>20</v>
      </c>
      <c r="F126" s="4" t="s">
        <v>21</v>
      </c>
      <c r="G126" s="4">
        <v>6</v>
      </c>
      <c r="H126" s="4">
        <v>30</v>
      </c>
      <c r="I126" s="4">
        <v>2</v>
      </c>
      <c r="J126" s="7">
        <v>46133</v>
      </c>
      <c r="K126" s="7">
        <v>46138</v>
      </c>
      <c r="L126" s="4" t="s">
        <v>80</v>
      </c>
      <c r="M126" s="4" t="str" cm="1">
        <f t="array" ref="M126">_xlfn.IFS(G126&gt;=15, "Bulk Order", G126&gt;=5, "Medium Order", G126&lt;5, "Normal Order")</f>
        <v>Medium Order</v>
      </c>
    </row>
    <row r="127" spans="1:13" x14ac:dyDescent="0.3">
      <c r="A127" s="3"/>
      <c r="B127" s="9">
        <v>1126</v>
      </c>
      <c r="C127" s="9" t="s">
        <v>44</v>
      </c>
      <c r="D127" s="4" t="s">
        <v>26</v>
      </c>
      <c r="E127" s="4" t="s">
        <v>34</v>
      </c>
      <c r="F127" s="4" t="s">
        <v>5</v>
      </c>
      <c r="G127" s="4">
        <v>17</v>
      </c>
      <c r="H127" s="4">
        <v>19390</v>
      </c>
      <c r="I127" s="4">
        <v>12</v>
      </c>
      <c r="J127" s="7">
        <v>46201</v>
      </c>
      <c r="K127" s="7">
        <v>46206</v>
      </c>
      <c r="L127" s="4" t="s">
        <v>49</v>
      </c>
      <c r="M127" s="4" t="str" cm="1">
        <f t="array" ref="M127">_xlfn.IFS(G127&gt;=15, "Bulk Order", G127&gt;=5, "Medium Order", G127&lt;5, "Normal Order")</f>
        <v>Bulk Order</v>
      </c>
    </row>
    <row r="128" spans="1:13" x14ac:dyDescent="0.3">
      <c r="A128" s="3"/>
      <c r="B128" s="9">
        <v>1127</v>
      </c>
      <c r="C128" s="9" t="s">
        <v>28</v>
      </c>
      <c r="D128" s="4" t="s">
        <v>33</v>
      </c>
      <c r="E128" s="4" t="s">
        <v>24</v>
      </c>
      <c r="F128" s="4" t="s">
        <v>8</v>
      </c>
      <c r="G128" s="4">
        <v>15</v>
      </c>
      <c r="H128" s="4">
        <v>11694</v>
      </c>
      <c r="I128" s="4">
        <v>12</v>
      </c>
      <c r="J128" s="7">
        <v>46170</v>
      </c>
      <c r="K128" s="7">
        <v>46179</v>
      </c>
      <c r="L128" s="4" t="s">
        <v>49</v>
      </c>
      <c r="M128" s="4" t="str" cm="1">
        <f t="array" ref="M128">_xlfn.IFS(G128&gt;=15, "Bulk Order", G128&gt;=5, "Medium Order", G128&lt;5, "Normal Order")</f>
        <v>Bulk Order</v>
      </c>
    </row>
    <row r="129" spans="1:13" x14ac:dyDescent="0.3">
      <c r="A129" s="3"/>
      <c r="B129" s="9">
        <v>1128</v>
      </c>
      <c r="C129" s="9" t="s">
        <v>30</v>
      </c>
      <c r="D129" s="4" t="s">
        <v>26</v>
      </c>
      <c r="E129" s="4" t="s">
        <v>34</v>
      </c>
      <c r="F129" s="4" t="s">
        <v>12</v>
      </c>
      <c r="G129" s="4">
        <v>6</v>
      </c>
      <c r="H129" s="4">
        <v>5001</v>
      </c>
      <c r="I129" s="4">
        <v>7</v>
      </c>
      <c r="J129" s="7">
        <v>46044</v>
      </c>
      <c r="K129" s="7">
        <v>46050</v>
      </c>
      <c r="L129" s="4" t="s">
        <v>49</v>
      </c>
      <c r="M129" s="4" t="str" cm="1">
        <f t="array" ref="M129">_xlfn.IFS(G129&gt;=15, "Bulk Order", G129&gt;=5, "Medium Order", G129&lt;5, "Normal Order")</f>
        <v>Medium Order</v>
      </c>
    </row>
    <row r="130" spans="1:13" x14ac:dyDescent="0.3">
      <c r="A130" s="3"/>
      <c r="B130" s="9">
        <v>1129</v>
      </c>
      <c r="C130" s="9" t="s">
        <v>55</v>
      </c>
      <c r="D130" s="4" t="s">
        <v>23</v>
      </c>
      <c r="E130" s="4" t="s">
        <v>20</v>
      </c>
      <c r="F130" s="4" t="s">
        <v>48</v>
      </c>
      <c r="G130" s="4">
        <v>15</v>
      </c>
      <c r="H130" s="4">
        <v>75</v>
      </c>
      <c r="I130" s="4">
        <v>7</v>
      </c>
      <c r="J130" s="7">
        <v>46160</v>
      </c>
      <c r="K130" s="7">
        <v>46164</v>
      </c>
      <c r="L130" s="4" t="s">
        <v>49</v>
      </c>
      <c r="M130" s="4" t="str" cm="1">
        <f t="array" ref="M130">_xlfn.IFS(G130&gt;=15, "Bulk Order", G130&gt;=5, "Medium Order", G130&lt;5, "Normal Order")</f>
        <v>Bulk Order</v>
      </c>
    </row>
    <row r="131" spans="1:13" x14ac:dyDescent="0.3">
      <c r="A131" s="3"/>
      <c r="B131" s="9">
        <v>1130</v>
      </c>
      <c r="C131" s="9" t="s">
        <v>46</v>
      </c>
      <c r="D131" s="4" t="s">
        <v>33</v>
      </c>
      <c r="E131" s="4" t="s">
        <v>20</v>
      </c>
      <c r="F131" s="4" t="s">
        <v>21</v>
      </c>
      <c r="G131" s="4">
        <v>12</v>
      </c>
      <c r="H131" s="4">
        <v>50</v>
      </c>
      <c r="I131" s="4">
        <v>2</v>
      </c>
      <c r="J131" s="7">
        <v>46125</v>
      </c>
      <c r="K131" s="7">
        <v>46131</v>
      </c>
      <c r="L131" s="4" t="s">
        <v>80</v>
      </c>
      <c r="M131" s="4" t="str" cm="1">
        <f t="array" ref="M131">_xlfn.IFS(G131&gt;=15, "Bulk Order", G131&gt;=5, "Medium Order", G131&lt;5, "Normal Order")</f>
        <v>Medium Order</v>
      </c>
    </row>
    <row r="132" spans="1:13" x14ac:dyDescent="0.3">
      <c r="A132" s="3"/>
      <c r="B132" s="9">
        <v>1131</v>
      </c>
      <c r="C132" s="9" t="s">
        <v>25</v>
      </c>
      <c r="D132" s="4" t="s">
        <v>31</v>
      </c>
      <c r="E132" s="4" t="s">
        <v>24</v>
      </c>
      <c r="F132" s="4" t="s">
        <v>10</v>
      </c>
      <c r="G132" s="4">
        <v>13</v>
      </c>
      <c r="H132" s="4">
        <v>3083</v>
      </c>
      <c r="I132" s="4">
        <v>7</v>
      </c>
      <c r="J132" s="7">
        <v>46168</v>
      </c>
      <c r="K132" s="7">
        <v>46173</v>
      </c>
      <c r="L132" s="4" t="s">
        <v>81</v>
      </c>
      <c r="M132" s="4" t="str" cm="1">
        <f t="array" ref="M132">_xlfn.IFS(G132&gt;=15, "Bulk Order", G132&gt;=5, "Medium Order", G132&lt;5, "Normal Order")</f>
        <v>Medium Order</v>
      </c>
    </row>
    <row r="133" spans="1:13" x14ac:dyDescent="0.3">
      <c r="A133" s="3"/>
      <c r="B133" s="9">
        <v>1132</v>
      </c>
      <c r="C133" s="9" t="s">
        <v>18</v>
      </c>
      <c r="D133" s="4" t="s">
        <v>31</v>
      </c>
      <c r="E133" s="4" t="s">
        <v>20</v>
      </c>
      <c r="F133" s="4" t="s">
        <v>48</v>
      </c>
      <c r="G133" s="4">
        <v>10</v>
      </c>
      <c r="H133" s="4">
        <v>270</v>
      </c>
      <c r="I133" s="4">
        <v>7</v>
      </c>
      <c r="J133" s="7">
        <v>46024</v>
      </c>
      <c r="K133" s="7">
        <v>46034</v>
      </c>
      <c r="L133" s="4" t="s">
        <v>80</v>
      </c>
      <c r="M133" s="4" t="str" cm="1">
        <f t="array" ref="M133">_xlfn.IFS(G133&gt;=15, "Bulk Order", G133&gt;=5, "Medium Order", G133&lt;5, "Normal Order")</f>
        <v>Medium Order</v>
      </c>
    </row>
    <row r="134" spans="1:13" x14ac:dyDescent="0.3">
      <c r="A134" s="3"/>
      <c r="B134" s="9">
        <v>1133</v>
      </c>
      <c r="C134" s="9" t="s">
        <v>18</v>
      </c>
      <c r="D134" s="4" t="s">
        <v>19</v>
      </c>
      <c r="E134" s="4" t="s">
        <v>24</v>
      </c>
      <c r="F134" s="4" t="s">
        <v>11</v>
      </c>
      <c r="G134" s="4">
        <v>6</v>
      </c>
      <c r="H134" s="4">
        <v>9037</v>
      </c>
      <c r="I134" s="4">
        <v>2</v>
      </c>
      <c r="J134" s="7">
        <v>46112</v>
      </c>
      <c r="K134" s="7">
        <v>46121</v>
      </c>
      <c r="L134" s="4" t="s">
        <v>81</v>
      </c>
      <c r="M134" s="4" t="str" cm="1">
        <f t="array" ref="M134">_xlfn.IFS(G134&gt;=15, "Bulk Order", G134&gt;=5, "Medium Order", G134&lt;5, "Normal Order")</f>
        <v>Medium Order</v>
      </c>
    </row>
    <row r="135" spans="1:13" x14ac:dyDescent="0.3">
      <c r="A135" s="3"/>
      <c r="B135" s="9">
        <v>1134</v>
      </c>
      <c r="C135" s="9" t="s">
        <v>54</v>
      </c>
      <c r="D135" s="4" t="s">
        <v>31</v>
      </c>
      <c r="E135" s="4" t="s">
        <v>34</v>
      </c>
      <c r="F135" s="4" t="s">
        <v>12</v>
      </c>
      <c r="G135" s="4">
        <v>10</v>
      </c>
      <c r="H135" s="4">
        <v>29217</v>
      </c>
      <c r="I135" s="4">
        <v>15</v>
      </c>
      <c r="J135" s="7">
        <v>46148</v>
      </c>
      <c r="K135" s="7">
        <v>46150</v>
      </c>
      <c r="L135" s="4" t="s">
        <v>80</v>
      </c>
      <c r="M135" s="4" t="str" cm="1">
        <f t="array" ref="M135">_xlfn.IFS(G135&gt;=15, "Bulk Order", G135&gt;=5, "Medium Order", G135&lt;5, "Normal Order")</f>
        <v>Medium Order</v>
      </c>
    </row>
    <row r="136" spans="1:13" x14ac:dyDescent="0.3">
      <c r="A136" s="3"/>
      <c r="B136" s="9">
        <v>1135</v>
      </c>
      <c r="C136" s="9" t="s">
        <v>47</v>
      </c>
      <c r="D136" s="4" t="s">
        <v>42</v>
      </c>
      <c r="E136" s="4" t="s">
        <v>34</v>
      </c>
      <c r="F136" s="4" t="s">
        <v>5</v>
      </c>
      <c r="G136" s="4">
        <v>14</v>
      </c>
      <c r="H136" s="4">
        <v>68534</v>
      </c>
      <c r="I136" s="4">
        <v>0</v>
      </c>
      <c r="J136" s="7">
        <v>46041</v>
      </c>
      <c r="K136" s="7">
        <v>46042</v>
      </c>
      <c r="L136" s="4" t="s">
        <v>78</v>
      </c>
      <c r="M136" s="4" t="str" cm="1">
        <f t="array" ref="M136">_xlfn.IFS(G136&gt;=15, "Bulk Order", G136&gt;=5, "Medium Order", G136&lt;5, "Normal Order")</f>
        <v>Medium Order</v>
      </c>
    </row>
    <row r="137" spans="1:13" x14ac:dyDescent="0.3">
      <c r="A137" s="3"/>
      <c r="B137" s="9">
        <v>1136</v>
      </c>
      <c r="C137" s="9" t="s">
        <v>29</v>
      </c>
      <c r="D137" s="4" t="s">
        <v>42</v>
      </c>
      <c r="E137" s="4" t="s">
        <v>24</v>
      </c>
      <c r="F137" s="4" t="s">
        <v>11</v>
      </c>
      <c r="G137" s="4">
        <v>19</v>
      </c>
      <c r="H137" s="4">
        <v>14528</v>
      </c>
      <c r="I137" s="4">
        <v>12</v>
      </c>
      <c r="J137" s="7">
        <v>46056</v>
      </c>
      <c r="K137" s="7">
        <v>46062</v>
      </c>
      <c r="L137" s="4" t="s">
        <v>80</v>
      </c>
      <c r="M137" s="4" t="str" cm="1">
        <f t="array" ref="M137">_xlfn.IFS(G137&gt;=15, "Bulk Order", G137&gt;=5, "Medium Order", G137&lt;5, "Normal Order")</f>
        <v>Bulk Order</v>
      </c>
    </row>
    <row r="138" spans="1:13" x14ac:dyDescent="0.3">
      <c r="A138" s="3"/>
      <c r="B138" s="9">
        <v>1137</v>
      </c>
      <c r="C138" s="9" t="s">
        <v>50</v>
      </c>
      <c r="D138" s="4" t="s">
        <v>19</v>
      </c>
      <c r="E138" s="4" t="s">
        <v>20</v>
      </c>
      <c r="F138" s="4" t="s">
        <v>37</v>
      </c>
      <c r="G138" s="4">
        <v>16</v>
      </c>
      <c r="H138" s="4">
        <v>270</v>
      </c>
      <c r="I138" s="4">
        <v>10</v>
      </c>
      <c r="J138" s="7">
        <v>46184</v>
      </c>
      <c r="K138" s="7">
        <v>46190</v>
      </c>
      <c r="L138" s="4" t="s">
        <v>49</v>
      </c>
      <c r="M138" s="4" t="str" cm="1">
        <f t="array" ref="M138">_xlfn.IFS(G138&gt;=15, "Bulk Order", G138&gt;=5, "Medium Order", G138&lt;5, "Normal Order")</f>
        <v>Bulk Order</v>
      </c>
    </row>
    <row r="139" spans="1:13" x14ac:dyDescent="0.3">
      <c r="A139" s="3"/>
      <c r="B139" s="9">
        <v>1138</v>
      </c>
      <c r="C139" s="9" t="s">
        <v>53</v>
      </c>
      <c r="D139" s="4" t="s">
        <v>42</v>
      </c>
      <c r="E139" s="4" t="s">
        <v>24</v>
      </c>
      <c r="F139" s="4" t="s">
        <v>7</v>
      </c>
      <c r="G139" s="4">
        <v>5</v>
      </c>
      <c r="H139" s="4">
        <v>14466</v>
      </c>
      <c r="I139" s="4">
        <v>2</v>
      </c>
      <c r="J139" s="7">
        <v>46084</v>
      </c>
      <c r="K139" s="7">
        <v>46092</v>
      </c>
      <c r="L139" s="4" t="s">
        <v>81</v>
      </c>
      <c r="M139" s="4" t="str" cm="1">
        <f t="array" ref="M139">_xlfn.IFS(G139&gt;=15, "Bulk Order", G139&gt;=5, "Medium Order", G139&lt;5, "Normal Order")</f>
        <v>Medium Order</v>
      </c>
    </row>
    <row r="140" spans="1:13" x14ac:dyDescent="0.3">
      <c r="A140" s="3"/>
      <c r="B140" s="9">
        <v>1139</v>
      </c>
      <c r="C140" s="9" t="s">
        <v>53</v>
      </c>
      <c r="D140" s="4" t="s">
        <v>33</v>
      </c>
      <c r="E140" s="4" t="s">
        <v>34</v>
      </c>
      <c r="F140" s="4" t="s">
        <v>12</v>
      </c>
      <c r="G140" s="4">
        <v>17</v>
      </c>
      <c r="H140" s="4">
        <v>28839</v>
      </c>
      <c r="I140" s="4">
        <v>10</v>
      </c>
      <c r="J140" s="7">
        <v>46093</v>
      </c>
      <c r="K140" s="7">
        <v>46099</v>
      </c>
      <c r="L140" s="4" t="s">
        <v>78</v>
      </c>
      <c r="M140" s="4" t="str" cm="1">
        <f t="array" ref="M140">_xlfn.IFS(G140&gt;=15, "Bulk Order", G140&gt;=5, "Medium Order", G140&lt;5, "Normal Order")</f>
        <v>Bulk Order</v>
      </c>
    </row>
    <row r="141" spans="1:13" x14ac:dyDescent="0.3">
      <c r="A141" s="3"/>
      <c r="B141" s="9">
        <v>1140</v>
      </c>
      <c r="C141" s="9" t="s">
        <v>54</v>
      </c>
      <c r="D141" s="4" t="s">
        <v>38</v>
      </c>
      <c r="E141" s="4" t="s">
        <v>34</v>
      </c>
      <c r="F141" s="4" t="s">
        <v>40</v>
      </c>
      <c r="G141" s="4">
        <v>5</v>
      </c>
      <c r="H141" s="4">
        <v>68012</v>
      </c>
      <c r="I141" s="4">
        <v>5</v>
      </c>
      <c r="J141" s="7">
        <v>46061</v>
      </c>
      <c r="K141" s="7">
        <v>46065</v>
      </c>
      <c r="L141" s="4" t="s">
        <v>78</v>
      </c>
      <c r="M141" s="4" t="str" cm="1">
        <f t="array" ref="M141">_xlfn.IFS(G141&gt;=15, "Bulk Order", G141&gt;=5, "Medium Order", G141&lt;5, "Normal Order")</f>
        <v>Medium Order</v>
      </c>
    </row>
    <row r="142" spans="1:13" x14ac:dyDescent="0.3">
      <c r="A142" s="3"/>
      <c r="B142" s="9">
        <v>1141</v>
      </c>
      <c r="C142" s="9" t="s">
        <v>18</v>
      </c>
      <c r="D142" s="4" t="s">
        <v>23</v>
      </c>
      <c r="E142" s="4" t="s">
        <v>24</v>
      </c>
      <c r="F142" s="4" t="s">
        <v>43</v>
      </c>
      <c r="G142" s="4">
        <v>20</v>
      </c>
      <c r="H142" s="4">
        <v>6835</v>
      </c>
      <c r="I142" s="4">
        <v>2</v>
      </c>
      <c r="J142" s="7">
        <v>46043</v>
      </c>
      <c r="K142" s="7">
        <v>46053</v>
      </c>
      <c r="L142" s="4" t="s">
        <v>78</v>
      </c>
      <c r="M142" s="4" t="str" cm="1">
        <f t="array" ref="M142">_xlfn.IFS(G142&gt;=15, "Bulk Order", G142&gt;=5, "Medium Order", G142&lt;5, "Normal Order")</f>
        <v>Bulk Order</v>
      </c>
    </row>
    <row r="143" spans="1:13" x14ac:dyDescent="0.3">
      <c r="A143" s="3"/>
      <c r="B143" s="9">
        <v>1142</v>
      </c>
      <c r="C143" s="9" t="s">
        <v>39</v>
      </c>
      <c r="D143" s="4" t="s">
        <v>27</v>
      </c>
      <c r="E143" s="4" t="s">
        <v>34</v>
      </c>
      <c r="F143" s="4" t="s">
        <v>9</v>
      </c>
      <c r="G143" s="4">
        <v>9</v>
      </c>
      <c r="H143" s="4">
        <v>59788</v>
      </c>
      <c r="I143" s="4">
        <v>7</v>
      </c>
      <c r="J143" s="7">
        <v>46064</v>
      </c>
      <c r="K143" s="7">
        <v>46071</v>
      </c>
      <c r="L143" s="4" t="s">
        <v>49</v>
      </c>
      <c r="M143" s="4" t="str" cm="1">
        <f t="array" ref="M143">_xlfn.IFS(G143&gt;=15, "Bulk Order", G143&gt;=5, "Medium Order", G143&lt;5, "Normal Order")</f>
        <v>Medium Order</v>
      </c>
    </row>
    <row r="144" spans="1:13" x14ac:dyDescent="0.3">
      <c r="A144" s="3"/>
      <c r="B144" s="9">
        <v>1143</v>
      </c>
      <c r="C144" s="9" t="s">
        <v>49</v>
      </c>
      <c r="D144" s="4" t="s">
        <v>23</v>
      </c>
      <c r="E144" s="4" t="s">
        <v>20</v>
      </c>
      <c r="F144" s="4" t="s">
        <v>37</v>
      </c>
      <c r="G144" s="4">
        <v>13</v>
      </c>
      <c r="H144" s="4">
        <v>456</v>
      </c>
      <c r="I144" s="4">
        <v>2</v>
      </c>
      <c r="J144" s="7">
        <v>46160</v>
      </c>
      <c r="K144" s="7">
        <v>46167</v>
      </c>
      <c r="L144" s="4" t="s">
        <v>80</v>
      </c>
      <c r="M144" s="4" t="str" cm="1">
        <f t="array" ref="M144">_xlfn.IFS(G144&gt;=15, "Bulk Order", G144&gt;=5, "Medium Order", G144&lt;5, "Normal Order")</f>
        <v>Medium Order</v>
      </c>
    </row>
    <row r="145" spans="1:13" x14ac:dyDescent="0.3">
      <c r="A145" s="3"/>
      <c r="B145" s="9">
        <v>1144</v>
      </c>
      <c r="C145" s="9" t="s">
        <v>41</v>
      </c>
      <c r="D145" s="4" t="s">
        <v>27</v>
      </c>
      <c r="E145" s="4" t="s">
        <v>20</v>
      </c>
      <c r="F145" s="4" t="s">
        <v>21</v>
      </c>
      <c r="G145" s="4">
        <v>16</v>
      </c>
      <c r="H145" s="4">
        <v>219</v>
      </c>
      <c r="I145" s="4">
        <v>7</v>
      </c>
      <c r="J145" s="7">
        <v>46138</v>
      </c>
      <c r="K145" s="7">
        <v>46140</v>
      </c>
      <c r="L145" s="4" t="s">
        <v>79</v>
      </c>
      <c r="M145" s="4" t="str" cm="1">
        <f t="array" ref="M145">_xlfn.IFS(G145&gt;=15, "Bulk Order", G145&gt;=5, "Medium Order", G145&lt;5, "Normal Order")</f>
        <v>Bulk Order</v>
      </c>
    </row>
    <row r="146" spans="1:13" x14ac:dyDescent="0.3">
      <c r="A146" s="3"/>
      <c r="B146" s="9">
        <v>1145</v>
      </c>
      <c r="C146" s="9" t="s">
        <v>41</v>
      </c>
      <c r="D146" s="4" t="s">
        <v>33</v>
      </c>
      <c r="E146" s="4" t="s">
        <v>34</v>
      </c>
      <c r="F146" s="4" t="s">
        <v>5</v>
      </c>
      <c r="G146" s="4">
        <v>2</v>
      </c>
      <c r="H146" s="4">
        <v>34429</v>
      </c>
      <c r="I146" s="4">
        <v>12</v>
      </c>
      <c r="J146" s="7">
        <v>46102</v>
      </c>
      <c r="K146" s="7">
        <v>46112</v>
      </c>
      <c r="L146" s="4" t="s">
        <v>80</v>
      </c>
      <c r="M146" s="4" t="str" cm="1">
        <f t="array" ref="M146">_xlfn.IFS(G146&gt;=15, "Bulk Order", G146&gt;=5, "Medium Order", G146&lt;5, "Normal Order")</f>
        <v>Normal Order</v>
      </c>
    </row>
    <row r="147" spans="1:13" x14ac:dyDescent="0.3">
      <c r="A147" s="3"/>
      <c r="B147" s="9">
        <v>1146</v>
      </c>
      <c r="C147" s="9" t="s">
        <v>22</v>
      </c>
      <c r="D147" s="4" t="s">
        <v>42</v>
      </c>
      <c r="E147" s="4" t="s">
        <v>34</v>
      </c>
      <c r="F147" s="4" t="s">
        <v>6</v>
      </c>
      <c r="G147" s="4">
        <v>7</v>
      </c>
      <c r="H147" s="4">
        <v>68217</v>
      </c>
      <c r="I147" s="4">
        <v>0</v>
      </c>
      <c r="J147" s="7">
        <v>46190</v>
      </c>
      <c r="K147" s="7">
        <v>46197</v>
      </c>
      <c r="L147" s="4" t="s">
        <v>49</v>
      </c>
      <c r="M147" s="4" t="str" cm="1">
        <f t="array" ref="M147">_xlfn.IFS(G147&gt;=15, "Bulk Order", G147&gt;=5, "Medium Order", G147&lt;5, "Normal Order")</f>
        <v>Medium Order</v>
      </c>
    </row>
    <row r="148" spans="1:13" x14ac:dyDescent="0.3">
      <c r="A148" s="3"/>
      <c r="B148" s="9">
        <v>1147</v>
      </c>
      <c r="C148" s="9" t="s">
        <v>18</v>
      </c>
      <c r="D148" s="4" t="s">
        <v>26</v>
      </c>
      <c r="E148" s="4" t="s">
        <v>24</v>
      </c>
      <c r="F148" s="4" t="s">
        <v>8</v>
      </c>
      <c r="G148" s="4">
        <v>7</v>
      </c>
      <c r="H148" s="4">
        <v>9581</v>
      </c>
      <c r="I148" s="4">
        <v>5</v>
      </c>
      <c r="J148" s="7">
        <v>46154</v>
      </c>
      <c r="K148" s="7">
        <v>46155</v>
      </c>
      <c r="L148" s="4" t="s">
        <v>79</v>
      </c>
      <c r="M148" s="4" t="str" cm="1">
        <f t="array" ref="M148">_xlfn.IFS(G148&gt;=15, "Bulk Order", G148&gt;=5, "Medium Order", G148&lt;5, "Normal Order")</f>
        <v>Medium Order</v>
      </c>
    </row>
    <row r="149" spans="1:13" x14ac:dyDescent="0.3">
      <c r="A149" s="3"/>
      <c r="B149" s="9">
        <v>1148</v>
      </c>
      <c r="C149" s="9" t="s">
        <v>56</v>
      </c>
      <c r="D149" s="4" t="s">
        <v>33</v>
      </c>
      <c r="E149" s="4" t="s">
        <v>24</v>
      </c>
      <c r="F149" s="4" t="s">
        <v>8</v>
      </c>
      <c r="G149" s="4">
        <v>11</v>
      </c>
      <c r="H149" s="4">
        <v>3023</v>
      </c>
      <c r="I149" s="4">
        <v>7</v>
      </c>
      <c r="J149" s="7">
        <v>46030</v>
      </c>
      <c r="K149" s="7">
        <v>46032</v>
      </c>
      <c r="L149" s="4" t="s">
        <v>80</v>
      </c>
      <c r="M149" s="4" t="str" cm="1">
        <f t="array" ref="M149">_xlfn.IFS(G149&gt;=15, "Bulk Order", G149&gt;=5, "Medium Order", G149&lt;5, "Normal Order")</f>
        <v>Medium Order</v>
      </c>
    </row>
    <row r="150" spans="1:13" x14ac:dyDescent="0.3">
      <c r="A150" s="3"/>
      <c r="B150" s="9">
        <v>1149</v>
      </c>
      <c r="C150" s="9" t="s">
        <v>28</v>
      </c>
      <c r="D150" s="4" t="s">
        <v>38</v>
      </c>
      <c r="E150" s="4" t="s">
        <v>34</v>
      </c>
      <c r="F150" s="4" t="s">
        <v>35</v>
      </c>
      <c r="G150" s="4">
        <v>10</v>
      </c>
      <c r="H150" s="4">
        <v>22853</v>
      </c>
      <c r="I150" s="4">
        <v>7</v>
      </c>
      <c r="J150" s="7">
        <v>46053</v>
      </c>
      <c r="K150" s="7">
        <v>46054</v>
      </c>
      <c r="L150" s="4" t="s">
        <v>49</v>
      </c>
      <c r="M150" s="4" t="str" cm="1">
        <f t="array" ref="M150">_xlfn.IFS(G150&gt;=15, "Bulk Order", G150&gt;=5, "Medium Order", G150&lt;5, "Normal Order")</f>
        <v>Medium Order</v>
      </c>
    </row>
    <row r="151" spans="1:13" x14ac:dyDescent="0.3">
      <c r="A151" s="3"/>
      <c r="B151" s="9">
        <v>1150</v>
      </c>
      <c r="C151" s="9" t="s">
        <v>41</v>
      </c>
      <c r="D151" s="4" t="s">
        <v>19</v>
      </c>
      <c r="E151" s="4" t="s">
        <v>24</v>
      </c>
      <c r="F151" s="4" t="s">
        <v>11</v>
      </c>
      <c r="G151" s="4">
        <v>10</v>
      </c>
      <c r="H151" s="4">
        <v>5323</v>
      </c>
      <c r="I151" s="4">
        <v>7</v>
      </c>
      <c r="J151" s="7">
        <v>46143</v>
      </c>
      <c r="K151" s="7">
        <v>46153</v>
      </c>
      <c r="L151" s="4" t="s">
        <v>80</v>
      </c>
      <c r="M151" s="4" t="str" cm="1">
        <f t="array" ref="M151">_xlfn.IFS(G151&gt;=15, "Bulk Order", G151&gt;=5, "Medium Order", G151&lt;5, "Normal Order")</f>
        <v>Medium Order</v>
      </c>
    </row>
    <row r="152" spans="1:13" x14ac:dyDescent="0.3">
      <c r="A152" s="3"/>
      <c r="B152" s="9">
        <v>1151</v>
      </c>
      <c r="C152" s="9" t="s">
        <v>44</v>
      </c>
      <c r="D152" s="4" t="s">
        <v>42</v>
      </c>
      <c r="E152" s="4" t="s">
        <v>20</v>
      </c>
      <c r="F152" s="4" t="s">
        <v>48</v>
      </c>
      <c r="G152" s="4">
        <v>20</v>
      </c>
      <c r="H152" s="4">
        <v>272</v>
      </c>
      <c r="I152" s="4">
        <v>15</v>
      </c>
      <c r="J152" s="7">
        <v>46024</v>
      </c>
      <c r="K152" s="7">
        <v>46029</v>
      </c>
      <c r="L152" s="4" t="s">
        <v>81</v>
      </c>
      <c r="M152" s="4" t="str" cm="1">
        <f t="array" ref="M152">_xlfn.IFS(G152&gt;=15, "Bulk Order", G152&gt;=5, "Medium Order", G152&lt;5, "Normal Order")</f>
        <v>Bulk Order</v>
      </c>
    </row>
    <row r="153" spans="1:13" x14ac:dyDescent="0.3">
      <c r="A153" s="3"/>
      <c r="B153" s="9">
        <v>1152</v>
      </c>
      <c r="C153" s="9" t="s">
        <v>29</v>
      </c>
      <c r="D153" s="4" t="s">
        <v>31</v>
      </c>
      <c r="E153" s="4" t="s">
        <v>34</v>
      </c>
      <c r="F153" s="4" t="s">
        <v>12</v>
      </c>
      <c r="G153" s="4">
        <v>14</v>
      </c>
      <c r="H153" s="4">
        <v>8150</v>
      </c>
      <c r="I153" s="4">
        <v>10</v>
      </c>
      <c r="J153" s="7">
        <v>46062</v>
      </c>
      <c r="K153" s="7">
        <v>46070</v>
      </c>
      <c r="L153" s="4" t="s">
        <v>78</v>
      </c>
      <c r="M153" s="4" t="str" cm="1">
        <f t="array" ref="M153">_xlfn.IFS(G153&gt;=15, "Bulk Order", G153&gt;=5, "Medium Order", G153&lt;5, "Normal Order")</f>
        <v>Medium Order</v>
      </c>
    </row>
    <row r="154" spans="1:13" x14ac:dyDescent="0.3">
      <c r="A154" s="3"/>
      <c r="B154" s="9">
        <v>1153</v>
      </c>
      <c r="C154" s="9" t="s">
        <v>41</v>
      </c>
      <c r="D154" s="4" t="s">
        <v>27</v>
      </c>
      <c r="E154" s="4" t="s">
        <v>24</v>
      </c>
      <c r="F154" s="4" t="s">
        <v>10</v>
      </c>
      <c r="G154" s="4">
        <v>19</v>
      </c>
      <c r="H154" s="4">
        <v>10273</v>
      </c>
      <c r="I154" s="4">
        <v>12</v>
      </c>
      <c r="J154" s="7">
        <v>46069</v>
      </c>
      <c r="K154" s="7">
        <v>46072</v>
      </c>
      <c r="L154" s="4" t="s">
        <v>49</v>
      </c>
      <c r="M154" s="4" t="str" cm="1">
        <f t="array" ref="M154">_xlfn.IFS(G154&gt;=15, "Bulk Order", G154&gt;=5, "Medium Order", G154&lt;5, "Normal Order")</f>
        <v>Bulk Order</v>
      </c>
    </row>
    <row r="155" spans="1:13" x14ac:dyDescent="0.3">
      <c r="A155" s="3"/>
      <c r="B155" s="9">
        <v>1154</v>
      </c>
      <c r="C155" s="9" t="s">
        <v>32</v>
      </c>
      <c r="D155" s="4" t="s">
        <v>23</v>
      </c>
      <c r="E155" s="4" t="s">
        <v>24</v>
      </c>
      <c r="F155" s="4" t="s">
        <v>11</v>
      </c>
      <c r="G155" s="4">
        <v>15</v>
      </c>
      <c r="H155" s="4">
        <v>6101</v>
      </c>
      <c r="I155" s="4">
        <v>0</v>
      </c>
      <c r="J155" s="7">
        <v>46178</v>
      </c>
      <c r="K155" s="7">
        <v>46183</v>
      </c>
      <c r="L155" s="4" t="s">
        <v>81</v>
      </c>
      <c r="M155" s="4" t="str" cm="1">
        <f t="array" ref="M155">_xlfn.IFS(G155&gt;=15, "Bulk Order", G155&gt;=5, "Medium Order", G155&lt;5, "Normal Order")</f>
        <v>Bulk Order</v>
      </c>
    </row>
    <row r="156" spans="1:13" x14ac:dyDescent="0.3">
      <c r="A156" s="3"/>
      <c r="B156" s="9">
        <v>1155</v>
      </c>
      <c r="C156" s="9" t="s">
        <v>18</v>
      </c>
      <c r="D156" s="4" t="s">
        <v>31</v>
      </c>
      <c r="E156" s="4" t="s">
        <v>24</v>
      </c>
      <c r="F156" s="4" t="s">
        <v>8</v>
      </c>
      <c r="G156" s="4">
        <v>13</v>
      </c>
      <c r="H156" s="4">
        <v>4341</v>
      </c>
      <c r="I156" s="4">
        <v>15</v>
      </c>
      <c r="J156" s="7">
        <v>46093</v>
      </c>
      <c r="K156" s="7">
        <v>46096</v>
      </c>
      <c r="L156" s="4" t="s">
        <v>80</v>
      </c>
      <c r="M156" s="4" t="str" cm="1">
        <f t="array" ref="M156">_xlfn.IFS(G156&gt;=15, "Bulk Order", G156&gt;=5, "Medium Order", G156&lt;5, "Normal Order")</f>
        <v>Medium Order</v>
      </c>
    </row>
    <row r="157" spans="1:13" x14ac:dyDescent="0.3">
      <c r="A157" s="3"/>
      <c r="B157" s="9">
        <v>1156</v>
      </c>
      <c r="C157" s="9" t="s">
        <v>52</v>
      </c>
      <c r="D157" s="4" t="s">
        <v>38</v>
      </c>
      <c r="E157" s="4" t="s">
        <v>20</v>
      </c>
      <c r="F157" s="4" t="s">
        <v>36</v>
      </c>
      <c r="G157" s="4">
        <v>5</v>
      </c>
      <c r="H157" s="4">
        <v>466</v>
      </c>
      <c r="I157" s="4">
        <v>15</v>
      </c>
      <c r="J157" s="7">
        <v>46025</v>
      </c>
      <c r="K157" s="7">
        <v>46029</v>
      </c>
      <c r="L157" s="4" t="s">
        <v>78</v>
      </c>
      <c r="M157" s="4" t="str" cm="1">
        <f t="array" ref="M157">_xlfn.IFS(G157&gt;=15, "Bulk Order", G157&gt;=5, "Medium Order", G157&lt;5, "Normal Order")</f>
        <v>Medium Order</v>
      </c>
    </row>
    <row r="158" spans="1:13" x14ac:dyDescent="0.3">
      <c r="A158" s="3"/>
      <c r="B158" s="9">
        <v>1157</v>
      </c>
      <c r="C158" s="9" t="s">
        <v>50</v>
      </c>
      <c r="D158" s="4" t="s">
        <v>33</v>
      </c>
      <c r="E158" s="4" t="s">
        <v>20</v>
      </c>
      <c r="F158" s="4" t="s">
        <v>48</v>
      </c>
      <c r="G158" s="4">
        <v>3</v>
      </c>
      <c r="H158" s="4">
        <v>203</v>
      </c>
      <c r="I158" s="4">
        <v>15</v>
      </c>
      <c r="J158" s="7">
        <v>46076</v>
      </c>
      <c r="K158" s="7">
        <v>46080</v>
      </c>
      <c r="L158" s="4" t="s">
        <v>49</v>
      </c>
      <c r="M158" s="4" t="str" cm="1">
        <f t="array" ref="M158">_xlfn.IFS(G158&gt;=15, "Bulk Order", G158&gt;=5, "Medium Order", G158&lt;5, "Normal Order")</f>
        <v>Normal Order</v>
      </c>
    </row>
    <row r="159" spans="1:13" x14ac:dyDescent="0.3">
      <c r="A159" s="3"/>
      <c r="B159" s="9">
        <v>1158</v>
      </c>
      <c r="C159" s="9" t="s">
        <v>28</v>
      </c>
      <c r="D159" s="4" t="s">
        <v>38</v>
      </c>
      <c r="E159" s="4" t="s">
        <v>34</v>
      </c>
      <c r="F159" s="4" t="s">
        <v>40</v>
      </c>
      <c r="G159" s="4">
        <v>13</v>
      </c>
      <c r="H159" s="4">
        <v>12518</v>
      </c>
      <c r="I159" s="4">
        <v>2</v>
      </c>
      <c r="J159" s="7">
        <v>46079</v>
      </c>
      <c r="K159" s="7">
        <v>46082</v>
      </c>
      <c r="L159" s="4" t="s">
        <v>81</v>
      </c>
      <c r="M159" s="4" t="str" cm="1">
        <f t="array" ref="M159">_xlfn.IFS(G159&gt;=15, "Bulk Order", G159&gt;=5, "Medium Order", G159&lt;5, "Normal Order")</f>
        <v>Medium Order</v>
      </c>
    </row>
    <row r="160" spans="1:13" x14ac:dyDescent="0.3">
      <c r="A160" s="3"/>
      <c r="B160" s="9">
        <v>1159</v>
      </c>
      <c r="C160" s="9" t="s">
        <v>32</v>
      </c>
      <c r="D160" s="4" t="s">
        <v>42</v>
      </c>
      <c r="E160" s="4" t="s">
        <v>24</v>
      </c>
      <c r="F160" s="4" t="s">
        <v>8</v>
      </c>
      <c r="G160" s="4">
        <v>20</v>
      </c>
      <c r="H160" s="4">
        <v>14000</v>
      </c>
      <c r="I160" s="4">
        <v>15</v>
      </c>
      <c r="J160" s="7">
        <v>46184</v>
      </c>
      <c r="K160" s="7">
        <v>46187</v>
      </c>
      <c r="L160" s="4" t="s">
        <v>78</v>
      </c>
      <c r="M160" s="4" t="str" cm="1">
        <f t="array" ref="M160">_xlfn.IFS(G160&gt;=15, "Bulk Order", G160&gt;=5, "Medium Order", G160&lt;5, "Normal Order")</f>
        <v>Bulk Order</v>
      </c>
    </row>
    <row r="161" spans="1:13" x14ac:dyDescent="0.3">
      <c r="A161" s="3"/>
      <c r="B161" s="9">
        <v>1160</v>
      </c>
      <c r="C161" s="9" t="s">
        <v>56</v>
      </c>
      <c r="D161" s="4" t="s">
        <v>26</v>
      </c>
      <c r="E161" s="4" t="s">
        <v>34</v>
      </c>
      <c r="F161" s="4" t="s">
        <v>5</v>
      </c>
      <c r="G161" s="4">
        <v>7</v>
      </c>
      <c r="H161" s="4">
        <v>53986</v>
      </c>
      <c r="I161" s="4">
        <v>10</v>
      </c>
      <c r="J161" s="7">
        <v>46142</v>
      </c>
      <c r="K161" s="7">
        <v>46147</v>
      </c>
      <c r="L161" s="4" t="s">
        <v>81</v>
      </c>
      <c r="M161" s="4" t="str" cm="1">
        <f t="array" ref="M161">_xlfn.IFS(G161&gt;=15, "Bulk Order", G161&gt;=5, "Medium Order", G161&lt;5, "Normal Order")</f>
        <v>Medium Order</v>
      </c>
    </row>
    <row r="162" spans="1:13" x14ac:dyDescent="0.3">
      <c r="A162" s="3"/>
      <c r="B162" s="9">
        <v>1161</v>
      </c>
      <c r="C162" s="9" t="s">
        <v>29</v>
      </c>
      <c r="D162" s="4" t="s">
        <v>27</v>
      </c>
      <c r="E162" s="4" t="s">
        <v>34</v>
      </c>
      <c r="F162" s="4" t="s">
        <v>5</v>
      </c>
      <c r="G162" s="4">
        <v>4</v>
      </c>
      <c r="H162" s="4">
        <v>54659</v>
      </c>
      <c r="I162" s="4">
        <v>7</v>
      </c>
      <c r="J162" s="7">
        <v>46105</v>
      </c>
      <c r="K162" s="7">
        <v>46109</v>
      </c>
      <c r="L162" s="4" t="s">
        <v>79</v>
      </c>
      <c r="M162" s="4" t="str" cm="1">
        <f t="array" ref="M162">_xlfn.IFS(G162&gt;=15, "Bulk Order", G162&gt;=5, "Medium Order", G162&lt;5, "Normal Order")</f>
        <v>Normal Order</v>
      </c>
    </row>
    <row r="163" spans="1:13" x14ac:dyDescent="0.3">
      <c r="A163" s="3"/>
      <c r="B163" s="9">
        <v>1162</v>
      </c>
      <c r="C163" s="9" t="s">
        <v>54</v>
      </c>
      <c r="D163" s="4" t="s">
        <v>31</v>
      </c>
      <c r="E163" s="4" t="s">
        <v>34</v>
      </c>
      <c r="F163" s="4" t="s">
        <v>6</v>
      </c>
      <c r="G163" s="4">
        <v>2</v>
      </c>
      <c r="H163" s="4">
        <v>28176</v>
      </c>
      <c r="I163" s="4">
        <v>10</v>
      </c>
      <c r="J163" s="7">
        <v>46100</v>
      </c>
      <c r="K163" s="7">
        <v>46101</v>
      </c>
      <c r="L163" s="4" t="s">
        <v>79</v>
      </c>
      <c r="M163" s="4" t="str" cm="1">
        <f t="array" ref="M163">_xlfn.IFS(G163&gt;=15, "Bulk Order", G163&gt;=5, "Medium Order", G163&lt;5, "Normal Order")</f>
        <v>Normal Order</v>
      </c>
    </row>
    <row r="164" spans="1:13" x14ac:dyDescent="0.3">
      <c r="A164" s="3"/>
      <c r="B164" s="9">
        <v>1163</v>
      </c>
      <c r="C164" s="9" t="s">
        <v>49</v>
      </c>
      <c r="D164" s="4" t="s">
        <v>38</v>
      </c>
      <c r="E164" s="4" t="s">
        <v>34</v>
      </c>
      <c r="F164" s="4" t="s">
        <v>5</v>
      </c>
      <c r="G164" s="4">
        <v>9</v>
      </c>
      <c r="H164" s="4">
        <v>62440</v>
      </c>
      <c r="I164" s="4">
        <v>2</v>
      </c>
      <c r="J164" s="7">
        <v>46081</v>
      </c>
      <c r="K164" s="7">
        <v>46086</v>
      </c>
      <c r="L164" s="4" t="s">
        <v>49</v>
      </c>
      <c r="M164" s="4" t="str" cm="1">
        <f t="array" ref="M164">_xlfn.IFS(G164&gt;=15, "Bulk Order", G164&gt;=5, "Medium Order", G164&lt;5, "Normal Order")</f>
        <v>Medium Order</v>
      </c>
    </row>
    <row r="165" spans="1:13" x14ac:dyDescent="0.3">
      <c r="A165" s="3"/>
      <c r="B165" s="9">
        <v>1164</v>
      </c>
      <c r="C165" s="9" t="s">
        <v>39</v>
      </c>
      <c r="D165" s="4" t="s">
        <v>42</v>
      </c>
      <c r="E165" s="4" t="s">
        <v>34</v>
      </c>
      <c r="F165" s="4" t="s">
        <v>12</v>
      </c>
      <c r="G165" s="4">
        <v>7</v>
      </c>
      <c r="H165" s="4">
        <v>24615</v>
      </c>
      <c r="I165" s="4">
        <v>12</v>
      </c>
      <c r="J165" s="7">
        <v>46196</v>
      </c>
      <c r="K165" s="7">
        <v>46203</v>
      </c>
      <c r="L165" s="4" t="s">
        <v>81</v>
      </c>
      <c r="M165" s="4" t="str" cm="1">
        <f t="array" ref="M165">_xlfn.IFS(G165&gt;=15, "Bulk Order", G165&gt;=5, "Medium Order", G165&lt;5, "Normal Order")</f>
        <v>Medium Order</v>
      </c>
    </row>
    <row r="166" spans="1:13" x14ac:dyDescent="0.3">
      <c r="A166" s="3"/>
      <c r="B166" s="9">
        <v>1165</v>
      </c>
      <c r="C166" s="9" t="s">
        <v>46</v>
      </c>
      <c r="D166" s="4" t="s">
        <v>27</v>
      </c>
      <c r="E166" s="4" t="s">
        <v>20</v>
      </c>
      <c r="F166" s="4" t="s">
        <v>37</v>
      </c>
      <c r="G166" s="4">
        <v>1</v>
      </c>
      <c r="H166" s="4">
        <v>427</v>
      </c>
      <c r="I166" s="4">
        <v>0</v>
      </c>
      <c r="J166" s="7">
        <v>46042</v>
      </c>
      <c r="K166" s="7">
        <v>46050</v>
      </c>
      <c r="L166" s="4" t="s">
        <v>81</v>
      </c>
      <c r="M166" s="4" t="str" cm="1">
        <f t="array" ref="M166">_xlfn.IFS(G166&gt;=15, "Bulk Order", G166&gt;=5, "Medium Order", G166&lt;5, "Normal Order")</f>
        <v>Normal Order</v>
      </c>
    </row>
    <row r="167" spans="1:13" x14ac:dyDescent="0.3">
      <c r="A167" s="3"/>
      <c r="B167" s="9">
        <v>1166</v>
      </c>
      <c r="C167" s="9" t="s">
        <v>32</v>
      </c>
      <c r="D167" s="4" t="s">
        <v>31</v>
      </c>
      <c r="E167" s="4" t="s">
        <v>20</v>
      </c>
      <c r="F167" s="4" t="s">
        <v>37</v>
      </c>
      <c r="G167" s="4">
        <v>1</v>
      </c>
      <c r="H167" s="4">
        <v>396</v>
      </c>
      <c r="I167" s="4">
        <v>5</v>
      </c>
      <c r="J167" s="7">
        <v>46092</v>
      </c>
      <c r="K167" s="7">
        <v>46093</v>
      </c>
      <c r="L167" s="4" t="s">
        <v>79</v>
      </c>
      <c r="M167" s="4" t="str" cm="1">
        <f t="array" ref="M167">_xlfn.IFS(G167&gt;=15, "Bulk Order", G167&gt;=5, "Medium Order", G167&lt;5, "Normal Order")</f>
        <v>Normal Order</v>
      </c>
    </row>
    <row r="168" spans="1:13" x14ac:dyDescent="0.3">
      <c r="A168" s="3"/>
      <c r="B168" s="9">
        <v>1167</v>
      </c>
      <c r="C168" s="9" t="s">
        <v>46</v>
      </c>
      <c r="D168" s="4" t="s">
        <v>23</v>
      </c>
      <c r="E168" s="4" t="s">
        <v>20</v>
      </c>
      <c r="F168" s="4" t="s">
        <v>37</v>
      </c>
      <c r="G168" s="4">
        <v>20</v>
      </c>
      <c r="H168" s="4">
        <v>251</v>
      </c>
      <c r="I168" s="4">
        <v>5</v>
      </c>
      <c r="J168" s="7">
        <v>46160</v>
      </c>
      <c r="K168" s="7">
        <v>46170</v>
      </c>
      <c r="L168" s="4" t="s">
        <v>49</v>
      </c>
      <c r="M168" s="4" t="str" cm="1">
        <f t="array" ref="M168">_xlfn.IFS(G168&gt;=15, "Bulk Order", G168&gt;=5, "Medium Order", G168&lt;5, "Normal Order")</f>
        <v>Bulk Order</v>
      </c>
    </row>
    <row r="169" spans="1:13" x14ac:dyDescent="0.3">
      <c r="A169" s="3"/>
      <c r="B169" s="9">
        <v>1168</v>
      </c>
      <c r="C169" s="9" t="s">
        <v>52</v>
      </c>
      <c r="D169" s="4" t="s">
        <v>19</v>
      </c>
      <c r="E169" s="4" t="s">
        <v>20</v>
      </c>
      <c r="F169" s="4" t="s">
        <v>37</v>
      </c>
      <c r="G169" s="4">
        <v>18</v>
      </c>
      <c r="H169" s="4">
        <v>335</v>
      </c>
      <c r="I169" s="4">
        <v>15</v>
      </c>
      <c r="J169" s="7">
        <v>46130</v>
      </c>
      <c r="K169" s="7">
        <v>46140</v>
      </c>
      <c r="L169" s="4" t="s">
        <v>49</v>
      </c>
      <c r="M169" s="4" t="str" cm="1">
        <f t="array" ref="M169">_xlfn.IFS(G169&gt;=15, "Bulk Order", G169&gt;=5, "Medium Order", G169&lt;5, "Normal Order")</f>
        <v>Bulk Order</v>
      </c>
    </row>
    <row r="170" spans="1:13" x14ac:dyDescent="0.3">
      <c r="A170" s="3"/>
      <c r="B170" s="9">
        <v>1169</v>
      </c>
      <c r="C170" s="9" t="s">
        <v>45</v>
      </c>
      <c r="D170" s="4" t="s">
        <v>19</v>
      </c>
      <c r="E170" s="4" t="s">
        <v>24</v>
      </c>
      <c r="F170" s="4" t="s">
        <v>11</v>
      </c>
      <c r="G170" s="4">
        <v>12</v>
      </c>
      <c r="H170" s="4">
        <v>12104</v>
      </c>
      <c r="I170" s="4">
        <v>7</v>
      </c>
      <c r="J170" s="7">
        <v>46121</v>
      </c>
      <c r="K170" s="7">
        <v>46130</v>
      </c>
      <c r="L170" s="4" t="s">
        <v>80</v>
      </c>
      <c r="M170" s="4" t="str" cm="1">
        <f t="array" ref="M170">_xlfn.IFS(G170&gt;=15, "Bulk Order", G170&gt;=5, "Medium Order", G170&lt;5, "Normal Order")</f>
        <v>Medium Order</v>
      </c>
    </row>
    <row r="171" spans="1:13" x14ac:dyDescent="0.3">
      <c r="A171" s="3"/>
      <c r="B171" s="9">
        <v>1170</v>
      </c>
      <c r="C171" s="9" t="s">
        <v>47</v>
      </c>
      <c r="D171" s="4" t="s">
        <v>38</v>
      </c>
      <c r="E171" s="4" t="s">
        <v>20</v>
      </c>
      <c r="F171" s="4" t="s">
        <v>21</v>
      </c>
      <c r="G171" s="4">
        <v>6</v>
      </c>
      <c r="H171" s="4">
        <v>339</v>
      </c>
      <c r="I171" s="4">
        <v>12</v>
      </c>
      <c r="J171" s="7">
        <v>46105</v>
      </c>
      <c r="K171" s="7">
        <v>46106</v>
      </c>
      <c r="L171" s="4" t="s">
        <v>80</v>
      </c>
      <c r="M171" s="4" t="str" cm="1">
        <f t="array" ref="M171">_xlfn.IFS(G171&gt;=15, "Bulk Order", G171&gt;=5, "Medium Order", G171&lt;5, "Normal Order")</f>
        <v>Medium Order</v>
      </c>
    </row>
    <row r="172" spans="1:13" x14ac:dyDescent="0.3">
      <c r="A172" s="3"/>
      <c r="B172" s="9">
        <v>1171</v>
      </c>
      <c r="C172" s="9" t="s">
        <v>54</v>
      </c>
      <c r="D172" s="4" t="s">
        <v>27</v>
      </c>
      <c r="E172" s="4" t="s">
        <v>20</v>
      </c>
      <c r="F172" s="4" t="s">
        <v>48</v>
      </c>
      <c r="G172" s="4">
        <v>17</v>
      </c>
      <c r="H172" s="4">
        <v>147</v>
      </c>
      <c r="I172" s="4">
        <v>12</v>
      </c>
      <c r="J172" s="7">
        <v>46155</v>
      </c>
      <c r="K172" s="7">
        <v>46160</v>
      </c>
      <c r="L172" s="4" t="s">
        <v>79</v>
      </c>
      <c r="M172" s="4" t="str" cm="1">
        <f t="array" ref="M172">_xlfn.IFS(G172&gt;=15, "Bulk Order", G172&gt;=5, "Medium Order", G172&lt;5, "Normal Order")</f>
        <v>Bulk Order</v>
      </c>
    </row>
    <row r="173" spans="1:13" x14ac:dyDescent="0.3">
      <c r="A173" s="3"/>
      <c r="B173" s="9">
        <v>1172</v>
      </c>
      <c r="C173" s="9" t="s">
        <v>22</v>
      </c>
      <c r="D173" s="4" t="s">
        <v>19</v>
      </c>
      <c r="E173" s="4" t="s">
        <v>34</v>
      </c>
      <c r="F173" s="4" t="s">
        <v>6</v>
      </c>
      <c r="G173" s="4">
        <v>13</v>
      </c>
      <c r="H173" s="4">
        <v>43163</v>
      </c>
      <c r="I173" s="4">
        <v>12</v>
      </c>
      <c r="J173" s="7">
        <v>46120</v>
      </c>
      <c r="K173" s="7">
        <v>46129</v>
      </c>
      <c r="L173" s="4" t="s">
        <v>80</v>
      </c>
      <c r="M173" s="4" t="str" cm="1">
        <f t="array" ref="M173">_xlfn.IFS(G173&gt;=15, "Bulk Order", G173&gt;=5, "Medium Order", G173&lt;5, "Normal Order")</f>
        <v>Medium Order</v>
      </c>
    </row>
    <row r="174" spans="1:13" x14ac:dyDescent="0.3">
      <c r="A174" s="3"/>
      <c r="B174" s="9">
        <v>1173</v>
      </c>
      <c r="C174" s="9" t="s">
        <v>39</v>
      </c>
      <c r="D174" s="4" t="s">
        <v>23</v>
      </c>
      <c r="E174" s="4" t="s">
        <v>20</v>
      </c>
      <c r="F174" s="4" t="s">
        <v>37</v>
      </c>
      <c r="G174" s="4">
        <v>15</v>
      </c>
      <c r="H174" s="4">
        <v>214</v>
      </c>
      <c r="I174" s="4">
        <v>10</v>
      </c>
      <c r="J174" s="7">
        <v>46050</v>
      </c>
      <c r="K174" s="7">
        <v>46060</v>
      </c>
      <c r="L174" s="4" t="s">
        <v>81</v>
      </c>
      <c r="M174" s="4" t="str" cm="1">
        <f t="array" ref="M174">_xlfn.IFS(G174&gt;=15, "Bulk Order", G174&gt;=5, "Medium Order", G174&lt;5, "Normal Order")</f>
        <v>Bulk Order</v>
      </c>
    </row>
    <row r="175" spans="1:13" x14ac:dyDescent="0.3">
      <c r="A175" s="3"/>
      <c r="B175" s="9">
        <v>1174</v>
      </c>
      <c r="C175" s="9" t="s">
        <v>55</v>
      </c>
      <c r="D175" s="4" t="s">
        <v>38</v>
      </c>
      <c r="E175" s="4" t="s">
        <v>20</v>
      </c>
      <c r="F175" s="4" t="s">
        <v>21</v>
      </c>
      <c r="G175" s="4">
        <v>13</v>
      </c>
      <c r="H175" s="4">
        <v>155</v>
      </c>
      <c r="I175" s="4">
        <v>2</v>
      </c>
      <c r="J175" s="7">
        <v>46066</v>
      </c>
      <c r="K175" s="7">
        <v>46069</v>
      </c>
      <c r="L175" s="4" t="s">
        <v>80</v>
      </c>
      <c r="M175" s="4" t="str" cm="1">
        <f t="array" ref="M175">_xlfn.IFS(G175&gt;=15, "Bulk Order", G175&gt;=5, "Medium Order", G175&lt;5, "Normal Order")</f>
        <v>Medium Order</v>
      </c>
    </row>
    <row r="176" spans="1:13" x14ac:dyDescent="0.3">
      <c r="A176" s="3"/>
      <c r="B176" s="9">
        <v>1175</v>
      </c>
      <c r="C176" s="9" t="s">
        <v>28</v>
      </c>
      <c r="D176" s="4" t="s">
        <v>23</v>
      </c>
      <c r="E176" s="4" t="s">
        <v>34</v>
      </c>
      <c r="F176" s="4" t="s">
        <v>40</v>
      </c>
      <c r="G176" s="4">
        <v>10</v>
      </c>
      <c r="H176" s="4">
        <v>20339</v>
      </c>
      <c r="I176" s="4">
        <v>2</v>
      </c>
      <c r="J176" s="7">
        <v>46088</v>
      </c>
      <c r="K176" s="7">
        <v>46094</v>
      </c>
      <c r="L176" s="4" t="s">
        <v>79</v>
      </c>
      <c r="M176" s="4" t="str" cm="1">
        <f t="array" ref="M176">_xlfn.IFS(G176&gt;=15, "Bulk Order", G176&gt;=5, "Medium Order", G176&lt;5, "Normal Order")</f>
        <v>Medium Order</v>
      </c>
    </row>
    <row r="177" spans="1:13" x14ac:dyDescent="0.3">
      <c r="A177" s="3"/>
      <c r="B177" s="9">
        <v>1176</v>
      </c>
      <c r="C177" s="9" t="s">
        <v>55</v>
      </c>
      <c r="D177" s="4" t="s">
        <v>38</v>
      </c>
      <c r="E177" s="4" t="s">
        <v>34</v>
      </c>
      <c r="F177" s="4" t="s">
        <v>40</v>
      </c>
      <c r="G177" s="4">
        <v>17</v>
      </c>
      <c r="H177" s="4">
        <v>46937</v>
      </c>
      <c r="I177" s="4">
        <v>12</v>
      </c>
      <c r="J177" s="7">
        <v>46048</v>
      </c>
      <c r="K177" s="7">
        <v>46056</v>
      </c>
      <c r="L177" s="4" t="s">
        <v>49</v>
      </c>
      <c r="M177" s="4" t="str" cm="1">
        <f t="array" ref="M177">_xlfn.IFS(G177&gt;=15, "Bulk Order", G177&gt;=5, "Medium Order", G177&lt;5, "Normal Order")</f>
        <v>Bulk Order</v>
      </c>
    </row>
    <row r="178" spans="1:13" x14ac:dyDescent="0.3">
      <c r="A178" s="3"/>
      <c r="B178" s="9">
        <v>1177</v>
      </c>
      <c r="C178" s="9" t="s">
        <v>49</v>
      </c>
      <c r="D178" s="4" t="s">
        <v>26</v>
      </c>
      <c r="E178" s="4" t="s">
        <v>24</v>
      </c>
      <c r="F178" s="4" t="s">
        <v>7</v>
      </c>
      <c r="G178" s="4">
        <v>14</v>
      </c>
      <c r="H178" s="4">
        <v>7501</v>
      </c>
      <c r="I178" s="4">
        <v>7</v>
      </c>
      <c r="J178" s="7">
        <v>46169</v>
      </c>
      <c r="K178" s="7">
        <v>46179</v>
      </c>
      <c r="L178" s="4" t="s">
        <v>79</v>
      </c>
      <c r="M178" s="4" t="str" cm="1">
        <f t="array" ref="M178">_xlfn.IFS(G178&gt;=15, "Bulk Order", G178&gt;=5, "Medium Order", G178&lt;5, "Normal Order")</f>
        <v>Medium Order</v>
      </c>
    </row>
    <row r="179" spans="1:13" x14ac:dyDescent="0.3">
      <c r="A179" s="3"/>
      <c r="B179" s="9">
        <v>1178</v>
      </c>
      <c r="C179" s="9" t="s">
        <v>54</v>
      </c>
      <c r="D179" s="4" t="s">
        <v>23</v>
      </c>
      <c r="E179" s="4" t="s">
        <v>20</v>
      </c>
      <c r="F179" s="4" t="s">
        <v>48</v>
      </c>
      <c r="G179" s="4">
        <v>5</v>
      </c>
      <c r="H179" s="4">
        <v>50</v>
      </c>
      <c r="I179" s="4">
        <v>0</v>
      </c>
      <c r="J179" s="7">
        <v>46111</v>
      </c>
      <c r="K179" s="7">
        <v>46117</v>
      </c>
      <c r="L179" s="4" t="s">
        <v>79</v>
      </c>
      <c r="M179" s="4" t="str" cm="1">
        <f t="array" ref="M179">_xlfn.IFS(G179&gt;=15, "Bulk Order", G179&gt;=5, "Medium Order", G179&lt;5, "Normal Order")</f>
        <v>Medium Order</v>
      </c>
    </row>
    <row r="180" spans="1:13" x14ac:dyDescent="0.3">
      <c r="A180" s="3"/>
      <c r="B180" s="9">
        <v>1179</v>
      </c>
      <c r="C180" s="9" t="s">
        <v>45</v>
      </c>
      <c r="D180" s="4" t="s">
        <v>23</v>
      </c>
      <c r="E180" s="4" t="s">
        <v>34</v>
      </c>
      <c r="F180" s="4" t="s">
        <v>5</v>
      </c>
      <c r="G180" s="4">
        <v>6</v>
      </c>
      <c r="H180" s="4">
        <v>10400</v>
      </c>
      <c r="I180" s="4">
        <v>2</v>
      </c>
      <c r="J180" s="7">
        <v>46155</v>
      </c>
      <c r="K180" s="7">
        <v>46158</v>
      </c>
      <c r="L180" s="4" t="s">
        <v>78</v>
      </c>
      <c r="M180" s="4" t="str" cm="1">
        <f t="array" ref="M180">_xlfn.IFS(G180&gt;=15, "Bulk Order", G180&gt;=5, "Medium Order", G180&lt;5, "Normal Order")</f>
        <v>Medium Order</v>
      </c>
    </row>
    <row r="181" spans="1:13" x14ac:dyDescent="0.3">
      <c r="A181" s="3"/>
      <c r="B181" s="9">
        <v>1180</v>
      </c>
      <c r="C181" s="9" t="s">
        <v>39</v>
      </c>
      <c r="D181" s="4" t="s">
        <v>31</v>
      </c>
      <c r="E181" s="4" t="s">
        <v>24</v>
      </c>
      <c r="F181" s="4" t="s">
        <v>8</v>
      </c>
      <c r="G181" s="4">
        <v>2</v>
      </c>
      <c r="H181" s="4">
        <v>2076</v>
      </c>
      <c r="I181" s="4">
        <v>2</v>
      </c>
      <c r="J181" s="7">
        <v>46111</v>
      </c>
      <c r="K181" s="7">
        <v>46121</v>
      </c>
      <c r="L181" s="4" t="s">
        <v>49</v>
      </c>
      <c r="M181" s="4" t="str" cm="1">
        <f t="array" ref="M181">_xlfn.IFS(G181&gt;=15, "Bulk Order", G181&gt;=5, "Medium Order", G181&lt;5, "Normal Order")</f>
        <v>Normal Order</v>
      </c>
    </row>
    <row r="182" spans="1:13" x14ac:dyDescent="0.3">
      <c r="A182" s="3"/>
      <c r="B182" s="9">
        <v>1181</v>
      </c>
      <c r="C182" s="9" t="s">
        <v>55</v>
      </c>
      <c r="D182" s="4" t="s">
        <v>33</v>
      </c>
      <c r="E182" s="4" t="s">
        <v>20</v>
      </c>
      <c r="F182" s="4" t="s">
        <v>36</v>
      </c>
      <c r="G182" s="4">
        <v>4</v>
      </c>
      <c r="H182" s="4">
        <v>357</v>
      </c>
      <c r="I182" s="4">
        <v>2</v>
      </c>
      <c r="J182" s="7">
        <v>46033</v>
      </c>
      <c r="K182" s="7">
        <v>46035</v>
      </c>
      <c r="L182" s="4" t="s">
        <v>78</v>
      </c>
      <c r="M182" s="4" t="str" cm="1">
        <f t="array" ref="M182">_xlfn.IFS(G182&gt;=15, "Bulk Order", G182&gt;=5, "Medium Order", G182&lt;5, "Normal Order")</f>
        <v>Normal Order</v>
      </c>
    </row>
    <row r="183" spans="1:13" x14ac:dyDescent="0.3">
      <c r="A183" s="3"/>
      <c r="B183" s="9">
        <v>1182</v>
      </c>
      <c r="C183" s="9" t="s">
        <v>41</v>
      </c>
      <c r="D183" s="4" t="s">
        <v>19</v>
      </c>
      <c r="E183" s="4" t="s">
        <v>34</v>
      </c>
      <c r="F183" s="4" t="s">
        <v>5</v>
      </c>
      <c r="G183" s="4">
        <v>8</v>
      </c>
      <c r="H183" s="4">
        <v>66022</v>
      </c>
      <c r="I183" s="4">
        <v>12</v>
      </c>
      <c r="J183" s="7">
        <v>46108</v>
      </c>
      <c r="K183" s="7">
        <v>46114</v>
      </c>
      <c r="L183" s="4" t="s">
        <v>80</v>
      </c>
      <c r="M183" s="4" t="str" cm="1">
        <f t="array" ref="M183">_xlfn.IFS(G183&gt;=15, "Bulk Order", G183&gt;=5, "Medium Order", G183&lt;5, "Normal Order")</f>
        <v>Medium Order</v>
      </c>
    </row>
    <row r="184" spans="1:13" x14ac:dyDescent="0.3">
      <c r="A184" s="3"/>
      <c r="B184" s="9">
        <v>1183</v>
      </c>
      <c r="C184" s="9" t="s">
        <v>50</v>
      </c>
      <c r="D184" s="4" t="s">
        <v>42</v>
      </c>
      <c r="E184" s="4" t="s">
        <v>20</v>
      </c>
      <c r="F184" s="4" t="s">
        <v>21</v>
      </c>
      <c r="G184" s="4">
        <v>2</v>
      </c>
      <c r="H184" s="4">
        <v>309</v>
      </c>
      <c r="I184" s="4">
        <v>2</v>
      </c>
      <c r="J184" s="7">
        <v>46109</v>
      </c>
      <c r="K184" s="7">
        <v>46111</v>
      </c>
      <c r="L184" s="4" t="s">
        <v>79</v>
      </c>
      <c r="M184" s="4" t="str" cm="1">
        <f t="array" ref="M184">_xlfn.IFS(G184&gt;=15, "Bulk Order", G184&gt;=5, "Medium Order", G184&lt;5, "Normal Order")</f>
        <v>Normal Order</v>
      </c>
    </row>
    <row r="185" spans="1:13" x14ac:dyDescent="0.3">
      <c r="A185" s="3"/>
      <c r="B185" s="9">
        <v>1184</v>
      </c>
      <c r="C185" s="9" t="s">
        <v>39</v>
      </c>
      <c r="D185" s="4" t="s">
        <v>31</v>
      </c>
      <c r="E185" s="4" t="s">
        <v>34</v>
      </c>
      <c r="F185" s="4" t="s">
        <v>5</v>
      </c>
      <c r="G185" s="4">
        <v>12</v>
      </c>
      <c r="H185" s="4">
        <v>50517</v>
      </c>
      <c r="I185" s="4">
        <v>15</v>
      </c>
      <c r="J185" s="7">
        <v>46145</v>
      </c>
      <c r="K185" s="7">
        <v>46153</v>
      </c>
      <c r="L185" s="4" t="s">
        <v>49</v>
      </c>
      <c r="M185" s="4" t="str" cm="1">
        <f t="array" ref="M185">_xlfn.IFS(G185&gt;=15, "Bulk Order", G185&gt;=5, "Medium Order", G185&lt;5, "Normal Order")</f>
        <v>Medium Order</v>
      </c>
    </row>
    <row r="186" spans="1:13" x14ac:dyDescent="0.3">
      <c r="A186" s="3"/>
      <c r="B186" s="9">
        <v>1185</v>
      </c>
      <c r="C186" s="9" t="s">
        <v>55</v>
      </c>
      <c r="D186" s="4" t="s">
        <v>26</v>
      </c>
      <c r="E186" s="4" t="s">
        <v>34</v>
      </c>
      <c r="F186" s="4" t="s">
        <v>9</v>
      </c>
      <c r="G186" s="4">
        <v>16</v>
      </c>
      <c r="H186" s="4">
        <v>15536</v>
      </c>
      <c r="I186" s="4">
        <v>2</v>
      </c>
      <c r="J186" s="7">
        <v>46153</v>
      </c>
      <c r="K186" s="7">
        <v>46156</v>
      </c>
      <c r="L186" s="4" t="s">
        <v>78</v>
      </c>
      <c r="M186" s="4" t="str" cm="1">
        <f t="array" ref="M186">_xlfn.IFS(G186&gt;=15, "Bulk Order", G186&gt;=5, "Medium Order", G186&lt;5, "Normal Order")</f>
        <v>Bulk Order</v>
      </c>
    </row>
    <row r="187" spans="1:13" x14ac:dyDescent="0.3">
      <c r="A187" s="3"/>
      <c r="B187" s="9">
        <v>1186</v>
      </c>
      <c r="C187" s="9" t="s">
        <v>22</v>
      </c>
      <c r="D187" s="4" t="s">
        <v>27</v>
      </c>
      <c r="E187" s="4" t="s">
        <v>24</v>
      </c>
      <c r="F187" s="4" t="s">
        <v>43</v>
      </c>
      <c r="G187" s="4">
        <v>10</v>
      </c>
      <c r="H187" s="4">
        <v>14951</v>
      </c>
      <c r="I187" s="4">
        <v>2</v>
      </c>
      <c r="J187" s="7">
        <v>46188</v>
      </c>
      <c r="K187" s="7">
        <v>46196</v>
      </c>
      <c r="L187" s="4" t="s">
        <v>80</v>
      </c>
      <c r="M187" s="4" t="str" cm="1">
        <f t="array" ref="M187">_xlfn.IFS(G187&gt;=15, "Bulk Order", G187&gt;=5, "Medium Order", G187&lt;5, "Normal Order")</f>
        <v>Medium Order</v>
      </c>
    </row>
    <row r="188" spans="1:13" x14ac:dyDescent="0.3">
      <c r="A188" s="3"/>
      <c r="B188" s="9">
        <v>1187</v>
      </c>
      <c r="C188" s="9" t="s">
        <v>52</v>
      </c>
      <c r="D188" s="4" t="s">
        <v>26</v>
      </c>
      <c r="E188" s="4" t="s">
        <v>34</v>
      </c>
      <c r="F188" s="4" t="s">
        <v>6</v>
      </c>
      <c r="G188" s="4">
        <v>18</v>
      </c>
      <c r="H188" s="4">
        <v>68527</v>
      </c>
      <c r="I188" s="4">
        <v>12</v>
      </c>
      <c r="J188" s="7">
        <v>46178</v>
      </c>
      <c r="K188" s="7">
        <v>46184</v>
      </c>
      <c r="L188" s="4" t="s">
        <v>81</v>
      </c>
      <c r="M188" s="4" t="str" cm="1">
        <f t="array" ref="M188">_xlfn.IFS(G188&gt;=15, "Bulk Order", G188&gt;=5, "Medium Order", G188&lt;5, "Normal Order")</f>
        <v>Bulk Order</v>
      </c>
    </row>
    <row r="189" spans="1:13" x14ac:dyDescent="0.3">
      <c r="A189" s="3"/>
      <c r="B189" s="9">
        <v>1188</v>
      </c>
      <c r="C189" s="9" t="s">
        <v>49</v>
      </c>
      <c r="D189" s="4" t="s">
        <v>26</v>
      </c>
      <c r="E189" s="4" t="s">
        <v>24</v>
      </c>
      <c r="F189" s="4" t="s">
        <v>11</v>
      </c>
      <c r="G189" s="4">
        <v>6</v>
      </c>
      <c r="H189" s="4">
        <v>10368</v>
      </c>
      <c r="I189" s="4">
        <v>7</v>
      </c>
      <c r="J189" s="7">
        <v>46137</v>
      </c>
      <c r="K189" s="7">
        <v>46142</v>
      </c>
      <c r="L189" s="4" t="s">
        <v>78</v>
      </c>
      <c r="M189" s="4" t="str" cm="1">
        <f t="array" ref="M189">_xlfn.IFS(G189&gt;=15, "Bulk Order", G189&gt;=5, "Medium Order", G189&lt;5, "Normal Order")</f>
        <v>Medium Order</v>
      </c>
    </row>
    <row r="190" spans="1:13" x14ac:dyDescent="0.3">
      <c r="A190" s="3"/>
      <c r="B190" s="9">
        <v>1189</v>
      </c>
      <c r="C190" s="9" t="s">
        <v>47</v>
      </c>
      <c r="D190" s="4" t="s">
        <v>31</v>
      </c>
      <c r="E190" s="4" t="s">
        <v>24</v>
      </c>
      <c r="F190" s="4" t="s">
        <v>11</v>
      </c>
      <c r="G190" s="4">
        <v>12</v>
      </c>
      <c r="H190" s="4">
        <v>8327</v>
      </c>
      <c r="I190" s="4">
        <v>10</v>
      </c>
      <c r="J190" s="7">
        <v>46184</v>
      </c>
      <c r="K190" s="7">
        <v>46185</v>
      </c>
      <c r="L190" s="4" t="s">
        <v>49</v>
      </c>
      <c r="M190" s="4" t="str" cm="1">
        <f t="array" ref="M190">_xlfn.IFS(G190&gt;=15, "Bulk Order", G190&gt;=5, "Medium Order", G190&lt;5, "Normal Order")</f>
        <v>Medium Order</v>
      </c>
    </row>
    <row r="191" spans="1:13" x14ac:dyDescent="0.3">
      <c r="A191" s="3"/>
      <c r="B191" s="9">
        <v>1190</v>
      </c>
      <c r="C191" s="9" t="s">
        <v>54</v>
      </c>
      <c r="D191" s="4" t="s">
        <v>23</v>
      </c>
      <c r="E191" s="4" t="s">
        <v>24</v>
      </c>
      <c r="F191" s="4" t="s">
        <v>8</v>
      </c>
      <c r="G191" s="4">
        <v>4</v>
      </c>
      <c r="H191" s="4">
        <v>10154</v>
      </c>
      <c r="I191" s="4">
        <v>7</v>
      </c>
      <c r="J191" s="7">
        <v>46052</v>
      </c>
      <c r="K191" s="7">
        <v>46062</v>
      </c>
      <c r="L191" s="4" t="s">
        <v>79</v>
      </c>
      <c r="M191" s="4" t="str" cm="1">
        <f t="array" ref="M191">_xlfn.IFS(G191&gt;=15, "Bulk Order", G191&gt;=5, "Medium Order", G191&lt;5, "Normal Order")</f>
        <v>Normal Order</v>
      </c>
    </row>
    <row r="192" spans="1:13" x14ac:dyDescent="0.3">
      <c r="A192" s="3"/>
      <c r="B192" s="9">
        <v>1191</v>
      </c>
      <c r="C192" s="9" t="s">
        <v>50</v>
      </c>
      <c r="D192" s="4" t="s">
        <v>33</v>
      </c>
      <c r="E192" s="4" t="s">
        <v>24</v>
      </c>
      <c r="F192" s="4" t="s">
        <v>11</v>
      </c>
      <c r="G192" s="4">
        <v>9</v>
      </c>
      <c r="H192" s="4">
        <v>8631</v>
      </c>
      <c r="I192" s="4">
        <v>10</v>
      </c>
      <c r="J192" s="7">
        <v>46149</v>
      </c>
      <c r="K192" s="7">
        <v>46156</v>
      </c>
      <c r="L192" s="4" t="s">
        <v>79</v>
      </c>
      <c r="M192" s="4" t="str" cm="1">
        <f t="array" ref="M192">_xlfn.IFS(G192&gt;=15, "Bulk Order", G192&gt;=5, "Medium Order", G192&lt;5, "Normal Order")</f>
        <v>Medium Order</v>
      </c>
    </row>
    <row r="193" spans="1:13" x14ac:dyDescent="0.3">
      <c r="A193" s="3"/>
      <c r="B193" s="9">
        <v>1192</v>
      </c>
      <c r="C193" s="9" t="s">
        <v>25</v>
      </c>
      <c r="D193" s="4" t="s">
        <v>33</v>
      </c>
      <c r="E193" s="4" t="s">
        <v>20</v>
      </c>
      <c r="F193" s="4" t="s">
        <v>51</v>
      </c>
      <c r="G193" s="4">
        <v>18</v>
      </c>
      <c r="H193" s="4">
        <v>49</v>
      </c>
      <c r="I193" s="4">
        <v>12</v>
      </c>
      <c r="J193" s="7">
        <v>46089</v>
      </c>
      <c r="K193" s="7">
        <v>46095</v>
      </c>
      <c r="L193" s="4" t="s">
        <v>80</v>
      </c>
      <c r="M193" s="4" t="str" cm="1">
        <f t="array" ref="M193">_xlfn.IFS(G193&gt;=15, "Bulk Order", G193&gt;=5, "Medium Order", G193&lt;5, "Normal Order")</f>
        <v>Bulk Order</v>
      </c>
    </row>
    <row r="194" spans="1:13" x14ac:dyDescent="0.3">
      <c r="A194" s="3"/>
      <c r="B194" s="9">
        <v>1193</v>
      </c>
      <c r="C194" s="9" t="s">
        <v>54</v>
      </c>
      <c r="D194" s="4" t="s">
        <v>19</v>
      </c>
      <c r="E194" s="4" t="s">
        <v>24</v>
      </c>
      <c r="F194" s="4" t="s">
        <v>10</v>
      </c>
      <c r="G194" s="4">
        <v>19</v>
      </c>
      <c r="H194" s="4">
        <v>2699</v>
      </c>
      <c r="I194" s="4">
        <v>7</v>
      </c>
      <c r="J194" s="7">
        <v>46110</v>
      </c>
      <c r="K194" s="7">
        <v>46112</v>
      </c>
      <c r="L194" s="4" t="s">
        <v>49</v>
      </c>
      <c r="M194" s="4" t="str" cm="1">
        <f t="array" ref="M194">_xlfn.IFS(G194&gt;=15, "Bulk Order", G194&gt;=5, "Medium Order", G194&lt;5, "Normal Order")</f>
        <v>Bulk Order</v>
      </c>
    </row>
    <row r="195" spans="1:13" x14ac:dyDescent="0.3">
      <c r="A195" s="3"/>
      <c r="B195" s="9">
        <v>1194</v>
      </c>
      <c r="C195" s="9" t="s">
        <v>54</v>
      </c>
      <c r="D195" s="4" t="s">
        <v>42</v>
      </c>
      <c r="E195" s="4" t="s">
        <v>24</v>
      </c>
      <c r="F195" s="4" t="s">
        <v>8</v>
      </c>
      <c r="G195" s="4">
        <v>13</v>
      </c>
      <c r="H195" s="4">
        <v>12856</v>
      </c>
      <c r="I195" s="4">
        <v>15</v>
      </c>
      <c r="J195" s="7">
        <v>46129</v>
      </c>
      <c r="K195" s="7">
        <v>46133</v>
      </c>
      <c r="L195" s="4" t="s">
        <v>81</v>
      </c>
      <c r="M195" s="4" t="str" cm="1">
        <f t="array" ref="M195">_xlfn.IFS(G195&gt;=15, "Bulk Order", G195&gt;=5, "Medium Order", G195&lt;5, "Normal Order")</f>
        <v>Medium Order</v>
      </c>
    </row>
    <row r="196" spans="1:13" x14ac:dyDescent="0.3">
      <c r="A196" s="3"/>
      <c r="B196" s="9">
        <v>1195</v>
      </c>
      <c r="C196" s="9" t="s">
        <v>56</v>
      </c>
      <c r="D196" s="4" t="s">
        <v>23</v>
      </c>
      <c r="E196" s="4" t="s">
        <v>20</v>
      </c>
      <c r="F196" s="4" t="s">
        <v>48</v>
      </c>
      <c r="G196" s="4">
        <v>19</v>
      </c>
      <c r="H196" s="4">
        <v>313</v>
      </c>
      <c r="I196" s="4">
        <v>2</v>
      </c>
      <c r="J196" s="7">
        <v>46198</v>
      </c>
      <c r="K196" s="7">
        <v>46206</v>
      </c>
      <c r="L196" s="4" t="s">
        <v>81</v>
      </c>
      <c r="M196" s="4" t="str" cm="1">
        <f t="array" ref="M196">_xlfn.IFS(G196&gt;=15, "Bulk Order", G196&gt;=5, "Medium Order", G196&lt;5, "Normal Order")</f>
        <v>Bulk Order</v>
      </c>
    </row>
    <row r="197" spans="1:13" x14ac:dyDescent="0.3">
      <c r="A197" s="3"/>
      <c r="B197" s="9">
        <v>1196</v>
      </c>
      <c r="C197" s="9" t="s">
        <v>46</v>
      </c>
      <c r="D197" s="4" t="s">
        <v>26</v>
      </c>
      <c r="E197" s="4" t="s">
        <v>34</v>
      </c>
      <c r="F197" s="4" t="s">
        <v>35</v>
      </c>
      <c r="G197" s="4">
        <v>20</v>
      </c>
      <c r="H197" s="4">
        <v>3172</v>
      </c>
      <c r="I197" s="4">
        <v>5</v>
      </c>
      <c r="J197" s="7">
        <v>46155</v>
      </c>
      <c r="K197" s="7">
        <v>46159</v>
      </c>
      <c r="L197" s="4" t="s">
        <v>79</v>
      </c>
      <c r="M197" s="4" t="str" cm="1">
        <f t="array" ref="M197">_xlfn.IFS(G197&gt;=15, "Bulk Order", G197&gt;=5, "Medium Order", G197&lt;5, "Normal Order")</f>
        <v>Bulk Order</v>
      </c>
    </row>
    <row r="198" spans="1:13" x14ac:dyDescent="0.3">
      <c r="A198" s="3"/>
      <c r="B198" s="9">
        <v>1197</v>
      </c>
      <c r="C198" s="9" t="s">
        <v>50</v>
      </c>
      <c r="D198" s="4" t="s">
        <v>31</v>
      </c>
      <c r="E198" s="4" t="s">
        <v>34</v>
      </c>
      <c r="F198" s="4" t="s">
        <v>35</v>
      </c>
      <c r="G198" s="4">
        <v>5</v>
      </c>
      <c r="H198" s="4">
        <v>45352</v>
      </c>
      <c r="I198" s="4">
        <v>12</v>
      </c>
      <c r="J198" s="7">
        <v>46045</v>
      </c>
      <c r="K198" s="7">
        <v>46048</v>
      </c>
      <c r="L198" s="4" t="s">
        <v>78</v>
      </c>
      <c r="M198" s="4" t="str" cm="1">
        <f t="array" ref="M198">_xlfn.IFS(G198&gt;=15, "Bulk Order", G198&gt;=5, "Medium Order", G198&lt;5, "Normal Order")</f>
        <v>Medium Order</v>
      </c>
    </row>
    <row r="199" spans="1:13" x14ac:dyDescent="0.3">
      <c r="A199" s="3"/>
      <c r="B199" s="9">
        <v>1198</v>
      </c>
      <c r="C199" s="9" t="s">
        <v>55</v>
      </c>
      <c r="D199" s="4" t="s">
        <v>19</v>
      </c>
      <c r="E199" s="4" t="s">
        <v>20</v>
      </c>
      <c r="F199" s="4" t="s">
        <v>21</v>
      </c>
      <c r="G199" s="4">
        <v>12</v>
      </c>
      <c r="H199" s="4">
        <v>491</v>
      </c>
      <c r="I199" s="4">
        <v>2</v>
      </c>
      <c r="J199" s="7">
        <v>46106</v>
      </c>
      <c r="K199" s="7">
        <v>46109</v>
      </c>
      <c r="L199" s="4" t="s">
        <v>81</v>
      </c>
      <c r="M199" s="4" t="str" cm="1">
        <f t="array" ref="M199">_xlfn.IFS(G199&gt;=15, "Bulk Order", G199&gt;=5, "Medium Order", G199&lt;5, "Normal Order")</f>
        <v>Medium Order</v>
      </c>
    </row>
    <row r="200" spans="1:13" x14ac:dyDescent="0.3">
      <c r="A200" s="3"/>
      <c r="B200" s="9">
        <v>1199</v>
      </c>
      <c r="C200" s="9" t="s">
        <v>18</v>
      </c>
      <c r="D200" s="4" t="s">
        <v>27</v>
      </c>
      <c r="E200" s="4" t="s">
        <v>34</v>
      </c>
      <c r="F200" s="4" t="s">
        <v>6</v>
      </c>
      <c r="G200" s="4">
        <v>2</v>
      </c>
      <c r="H200" s="4">
        <v>4375</v>
      </c>
      <c r="I200" s="4">
        <v>7</v>
      </c>
      <c r="J200" s="7">
        <v>46178</v>
      </c>
      <c r="K200" s="7">
        <v>46180</v>
      </c>
      <c r="L200" s="4" t="s">
        <v>80</v>
      </c>
      <c r="M200" s="4" t="str" cm="1">
        <f t="array" ref="M200">_xlfn.IFS(G200&gt;=15, "Bulk Order", G200&gt;=5, "Medium Order", G200&lt;5, "Normal Order")</f>
        <v>Normal Order</v>
      </c>
    </row>
    <row r="201" spans="1:13" x14ac:dyDescent="0.3">
      <c r="A201" s="3"/>
      <c r="B201" s="9">
        <v>1200</v>
      </c>
      <c r="C201" s="9" t="s">
        <v>49</v>
      </c>
      <c r="D201" s="4" t="s">
        <v>31</v>
      </c>
      <c r="E201" s="4" t="s">
        <v>34</v>
      </c>
      <c r="F201" s="4" t="s">
        <v>6</v>
      </c>
      <c r="G201" s="4">
        <v>13</v>
      </c>
      <c r="H201" s="4">
        <v>69422</v>
      </c>
      <c r="I201" s="4">
        <v>0</v>
      </c>
      <c r="J201" s="7">
        <v>46134</v>
      </c>
      <c r="K201" s="7">
        <v>46143</v>
      </c>
      <c r="L201" s="4" t="s">
        <v>49</v>
      </c>
      <c r="M201" s="4" t="str" cm="1">
        <f t="array" ref="M201">_xlfn.IFS(G201&gt;=15, "Bulk Order", G201&gt;=5, "Medium Order", G201&lt;5, "Normal Order")</f>
        <v>Medium Order</v>
      </c>
    </row>
    <row r="202" spans="1:13" x14ac:dyDescent="0.3">
      <c r="A202" s="3"/>
      <c r="B202" s="9">
        <v>1201</v>
      </c>
      <c r="C202" s="9" t="s">
        <v>52</v>
      </c>
      <c r="D202" s="4" t="s">
        <v>31</v>
      </c>
      <c r="E202" s="4" t="s">
        <v>20</v>
      </c>
      <c r="F202" s="4" t="s">
        <v>51</v>
      </c>
      <c r="G202" s="4">
        <v>18</v>
      </c>
      <c r="H202" s="4">
        <v>139</v>
      </c>
      <c r="I202" s="4">
        <v>12</v>
      </c>
      <c r="J202" s="7">
        <v>46075</v>
      </c>
      <c r="K202" s="7">
        <v>46076</v>
      </c>
      <c r="L202" s="4" t="s">
        <v>79</v>
      </c>
      <c r="M202" s="4" t="str" cm="1">
        <f t="array" ref="M202">_xlfn.IFS(G202&gt;=15, "Bulk Order", G202&gt;=5, "Medium Order", G202&lt;5, "Normal Order")</f>
        <v>Bulk Order</v>
      </c>
    </row>
    <row r="203" spans="1:13" x14ac:dyDescent="0.3">
      <c r="A203" s="3"/>
      <c r="B203" s="9">
        <v>1202</v>
      </c>
      <c r="C203" s="9" t="s">
        <v>54</v>
      </c>
      <c r="D203" s="4" t="s">
        <v>26</v>
      </c>
      <c r="E203" s="4" t="s">
        <v>34</v>
      </c>
      <c r="F203" s="4" t="s">
        <v>35</v>
      </c>
      <c r="G203" s="4">
        <v>2</v>
      </c>
      <c r="H203" s="4">
        <v>20312</v>
      </c>
      <c r="I203" s="4">
        <v>12</v>
      </c>
      <c r="J203" s="7">
        <v>46082</v>
      </c>
      <c r="K203" s="7">
        <v>46091</v>
      </c>
      <c r="L203" s="4" t="s">
        <v>78</v>
      </c>
      <c r="M203" s="4" t="str" cm="1">
        <f t="array" ref="M203">_xlfn.IFS(G203&gt;=15, "Bulk Order", G203&gt;=5, "Medium Order", G203&lt;5, "Normal Order")</f>
        <v>Normal Order</v>
      </c>
    </row>
    <row r="204" spans="1:13" x14ac:dyDescent="0.3">
      <c r="A204" s="3"/>
      <c r="B204" s="9">
        <v>1203</v>
      </c>
      <c r="C204" s="9" t="s">
        <v>39</v>
      </c>
      <c r="D204" s="4" t="s">
        <v>26</v>
      </c>
      <c r="E204" s="4" t="s">
        <v>24</v>
      </c>
      <c r="F204" s="4" t="s">
        <v>10</v>
      </c>
      <c r="G204" s="4">
        <v>17</v>
      </c>
      <c r="H204" s="4">
        <v>6695</v>
      </c>
      <c r="I204" s="4">
        <v>2</v>
      </c>
      <c r="J204" s="7">
        <v>46119</v>
      </c>
      <c r="K204" s="7">
        <v>46122</v>
      </c>
      <c r="L204" s="4" t="s">
        <v>81</v>
      </c>
      <c r="M204" s="4" t="str" cm="1">
        <f t="array" ref="M204">_xlfn.IFS(G204&gt;=15, "Bulk Order", G204&gt;=5, "Medium Order", G204&lt;5, "Normal Order")</f>
        <v>Bulk Order</v>
      </c>
    </row>
    <row r="205" spans="1:13" x14ac:dyDescent="0.3">
      <c r="A205" s="3"/>
      <c r="B205" s="9">
        <v>1204</v>
      </c>
      <c r="C205" s="9" t="s">
        <v>22</v>
      </c>
      <c r="D205" s="4" t="s">
        <v>31</v>
      </c>
      <c r="E205" s="4" t="s">
        <v>20</v>
      </c>
      <c r="F205" s="4" t="s">
        <v>37</v>
      </c>
      <c r="G205" s="4">
        <v>13</v>
      </c>
      <c r="H205" s="4">
        <v>416</v>
      </c>
      <c r="I205" s="4">
        <v>10</v>
      </c>
      <c r="J205" s="7">
        <v>46123</v>
      </c>
      <c r="K205" s="7">
        <v>46132</v>
      </c>
      <c r="L205" s="4" t="s">
        <v>79</v>
      </c>
      <c r="M205" s="4" t="str" cm="1">
        <f t="array" ref="M205">_xlfn.IFS(G205&gt;=15, "Bulk Order", G205&gt;=5, "Medium Order", G205&lt;5, "Normal Order")</f>
        <v>Medium Order</v>
      </c>
    </row>
    <row r="206" spans="1:13" x14ac:dyDescent="0.3">
      <c r="A206" s="3"/>
      <c r="B206" s="9">
        <v>1205</v>
      </c>
      <c r="C206" s="9" t="s">
        <v>25</v>
      </c>
      <c r="D206" s="4" t="s">
        <v>38</v>
      </c>
      <c r="E206" s="4" t="s">
        <v>20</v>
      </c>
      <c r="F206" s="4" t="s">
        <v>36</v>
      </c>
      <c r="G206" s="4">
        <v>1</v>
      </c>
      <c r="H206" s="4">
        <v>112</v>
      </c>
      <c r="I206" s="4">
        <v>7</v>
      </c>
      <c r="J206" s="7">
        <v>46033</v>
      </c>
      <c r="K206" s="7">
        <v>46040</v>
      </c>
      <c r="L206" s="4" t="s">
        <v>81</v>
      </c>
      <c r="M206" s="4" t="str" cm="1">
        <f t="array" ref="M206">_xlfn.IFS(G206&gt;=15, "Bulk Order", G206&gt;=5, "Medium Order", G206&lt;5, "Normal Order")</f>
        <v>Normal Order</v>
      </c>
    </row>
    <row r="207" spans="1:13" x14ac:dyDescent="0.3">
      <c r="A207" s="3"/>
      <c r="B207" s="9">
        <v>1206</v>
      </c>
      <c r="C207" s="9" t="s">
        <v>53</v>
      </c>
      <c r="D207" s="4" t="s">
        <v>33</v>
      </c>
      <c r="E207" s="4" t="s">
        <v>20</v>
      </c>
      <c r="F207" s="4" t="s">
        <v>21</v>
      </c>
      <c r="G207" s="4">
        <v>9</v>
      </c>
      <c r="H207" s="4">
        <v>60</v>
      </c>
      <c r="I207" s="4">
        <v>0</v>
      </c>
      <c r="J207" s="7">
        <v>46166</v>
      </c>
      <c r="K207" s="7">
        <v>46174</v>
      </c>
      <c r="L207" s="4" t="s">
        <v>78</v>
      </c>
      <c r="M207" s="4" t="str" cm="1">
        <f t="array" ref="M207">_xlfn.IFS(G207&gt;=15, "Bulk Order", G207&gt;=5, "Medium Order", G207&lt;5, "Normal Order")</f>
        <v>Medium Order</v>
      </c>
    </row>
    <row r="208" spans="1:13" x14ac:dyDescent="0.3">
      <c r="A208" s="3"/>
      <c r="B208" s="9">
        <v>1207</v>
      </c>
      <c r="C208" s="9" t="s">
        <v>53</v>
      </c>
      <c r="D208" s="4" t="s">
        <v>27</v>
      </c>
      <c r="E208" s="4" t="s">
        <v>20</v>
      </c>
      <c r="F208" s="4" t="s">
        <v>51</v>
      </c>
      <c r="G208" s="4">
        <v>7</v>
      </c>
      <c r="H208" s="4">
        <v>244</v>
      </c>
      <c r="I208" s="4">
        <v>2</v>
      </c>
      <c r="J208" s="7">
        <v>46164</v>
      </c>
      <c r="K208" s="7">
        <v>46173</v>
      </c>
      <c r="L208" s="4" t="s">
        <v>80</v>
      </c>
      <c r="M208" s="4" t="str" cm="1">
        <f t="array" ref="M208">_xlfn.IFS(G208&gt;=15, "Bulk Order", G208&gt;=5, "Medium Order", G208&lt;5, "Normal Order")</f>
        <v>Medium Order</v>
      </c>
    </row>
    <row r="209" spans="1:13" x14ac:dyDescent="0.3">
      <c r="A209" s="3"/>
      <c r="B209" s="9">
        <v>1208</v>
      </c>
      <c r="C209" s="9" t="s">
        <v>52</v>
      </c>
      <c r="D209" s="4" t="s">
        <v>42</v>
      </c>
      <c r="E209" s="4" t="s">
        <v>24</v>
      </c>
      <c r="F209" s="4" t="s">
        <v>43</v>
      </c>
      <c r="G209" s="4">
        <v>6</v>
      </c>
      <c r="H209" s="4">
        <v>7627</v>
      </c>
      <c r="I209" s="4">
        <v>10</v>
      </c>
      <c r="J209" s="7">
        <v>46042</v>
      </c>
      <c r="K209" s="7">
        <v>46047</v>
      </c>
      <c r="L209" s="4" t="s">
        <v>79</v>
      </c>
      <c r="M209" s="4" t="str" cm="1">
        <f t="array" ref="M209">_xlfn.IFS(G209&gt;=15, "Bulk Order", G209&gt;=5, "Medium Order", G209&lt;5, "Normal Order")</f>
        <v>Medium Order</v>
      </c>
    </row>
    <row r="210" spans="1:13" x14ac:dyDescent="0.3">
      <c r="A210" s="3"/>
      <c r="B210" s="9">
        <v>1209</v>
      </c>
      <c r="C210" s="9" t="s">
        <v>46</v>
      </c>
      <c r="D210" s="4" t="s">
        <v>38</v>
      </c>
      <c r="E210" s="4" t="s">
        <v>34</v>
      </c>
      <c r="F210" s="4" t="s">
        <v>35</v>
      </c>
      <c r="G210" s="4">
        <v>19</v>
      </c>
      <c r="H210" s="4">
        <v>20284</v>
      </c>
      <c r="I210" s="4">
        <v>10</v>
      </c>
      <c r="J210" s="7">
        <v>46103</v>
      </c>
      <c r="K210" s="7">
        <v>46110</v>
      </c>
      <c r="L210" s="4" t="s">
        <v>79</v>
      </c>
      <c r="M210" s="4" t="str" cm="1">
        <f t="array" ref="M210">_xlfn.IFS(G210&gt;=15, "Bulk Order", G210&gt;=5, "Medium Order", G210&lt;5, "Normal Order")</f>
        <v>Bulk Order</v>
      </c>
    </row>
    <row r="211" spans="1:13" x14ac:dyDescent="0.3">
      <c r="A211" s="3"/>
      <c r="B211" s="9">
        <v>1210</v>
      </c>
      <c r="C211" s="9" t="s">
        <v>30</v>
      </c>
      <c r="D211" s="4" t="s">
        <v>31</v>
      </c>
      <c r="E211" s="4" t="s">
        <v>20</v>
      </c>
      <c r="F211" s="4" t="s">
        <v>51</v>
      </c>
      <c r="G211" s="4">
        <v>10</v>
      </c>
      <c r="H211" s="4">
        <v>349</v>
      </c>
      <c r="I211" s="4">
        <v>0</v>
      </c>
      <c r="J211" s="7">
        <v>46052</v>
      </c>
      <c r="K211" s="7">
        <v>46060</v>
      </c>
      <c r="L211" s="4" t="s">
        <v>49</v>
      </c>
      <c r="M211" s="4" t="str" cm="1">
        <f t="array" ref="M211">_xlfn.IFS(G211&gt;=15, "Bulk Order", G211&gt;=5, "Medium Order", G211&lt;5, "Normal Order")</f>
        <v>Medium Order</v>
      </c>
    </row>
    <row r="212" spans="1:13" x14ac:dyDescent="0.3">
      <c r="A212" s="3"/>
      <c r="B212" s="9">
        <v>1211</v>
      </c>
      <c r="C212" s="9" t="s">
        <v>46</v>
      </c>
      <c r="D212" s="4" t="s">
        <v>23</v>
      </c>
      <c r="E212" s="4" t="s">
        <v>34</v>
      </c>
      <c r="F212" s="4" t="s">
        <v>35</v>
      </c>
      <c r="G212" s="4">
        <v>3</v>
      </c>
      <c r="H212" s="4">
        <v>5962</v>
      </c>
      <c r="I212" s="4">
        <v>7</v>
      </c>
      <c r="J212" s="7">
        <v>46175</v>
      </c>
      <c r="K212" s="7">
        <v>46183</v>
      </c>
      <c r="L212" s="4" t="s">
        <v>78</v>
      </c>
      <c r="M212" s="4" t="str" cm="1">
        <f t="array" ref="M212">_xlfn.IFS(G212&gt;=15, "Bulk Order", G212&gt;=5, "Medium Order", G212&lt;5, "Normal Order")</f>
        <v>Normal Order</v>
      </c>
    </row>
    <row r="213" spans="1:13" x14ac:dyDescent="0.3">
      <c r="A213" s="3"/>
      <c r="B213" s="9">
        <v>1212</v>
      </c>
      <c r="C213" s="9" t="s">
        <v>56</v>
      </c>
      <c r="D213" s="4" t="s">
        <v>27</v>
      </c>
      <c r="E213" s="4" t="s">
        <v>34</v>
      </c>
      <c r="F213" s="4" t="s">
        <v>9</v>
      </c>
      <c r="G213" s="4">
        <v>10</v>
      </c>
      <c r="H213" s="4">
        <v>34380</v>
      </c>
      <c r="I213" s="4">
        <v>7</v>
      </c>
      <c r="J213" s="7">
        <v>46194</v>
      </c>
      <c r="K213" s="7">
        <v>46195</v>
      </c>
      <c r="L213" s="4" t="s">
        <v>49</v>
      </c>
      <c r="M213" s="4" t="str" cm="1">
        <f t="array" ref="M213">_xlfn.IFS(G213&gt;=15, "Bulk Order", G213&gt;=5, "Medium Order", G213&lt;5, "Normal Order")</f>
        <v>Medium Order</v>
      </c>
    </row>
    <row r="214" spans="1:13" x14ac:dyDescent="0.3">
      <c r="A214" s="3"/>
      <c r="B214" s="9">
        <v>1213</v>
      </c>
      <c r="C214" s="9" t="s">
        <v>32</v>
      </c>
      <c r="D214" s="4" t="s">
        <v>38</v>
      </c>
      <c r="E214" s="4" t="s">
        <v>34</v>
      </c>
      <c r="F214" s="4" t="s">
        <v>6</v>
      </c>
      <c r="G214" s="4">
        <v>16</v>
      </c>
      <c r="H214" s="4">
        <v>27741</v>
      </c>
      <c r="I214" s="4">
        <v>12</v>
      </c>
      <c r="J214" s="7">
        <v>46116</v>
      </c>
      <c r="K214" s="7">
        <v>46119</v>
      </c>
      <c r="L214" s="4" t="s">
        <v>78</v>
      </c>
      <c r="M214" s="4" t="str" cm="1">
        <f t="array" ref="M214">_xlfn.IFS(G214&gt;=15, "Bulk Order", G214&gt;=5, "Medium Order", G214&lt;5, "Normal Order")</f>
        <v>Bulk Order</v>
      </c>
    </row>
    <row r="215" spans="1:13" x14ac:dyDescent="0.3">
      <c r="A215" s="3"/>
      <c r="B215" s="9">
        <v>1214</v>
      </c>
      <c r="C215" s="9" t="s">
        <v>41</v>
      </c>
      <c r="D215" s="4" t="s">
        <v>27</v>
      </c>
      <c r="E215" s="4" t="s">
        <v>24</v>
      </c>
      <c r="F215" s="4" t="s">
        <v>8</v>
      </c>
      <c r="G215" s="4">
        <v>19</v>
      </c>
      <c r="H215" s="4">
        <v>13832</v>
      </c>
      <c r="I215" s="4">
        <v>0</v>
      </c>
      <c r="J215" s="7">
        <v>46140</v>
      </c>
      <c r="K215" s="7">
        <v>46145</v>
      </c>
      <c r="L215" s="4" t="s">
        <v>81</v>
      </c>
      <c r="M215" s="4" t="str" cm="1">
        <f t="array" ref="M215">_xlfn.IFS(G215&gt;=15, "Bulk Order", G215&gt;=5, "Medium Order", G215&lt;5, "Normal Order")</f>
        <v>Bulk Order</v>
      </c>
    </row>
    <row r="216" spans="1:13" x14ac:dyDescent="0.3">
      <c r="A216" s="3"/>
      <c r="B216" s="9">
        <v>1215</v>
      </c>
      <c r="C216" s="9" t="s">
        <v>29</v>
      </c>
      <c r="D216" s="4" t="s">
        <v>19</v>
      </c>
      <c r="E216" s="4" t="s">
        <v>24</v>
      </c>
      <c r="F216" s="4" t="s">
        <v>8</v>
      </c>
      <c r="G216" s="4">
        <v>6</v>
      </c>
      <c r="H216" s="4">
        <v>1254</v>
      </c>
      <c r="I216" s="4">
        <v>0</v>
      </c>
      <c r="J216" s="7">
        <v>46131</v>
      </c>
      <c r="K216" s="7">
        <v>46136</v>
      </c>
      <c r="L216" s="4" t="s">
        <v>49</v>
      </c>
      <c r="M216" s="4" t="str" cm="1">
        <f t="array" ref="M216">_xlfn.IFS(G216&gt;=15, "Bulk Order", G216&gt;=5, "Medium Order", G216&lt;5, "Normal Order")</f>
        <v>Medium Order</v>
      </c>
    </row>
    <row r="217" spans="1:13" x14ac:dyDescent="0.3">
      <c r="A217" s="3"/>
      <c r="B217" s="9">
        <v>1216</v>
      </c>
      <c r="C217" s="9" t="s">
        <v>39</v>
      </c>
      <c r="D217" s="4" t="s">
        <v>26</v>
      </c>
      <c r="E217" s="4" t="s">
        <v>34</v>
      </c>
      <c r="F217" s="4" t="s">
        <v>6</v>
      </c>
      <c r="G217" s="4">
        <v>10</v>
      </c>
      <c r="H217" s="4">
        <v>56709</v>
      </c>
      <c r="I217" s="4">
        <v>15</v>
      </c>
      <c r="J217" s="7">
        <v>46135</v>
      </c>
      <c r="K217" s="7">
        <v>46139</v>
      </c>
      <c r="L217" s="4" t="s">
        <v>49</v>
      </c>
      <c r="M217" s="4" t="str" cm="1">
        <f t="array" ref="M217">_xlfn.IFS(G217&gt;=15, "Bulk Order", G217&gt;=5, "Medium Order", G217&lt;5, "Normal Order")</f>
        <v>Medium Order</v>
      </c>
    </row>
    <row r="218" spans="1:13" x14ac:dyDescent="0.3">
      <c r="A218" s="3"/>
      <c r="B218" s="9">
        <v>1217</v>
      </c>
      <c r="C218" s="9" t="s">
        <v>30</v>
      </c>
      <c r="D218" s="4" t="s">
        <v>26</v>
      </c>
      <c r="E218" s="4" t="s">
        <v>20</v>
      </c>
      <c r="F218" s="4" t="s">
        <v>48</v>
      </c>
      <c r="G218" s="4">
        <v>18</v>
      </c>
      <c r="H218" s="4">
        <v>60</v>
      </c>
      <c r="I218" s="4">
        <v>0</v>
      </c>
      <c r="J218" s="7">
        <v>46171</v>
      </c>
      <c r="K218" s="7">
        <v>46172</v>
      </c>
      <c r="L218" s="4" t="s">
        <v>49</v>
      </c>
      <c r="M218" s="4" t="str" cm="1">
        <f t="array" ref="M218">_xlfn.IFS(G218&gt;=15, "Bulk Order", G218&gt;=5, "Medium Order", G218&lt;5, "Normal Order")</f>
        <v>Bulk Order</v>
      </c>
    </row>
    <row r="219" spans="1:13" x14ac:dyDescent="0.3">
      <c r="A219" s="3"/>
      <c r="B219" s="9">
        <v>1218</v>
      </c>
      <c r="C219" s="9" t="s">
        <v>53</v>
      </c>
      <c r="D219" s="4" t="s">
        <v>38</v>
      </c>
      <c r="E219" s="4" t="s">
        <v>20</v>
      </c>
      <c r="F219" s="4" t="s">
        <v>21</v>
      </c>
      <c r="G219" s="4">
        <v>1</v>
      </c>
      <c r="H219" s="4">
        <v>134</v>
      </c>
      <c r="I219" s="4">
        <v>10</v>
      </c>
      <c r="J219" s="7">
        <v>46143</v>
      </c>
      <c r="K219" s="7">
        <v>46151</v>
      </c>
      <c r="L219" s="4" t="s">
        <v>81</v>
      </c>
      <c r="M219" s="4" t="str" cm="1">
        <f t="array" ref="M219">_xlfn.IFS(G219&gt;=15, "Bulk Order", G219&gt;=5, "Medium Order", G219&lt;5, "Normal Order")</f>
        <v>Normal Order</v>
      </c>
    </row>
    <row r="220" spans="1:13" x14ac:dyDescent="0.3">
      <c r="A220" s="3"/>
      <c r="B220" s="9">
        <v>1219</v>
      </c>
      <c r="C220" s="9" t="s">
        <v>44</v>
      </c>
      <c r="D220" s="4" t="s">
        <v>26</v>
      </c>
      <c r="E220" s="4" t="s">
        <v>20</v>
      </c>
      <c r="F220" s="4" t="s">
        <v>21</v>
      </c>
      <c r="G220" s="4">
        <v>4</v>
      </c>
      <c r="H220" s="4">
        <v>117</v>
      </c>
      <c r="I220" s="4">
        <v>15</v>
      </c>
      <c r="J220" s="7">
        <v>46202</v>
      </c>
      <c r="K220" s="7">
        <v>46206</v>
      </c>
      <c r="L220" s="4" t="s">
        <v>49</v>
      </c>
      <c r="M220" s="4" t="str" cm="1">
        <f t="array" ref="M220">_xlfn.IFS(G220&gt;=15, "Bulk Order", G220&gt;=5, "Medium Order", G220&lt;5, "Normal Order")</f>
        <v>Normal Order</v>
      </c>
    </row>
    <row r="221" spans="1:13" x14ac:dyDescent="0.3">
      <c r="A221" s="3"/>
      <c r="B221" s="9">
        <v>1220</v>
      </c>
      <c r="C221" s="9" t="s">
        <v>18</v>
      </c>
      <c r="D221" s="4" t="s">
        <v>27</v>
      </c>
      <c r="E221" s="4" t="s">
        <v>24</v>
      </c>
      <c r="F221" s="4" t="s">
        <v>11</v>
      </c>
      <c r="G221" s="4">
        <v>2</v>
      </c>
      <c r="H221" s="4">
        <v>8861</v>
      </c>
      <c r="I221" s="4">
        <v>2</v>
      </c>
      <c r="J221" s="7">
        <v>46170</v>
      </c>
      <c r="K221" s="7">
        <v>46174</v>
      </c>
      <c r="L221" s="4" t="s">
        <v>80</v>
      </c>
      <c r="M221" s="4" t="str" cm="1">
        <f t="array" ref="M221">_xlfn.IFS(G221&gt;=15, "Bulk Order", G221&gt;=5, "Medium Order", G221&lt;5, "Normal Order")</f>
        <v>Normal Order</v>
      </c>
    </row>
    <row r="222" spans="1:13" x14ac:dyDescent="0.3">
      <c r="A222" s="3"/>
      <c r="B222" s="9">
        <v>1221</v>
      </c>
      <c r="C222" s="9" t="s">
        <v>18</v>
      </c>
      <c r="D222" s="4" t="s">
        <v>31</v>
      </c>
      <c r="E222" s="4" t="s">
        <v>24</v>
      </c>
      <c r="F222" s="4" t="s">
        <v>11</v>
      </c>
      <c r="G222" s="4">
        <v>18</v>
      </c>
      <c r="H222" s="4">
        <v>2681</v>
      </c>
      <c r="I222" s="4">
        <v>10</v>
      </c>
      <c r="J222" s="7">
        <v>46122</v>
      </c>
      <c r="K222" s="7">
        <v>46125</v>
      </c>
      <c r="L222" s="4" t="s">
        <v>81</v>
      </c>
      <c r="M222" s="4" t="str" cm="1">
        <f t="array" ref="M222">_xlfn.IFS(G222&gt;=15, "Bulk Order", G222&gt;=5, "Medium Order", G222&lt;5, "Normal Order")</f>
        <v>Bulk Order</v>
      </c>
    </row>
    <row r="223" spans="1:13" x14ac:dyDescent="0.3">
      <c r="A223" s="3"/>
      <c r="B223" s="9">
        <v>1222</v>
      </c>
      <c r="C223" s="9" t="s">
        <v>30</v>
      </c>
      <c r="D223" s="4" t="s">
        <v>33</v>
      </c>
      <c r="E223" s="4" t="s">
        <v>24</v>
      </c>
      <c r="F223" s="4" t="s">
        <v>10</v>
      </c>
      <c r="G223" s="4">
        <v>9</v>
      </c>
      <c r="H223" s="4">
        <v>2712</v>
      </c>
      <c r="I223" s="4">
        <v>12</v>
      </c>
      <c r="J223" s="7">
        <v>46154</v>
      </c>
      <c r="K223" s="7">
        <v>46163</v>
      </c>
      <c r="L223" s="4" t="s">
        <v>78</v>
      </c>
      <c r="M223" s="4" t="str" cm="1">
        <f t="array" ref="M223">_xlfn.IFS(G223&gt;=15, "Bulk Order", G223&gt;=5, "Medium Order", G223&lt;5, "Normal Order")</f>
        <v>Medium Order</v>
      </c>
    </row>
    <row r="224" spans="1:13" x14ac:dyDescent="0.3">
      <c r="A224" s="3"/>
      <c r="B224" s="9">
        <v>1223</v>
      </c>
      <c r="C224" s="9" t="s">
        <v>56</v>
      </c>
      <c r="D224" s="4" t="s">
        <v>23</v>
      </c>
      <c r="E224" s="4" t="s">
        <v>24</v>
      </c>
      <c r="F224" s="4" t="s">
        <v>10</v>
      </c>
      <c r="G224" s="4">
        <v>4</v>
      </c>
      <c r="H224" s="4">
        <v>2249</v>
      </c>
      <c r="I224" s="4">
        <v>7</v>
      </c>
      <c r="J224" s="7">
        <v>46077</v>
      </c>
      <c r="K224" s="7">
        <v>46084</v>
      </c>
      <c r="L224" s="4" t="s">
        <v>78</v>
      </c>
      <c r="M224" s="4" t="str" cm="1">
        <f t="array" ref="M224">_xlfn.IFS(G224&gt;=15, "Bulk Order", G224&gt;=5, "Medium Order", G224&lt;5, "Normal Order")</f>
        <v>Normal Order</v>
      </c>
    </row>
    <row r="225" spans="1:13" x14ac:dyDescent="0.3">
      <c r="A225" s="3"/>
      <c r="B225" s="9">
        <v>1224</v>
      </c>
      <c r="C225" s="9" t="s">
        <v>30</v>
      </c>
      <c r="D225" s="4" t="s">
        <v>38</v>
      </c>
      <c r="E225" s="4" t="s">
        <v>34</v>
      </c>
      <c r="F225" s="4" t="s">
        <v>6</v>
      </c>
      <c r="G225" s="4">
        <v>16</v>
      </c>
      <c r="H225" s="4">
        <v>18378</v>
      </c>
      <c r="I225" s="4">
        <v>10</v>
      </c>
      <c r="J225" s="7">
        <v>46045</v>
      </c>
      <c r="K225" s="7">
        <v>46052</v>
      </c>
      <c r="L225" s="4" t="s">
        <v>80</v>
      </c>
      <c r="M225" s="4" t="str" cm="1">
        <f t="array" ref="M225">_xlfn.IFS(G225&gt;=15, "Bulk Order", G225&gt;=5, "Medium Order", G225&lt;5, "Normal Order")</f>
        <v>Bulk Order</v>
      </c>
    </row>
    <row r="226" spans="1:13" x14ac:dyDescent="0.3">
      <c r="A226" s="3"/>
      <c r="B226" s="9">
        <v>1225</v>
      </c>
      <c r="C226" s="9" t="s">
        <v>41</v>
      </c>
      <c r="D226" s="4" t="s">
        <v>31</v>
      </c>
      <c r="E226" s="4" t="s">
        <v>34</v>
      </c>
      <c r="F226" s="4" t="s">
        <v>35</v>
      </c>
      <c r="G226" s="4">
        <v>16</v>
      </c>
      <c r="H226" s="4">
        <v>32262</v>
      </c>
      <c r="I226" s="4">
        <v>12</v>
      </c>
      <c r="J226" s="7">
        <v>46125</v>
      </c>
      <c r="K226" s="7">
        <v>46126</v>
      </c>
      <c r="L226" s="4" t="s">
        <v>79</v>
      </c>
      <c r="M226" s="4" t="str" cm="1">
        <f t="array" ref="M226">_xlfn.IFS(G226&gt;=15, "Bulk Order", G226&gt;=5, "Medium Order", G226&lt;5, "Normal Order")</f>
        <v>Bulk Order</v>
      </c>
    </row>
    <row r="227" spans="1:13" x14ac:dyDescent="0.3">
      <c r="A227" s="3"/>
      <c r="B227" s="9">
        <v>1226</v>
      </c>
      <c r="C227" s="9" t="s">
        <v>49</v>
      </c>
      <c r="D227" s="4" t="s">
        <v>31</v>
      </c>
      <c r="E227" s="4" t="s">
        <v>34</v>
      </c>
      <c r="F227" s="4" t="s">
        <v>40</v>
      </c>
      <c r="G227" s="4">
        <v>13</v>
      </c>
      <c r="H227" s="4">
        <v>21332</v>
      </c>
      <c r="I227" s="4">
        <v>0</v>
      </c>
      <c r="J227" s="7">
        <v>46044</v>
      </c>
      <c r="K227" s="7">
        <v>46048</v>
      </c>
      <c r="L227" s="4" t="s">
        <v>49</v>
      </c>
      <c r="M227" s="4" t="str" cm="1">
        <f t="array" ref="M227">_xlfn.IFS(G227&gt;=15, "Bulk Order", G227&gt;=5, "Medium Order", G227&lt;5, "Normal Order")</f>
        <v>Medium Order</v>
      </c>
    </row>
    <row r="228" spans="1:13" x14ac:dyDescent="0.3">
      <c r="A228" s="3"/>
      <c r="B228" s="9">
        <v>1227</v>
      </c>
      <c r="C228" s="9" t="s">
        <v>55</v>
      </c>
      <c r="D228" s="4" t="s">
        <v>26</v>
      </c>
      <c r="E228" s="4" t="s">
        <v>34</v>
      </c>
      <c r="F228" s="4" t="s">
        <v>6</v>
      </c>
      <c r="G228" s="4">
        <v>16</v>
      </c>
      <c r="H228" s="4">
        <v>1321</v>
      </c>
      <c r="I228" s="4">
        <v>12</v>
      </c>
      <c r="J228" s="7">
        <v>46113</v>
      </c>
      <c r="K228" s="7">
        <v>46116</v>
      </c>
      <c r="L228" s="4" t="s">
        <v>78</v>
      </c>
      <c r="M228" s="4" t="str" cm="1">
        <f t="array" ref="M228">_xlfn.IFS(G228&gt;=15, "Bulk Order", G228&gt;=5, "Medium Order", G228&lt;5, "Normal Order")</f>
        <v>Bulk Order</v>
      </c>
    </row>
    <row r="229" spans="1:13" x14ac:dyDescent="0.3">
      <c r="A229" s="3"/>
      <c r="B229" s="9">
        <v>1228</v>
      </c>
      <c r="C229" s="9" t="s">
        <v>49</v>
      </c>
      <c r="D229" s="4" t="s">
        <v>27</v>
      </c>
      <c r="E229" s="4" t="s">
        <v>34</v>
      </c>
      <c r="F229" s="4" t="s">
        <v>6</v>
      </c>
      <c r="G229" s="4">
        <v>16</v>
      </c>
      <c r="H229" s="4">
        <v>17477</v>
      </c>
      <c r="I229" s="4">
        <v>10</v>
      </c>
      <c r="J229" s="7">
        <v>46041</v>
      </c>
      <c r="K229" s="7">
        <v>46043</v>
      </c>
      <c r="L229" s="4" t="s">
        <v>80</v>
      </c>
      <c r="M229" s="4" t="str" cm="1">
        <f t="array" ref="M229">_xlfn.IFS(G229&gt;=15, "Bulk Order", G229&gt;=5, "Medium Order", G229&lt;5, "Normal Order")</f>
        <v>Bulk Order</v>
      </c>
    </row>
    <row r="230" spans="1:13" x14ac:dyDescent="0.3">
      <c r="A230" s="3"/>
      <c r="B230" s="9">
        <v>1229</v>
      </c>
      <c r="C230" s="9" t="s">
        <v>54</v>
      </c>
      <c r="D230" s="4" t="s">
        <v>19</v>
      </c>
      <c r="E230" s="4" t="s">
        <v>24</v>
      </c>
      <c r="F230" s="4" t="s">
        <v>11</v>
      </c>
      <c r="G230" s="4">
        <v>14</v>
      </c>
      <c r="H230" s="4">
        <v>5859</v>
      </c>
      <c r="I230" s="4">
        <v>12</v>
      </c>
      <c r="J230" s="7">
        <v>46027</v>
      </c>
      <c r="K230" s="7">
        <v>46036</v>
      </c>
      <c r="L230" s="4" t="s">
        <v>79</v>
      </c>
      <c r="M230" s="4" t="str" cm="1">
        <f t="array" ref="M230">_xlfn.IFS(G230&gt;=15, "Bulk Order", G230&gt;=5, "Medium Order", G230&lt;5, "Normal Order")</f>
        <v>Medium Order</v>
      </c>
    </row>
    <row r="231" spans="1:13" x14ac:dyDescent="0.3">
      <c r="A231" s="3"/>
      <c r="B231" s="9">
        <v>1230</v>
      </c>
      <c r="C231" s="9" t="s">
        <v>56</v>
      </c>
      <c r="D231" s="4" t="s">
        <v>33</v>
      </c>
      <c r="E231" s="4" t="s">
        <v>34</v>
      </c>
      <c r="F231" s="4" t="s">
        <v>9</v>
      </c>
      <c r="G231" s="4">
        <v>7</v>
      </c>
      <c r="H231" s="4">
        <v>2932</v>
      </c>
      <c r="I231" s="4">
        <v>7</v>
      </c>
      <c r="J231" s="7">
        <v>46050</v>
      </c>
      <c r="K231" s="7">
        <v>46059</v>
      </c>
      <c r="L231" s="4" t="s">
        <v>80</v>
      </c>
      <c r="M231" s="4" t="str" cm="1">
        <f t="array" ref="M231">_xlfn.IFS(G231&gt;=15, "Bulk Order", G231&gt;=5, "Medium Order", G231&lt;5, "Normal Order")</f>
        <v>Medium Order</v>
      </c>
    </row>
    <row r="232" spans="1:13" x14ac:dyDescent="0.3">
      <c r="A232" s="3"/>
      <c r="B232" s="9">
        <v>1231</v>
      </c>
      <c r="C232" s="9" t="s">
        <v>46</v>
      </c>
      <c r="D232" s="4" t="s">
        <v>38</v>
      </c>
      <c r="E232" s="4" t="s">
        <v>24</v>
      </c>
      <c r="F232" s="4" t="s">
        <v>7</v>
      </c>
      <c r="G232" s="4">
        <v>13</v>
      </c>
      <c r="H232" s="4">
        <v>10297</v>
      </c>
      <c r="I232" s="4">
        <v>12</v>
      </c>
      <c r="J232" s="7">
        <v>46178</v>
      </c>
      <c r="K232" s="7">
        <v>46186</v>
      </c>
      <c r="L232" s="4" t="s">
        <v>79</v>
      </c>
      <c r="M232" s="4" t="str" cm="1">
        <f t="array" ref="M232">_xlfn.IFS(G232&gt;=15, "Bulk Order", G232&gt;=5, "Medium Order", G232&lt;5, "Normal Order")</f>
        <v>Medium Order</v>
      </c>
    </row>
    <row r="233" spans="1:13" x14ac:dyDescent="0.3">
      <c r="A233" s="3"/>
      <c r="B233" s="9">
        <v>1232</v>
      </c>
      <c r="C233" s="9" t="s">
        <v>25</v>
      </c>
      <c r="D233" s="4" t="s">
        <v>19</v>
      </c>
      <c r="E233" s="4" t="s">
        <v>34</v>
      </c>
      <c r="F233" s="4" t="s">
        <v>9</v>
      </c>
      <c r="G233" s="4">
        <v>3</v>
      </c>
      <c r="H233" s="4">
        <v>13272</v>
      </c>
      <c r="I233" s="4">
        <v>2</v>
      </c>
      <c r="J233" s="7">
        <v>46060</v>
      </c>
      <c r="K233" s="7">
        <v>46065</v>
      </c>
      <c r="L233" s="4" t="s">
        <v>78</v>
      </c>
      <c r="M233" s="4" t="str" cm="1">
        <f t="array" ref="M233">_xlfn.IFS(G233&gt;=15, "Bulk Order", G233&gt;=5, "Medium Order", G233&lt;5, "Normal Order")</f>
        <v>Normal Order</v>
      </c>
    </row>
    <row r="234" spans="1:13" x14ac:dyDescent="0.3">
      <c r="A234" s="3"/>
      <c r="B234" s="9">
        <v>1233</v>
      </c>
      <c r="C234" s="9" t="s">
        <v>55</v>
      </c>
      <c r="D234" s="4" t="s">
        <v>26</v>
      </c>
      <c r="E234" s="4" t="s">
        <v>24</v>
      </c>
      <c r="F234" s="4" t="s">
        <v>7</v>
      </c>
      <c r="G234" s="4">
        <v>20</v>
      </c>
      <c r="H234" s="4">
        <v>13941</v>
      </c>
      <c r="I234" s="4">
        <v>15</v>
      </c>
      <c r="J234" s="7">
        <v>46198</v>
      </c>
      <c r="K234" s="7">
        <v>46202</v>
      </c>
      <c r="L234" s="4" t="s">
        <v>80</v>
      </c>
      <c r="M234" s="4" t="str" cm="1">
        <f t="array" ref="M234">_xlfn.IFS(G234&gt;=15, "Bulk Order", G234&gt;=5, "Medium Order", G234&lt;5, "Normal Order")</f>
        <v>Bulk Order</v>
      </c>
    </row>
    <row r="235" spans="1:13" x14ac:dyDescent="0.3">
      <c r="A235" s="3"/>
      <c r="B235" s="9">
        <v>1234</v>
      </c>
      <c r="C235" s="9" t="s">
        <v>18</v>
      </c>
      <c r="D235" s="4" t="s">
        <v>27</v>
      </c>
      <c r="E235" s="4" t="s">
        <v>24</v>
      </c>
      <c r="F235" s="4" t="s">
        <v>8</v>
      </c>
      <c r="G235" s="4">
        <v>1</v>
      </c>
      <c r="H235" s="4">
        <v>14320</v>
      </c>
      <c r="I235" s="4">
        <v>12</v>
      </c>
      <c r="J235" s="7">
        <v>46114</v>
      </c>
      <c r="K235" s="7">
        <v>46121</v>
      </c>
      <c r="L235" s="4" t="s">
        <v>81</v>
      </c>
      <c r="M235" s="4" t="str" cm="1">
        <f t="array" ref="M235">_xlfn.IFS(G235&gt;=15, "Bulk Order", G235&gt;=5, "Medium Order", G235&lt;5, "Normal Order")</f>
        <v>Normal Order</v>
      </c>
    </row>
    <row r="236" spans="1:13" x14ac:dyDescent="0.3">
      <c r="A236" s="3"/>
      <c r="B236" s="9">
        <v>1235</v>
      </c>
      <c r="C236" s="9" t="s">
        <v>54</v>
      </c>
      <c r="D236" s="4" t="s">
        <v>27</v>
      </c>
      <c r="E236" s="4" t="s">
        <v>20</v>
      </c>
      <c r="F236" s="4" t="s">
        <v>48</v>
      </c>
      <c r="G236" s="4">
        <v>15</v>
      </c>
      <c r="H236" s="4">
        <v>267</v>
      </c>
      <c r="I236" s="4">
        <v>15</v>
      </c>
      <c r="J236" s="7">
        <v>46172</v>
      </c>
      <c r="K236" s="7">
        <v>46177</v>
      </c>
      <c r="L236" s="4" t="s">
        <v>49</v>
      </c>
      <c r="M236" s="4" t="str" cm="1">
        <f t="array" ref="M236">_xlfn.IFS(G236&gt;=15, "Bulk Order", G236&gt;=5, "Medium Order", G236&lt;5, "Normal Order")</f>
        <v>Bulk Order</v>
      </c>
    </row>
    <row r="237" spans="1:13" x14ac:dyDescent="0.3">
      <c r="A237" s="3"/>
      <c r="B237" s="9">
        <v>1236</v>
      </c>
      <c r="C237" s="9" t="s">
        <v>52</v>
      </c>
      <c r="D237" s="4" t="s">
        <v>42</v>
      </c>
      <c r="E237" s="4" t="s">
        <v>20</v>
      </c>
      <c r="F237" s="4" t="s">
        <v>37</v>
      </c>
      <c r="G237" s="4">
        <v>12</v>
      </c>
      <c r="H237" s="4">
        <v>189</v>
      </c>
      <c r="I237" s="4">
        <v>7</v>
      </c>
      <c r="J237" s="7">
        <v>46164</v>
      </c>
      <c r="K237" s="7">
        <v>46169</v>
      </c>
      <c r="L237" s="4" t="s">
        <v>49</v>
      </c>
      <c r="M237" s="4" t="str" cm="1">
        <f t="array" ref="M237">_xlfn.IFS(G237&gt;=15, "Bulk Order", G237&gt;=5, "Medium Order", G237&lt;5, "Normal Order")</f>
        <v>Medium Order</v>
      </c>
    </row>
    <row r="238" spans="1:13" x14ac:dyDescent="0.3">
      <c r="A238" s="3"/>
      <c r="B238" s="9">
        <v>1237</v>
      </c>
      <c r="C238" s="9" t="s">
        <v>44</v>
      </c>
      <c r="D238" s="4" t="s">
        <v>38</v>
      </c>
      <c r="E238" s="4" t="s">
        <v>24</v>
      </c>
      <c r="F238" s="4" t="s">
        <v>11</v>
      </c>
      <c r="G238" s="4">
        <v>8</v>
      </c>
      <c r="H238" s="4">
        <v>12123</v>
      </c>
      <c r="I238" s="4">
        <v>2</v>
      </c>
      <c r="J238" s="7">
        <v>46137</v>
      </c>
      <c r="K238" s="7">
        <v>46145</v>
      </c>
      <c r="L238" s="4" t="s">
        <v>78</v>
      </c>
      <c r="M238" s="4" t="str" cm="1">
        <f t="array" ref="M238">_xlfn.IFS(G238&gt;=15, "Bulk Order", G238&gt;=5, "Medium Order", G238&lt;5, "Normal Order")</f>
        <v>Medium Order</v>
      </c>
    </row>
    <row r="239" spans="1:13" x14ac:dyDescent="0.3">
      <c r="A239" s="3"/>
      <c r="B239" s="9">
        <v>1238</v>
      </c>
      <c r="C239" s="9" t="s">
        <v>30</v>
      </c>
      <c r="D239" s="4" t="s">
        <v>31</v>
      </c>
      <c r="E239" s="4" t="s">
        <v>20</v>
      </c>
      <c r="F239" s="4" t="s">
        <v>21</v>
      </c>
      <c r="G239" s="4">
        <v>6</v>
      </c>
      <c r="H239" s="4">
        <v>180</v>
      </c>
      <c r="I239" s="4">
        <v>12</v>
      </c>
      <c r="J239" s="7">
        <v>46096</v>
      </c>
      <c r="K239" s="7">
        <v>46097</v>
      </c>
      <c r="L239" s="4" t="s">
        <v>81</v>
      </c>
      <c r="M239" s="4" t="str" cm="1">
        <f t="array" ref="M239">_xlfn.IFS(G239&gt;=15, "Bulk Order", G239&gt;=5, "Medium Order", G239&lt;5, "Normal Order")</f>
        <v>Medium Order</v>
      </c>
    </row>
    <row r="240" spans="1:13" x14ac:dyDescent="0.3">
      <c r="A240" s="3"/>
      <c r="B240" s="9">
        <v>1239</v>
      </c>
      <c r="C240" s="9" t="s">
        <v>46</v>
      </c>
      <c r="D240" s="4" t="s">
        <v>23</v>
      </c>
      <c r="E240" s="4" t="s">
        <v>24</v>
      </c>
      <c r="F240" s="4" t="s">
        <v>11</v>
      </c>
      <c r="G240" s="4">
        <v>2</v>
      </c>
      <c r="H240" s="4">
        <v>12330</v>
      </c>
      <c r="I240" s="4">
        <v>12</v>
      </c>
      <c r="J240" s="7">
        <v>46122</v>
      </c>
      <c r="K240" s="7">
        <v>46125</v>
      </c>
      <c r="L240" s="4" t="s">
        <v>78</v>
      </c>
      <c r="M240" s="4" t="str" cm="1">
        <f t="array" ref="M240">_xlfn.IFS(G240&gt;=15, "Bulk Order", G240&gt;=5, "Medium Order", G240&lt;5, "Normal Order")</f>
        <v>Normal Order</v>
      </c>
    </row>
    <row r="241" spans="1:13" x14ac:dyDescent="0.3">
      <c r="A241" s="3"/>
      <c r="B241" s="9">
        <v>1240</v>
      </c>
      <c r="C241" s="9" t="s">
        <v>53</v>
      </c>
      <c r="D241" s="4" t="s">
        <v>33</v>
      </c>
      <c r="E241" s="4" t="s">
        <v>24</v>
      </c>
      <c r="F241" s="4" t="s">
        <v>10</v>
      </c>
      <c r="G241" s="4">
        <v>2</v>
      </c>
      <c r="H241" s="4">
        <v>5475</v>
      </c>
      <c r="I241" s="4">
        <v>2</v>
      </c>
      <c r="J241" s="7">
        <v>46142</v>
      </c>
      <c r="K241" s="7">
        <v>46146</v>
      </c>
      <c r="L241" s="4" t="s">
        <v>49</v>
      </c>
      <c r="M241" s="4" t="str" cm="1">
        <f t="array" ref="M241">_xlfn.IFS(G241&gt;=15, "Bulk Order", G241&gt;=5, "Medium Order", G241&lt;5, "Normal Order")</f>
        <v>Normal Order</v>
      </c>
    </row>
    <row r="242" spans="1:13" x14ac:dyDescent="0.3">
      <c r="A242" s="3"/>
      <c r="B242" s="9">
        <v>1241</v>
      </c>
      <c r="C242" s="9" t="s">
        <v>44</v>
      </c>
      <c r="D242" s="4" t="s">
        <v>31</v>
      </c>
      <c r="E242" s="4" t="s">
        <v>24</v>
      </c>
      <c r="F242" s="4" t="s">
        <v>43</v>
      </c>
      <c r="G242" s="4">
        <v>1</v>
      </c>
      <c r="H242" s="4">
        <v>12537</v>
      </c>
      <c r="I242" s="4">
        <v>0</v>
      </c>
      <c r="J242" s="7">
        <v>46119</v>
      </c>
      <c r="K242" s="7">
        <v>46122</v>
      </c>
      <c r="L242" s="4" t="s">
        <v>78</v>
      </c>
      <c r="M242" s="4" t="str" cm="1">
        <f t="array" ref="M242">_xlfn.IFS(G242&gt;=15, "Bulk Order", G242&gt;=5, "Medium Order", G242&lt;5, "Normal Order")</f>
        <v>Normal Order</v>
      </c>
    </row>
    <row r="243" spans="1:13" x14ac:dyDescent="0.3">
      <c r="A243" s="3"/>
      <c r="B243" s="9">
        <v>1242</v>
      </c>
      <c r="C243" s="9" t="s">
        <v>52</v>
      </c>
      <c r="D243" s="4" t="s">
        <v>38</v>
      </c>
      <c r="E243" s="4" t="s">
        <v>20</v>
      </c>
      <c r="F243" s="4" t="s">
        <v>48</v>
      </c>
      <c r="G243" s="4">
        <v>7</v>
      </c>
      <c r="H243" s="4">
        <v>168</v>
      </c>
      <c r="I243" s="4">
        <v>10</v>
      </c>
      <c r="J243" s="7">
        <v>46191</v>
      </c>
      <c r="K243" s="7">
        <v>46196</v>
      </c>
      <c r="L243" s="4" t="s">
        <v>81</v>
      </c>
      <c r="M243" s="4" t="str" cm="1">
        <f t="array" ref="M243">_xlfn.IFS(G243&gt;=15, "Bulk Order", G243&gt;=5, "Medium Order", G243&lt;5, "Normal Order")</f>
        <v>Medium Order</v>
      </c>
    </row>
    <row r="244" spans="1:13" x14ac:dyDescent="0.3">
      <c r="A244" s="3"/>
      <c r="B244" s="9">
        <v>1243</v>
      </c>
      <c r="C244" s="9" t="s">
        <v>30</v>
      </c>
      <c r="D244" s="4" t="s">
        <v>31</v>
      </c>
      <c r="E244" s="4" t="s">
        <v>34</v>
      </c>
      <c r="F244" s="4" t="s">
        <v>40</v>
      </c>
      <c r="G244" s="4">
        <v>5</v>
      </c>
      <c r="H244" s="4">
        <v>11570</v>
      </c>
      <c r="I244" s="4">
        <v>15</v>
      </c>
      <c r="J244" s="7">
        <v>46069</v>
      </c>
      <c r="K244" s="7">
        <v>46077</v>
      </c>
      <c r="L244" s="4" t="s">
        <v>80</v>
      </c>
      <c r="M244" s="4" t="str" cm="1">
        <f t="array" ref="M244">_xlfn.IFS(G244&gt;=15, "Bulk Order", G244&gt;=5, "Medium Order", G244&lt;5, "Normal Order")</f>
        <v>Medium Order</v>
      </c>
    </row>
    <row r="245" spans="1:13" x14ac:dyDescent="0.3">
      <c r="A245" s="3"/>
      <c r="B245" s="9">
        <v>1244</v>
      </c>
      <c r="C245" s="9" t="s">
        <v>54</v>
      </c>
      <c r="D245" s="4" t="s">
        <v>38</v>
      </c>
      <c r="E245" s="4" t="s">
        <v>24</v>
      </c>
      <c r="F245" s="4" t="s">
        <v>8</v>
      </c>
      <c r="G245" s="4">
        <v>10</v>
      </c>
      <c r="H245" s="4">
        <v>6339</v>
      </c>
      <c r="I245" s="4">
        <v>12</v>
      </c>
      <c r="J245" s="7">
        <v>46200</v>
      </c>
      <c r="K245" s="7">
        <v>46205</v>
      </c>
      <c r="L245" s="4" t="s">
        <v>78</v>
      </c>
      <c r="M245" s="4" t="str" cm="1">
        <f t="array" ref="M245">_xlfn.IFS(G245&gt;=15, "Bulk Order", G245&gt;=5, "Medium Order", G245&lt;5, "Normal Order")</f>
        <v>Medium Order</v>
      </c>
    </row>
    <row r="246" spans="1:13" x14ac:dyDescent="0.3">
      <c r="A246" s="3"/>
      <c r="B246" s="9">
        <v>1245</v>
      </c>
      <c r="C246" s="9" t="s">
        <v>53</v>
      </c>
      <c r="D246" s="4" t="s">
        <v>42</v>
      </c>
      <c r="E246" s="4" t="s">
        <v>34</v>
      </c>
      <c r="F246" s="4" t="s">
        <v>40</v>
      </c>
      <c r="G246" s="4">
        <v>19</v>
      </c>
      <c r="H246" s="4">
        <v>69029</v>
      </c>
      <c r="I246" s="4">
        <v>7</v>
      </c>
      <c r="J246" s="7">
        <v>46176</v>
      </c>
      <c r="K246" s="7">
        <v>46179</v>
      </c>
      <c r="L246" s="4" t="s">
        <v>49</v>
      </c>
      <c r="M246" s="4" t="str" cm="1">
        <f t="array" ref="M246">_xlfn.IFS(G246&gt;=15, "Bulk Order", G246&gt;=5, "Medium Order", G246&lt;5, "Normal Order")</f>
        <v>Bulk Order</v>
      </c>
    </row>
    <row r="247" spans="1:13" x14ac:dyDescent="0.3">
      <c r="A247" s="3"/>
      <c r="B247" s="9">
        <v>1246</v>
      </c>
      <c r="C247" s="9" t="s">
        <v>53</v>
      </c>
      <c r="D247" s="4" t="s">
        <v>26</v>
      </c>
      <c r="E247" s="4" t="s">
        <v>34</v>
      </c>
      <c r="F247" s="4" t="s">
        <v>35</v>
      </c>
      <c r="G247" s="4">
        <v>13</v>
      </c>
      <c r="H247" s="4">
        <v>1825</v>
      </c>
      <c r="I247" s="4">
        <v>2</v>
      </c>
      <c r="J247" s="7">
        <v>46039</v>
      </c>
      <c r="K247" s="7">
        <v>46045</v>
      </c>
      <c r="L247" s="4" t="s">
        <v>81</v>
      </c>
      <c r="M247" s="4" t="str" cm="1">
        <f t="array" ref="M247">_xlfn.IFS(G247&gt;=15, "Bulk Order", G247&gt;=5, "Medium Order", G247&lt;5, "Normal Order")</f>
        <v>Medium Order</v>
      </c>
    </row>
    <row r="248" spans="1:13" x14ac:dyDescent="0.3">
      <c r="A248" s="3"/>
      <c r="B248" s="9">
        <v>1247</v>
      </c>
      <c r="C248" s="9" t="s">
        <v>28</v>
      </c>
      <c r="D248" s="4" t="s">
        <v>19</v>
      </c>
      <c r="E248" s="4" t="s">
        <v>20</v>
      </c>
      <c r="F248" s="4" t="s">
        <v>48</v>
      </c>
      <c r="G248" s="4">
        <v>10</v>
      </c>
      <c r="H248" s="4">
        <v>336</v>
      </c>
      <c r="I248" s="4">
        <v>7</v>
      </c>
      <c r="J248" s="7">
        <v>46173</v>
      </c>
      <c r="K248" s="7">
        <v>46175</v>
      </c>
      <c r="L248" s="4" t="s">
        <v>79</v>
      </c>
      <c r="M248" s="4" t="str" cm="1">
        <f t="array" ref="M248">_xlfn.IFS(G248&gt;=15, "Bulk Order", G248&gt;=5, "Medium Order", G248&lt;5, "Normal Order")</f>
        <v>Medium Order</v>
      </c>
    </row>
    <row r="249" spans="1:13" x14ac:dyDescent="0.3">
      <c r="A249" s="3"/>
      <c r="B249" s="9">
        <v>1248</v>
      </c>
      <c r="C249" s="9" t="s">
        <v>29</v>
      </c>
      <c r="D249" s="4" t="s">
        <v>42</v>
      </c>
      <c r="E249" s="4" t="s">
        <v>20</v>
      </c>
      <c r="F249" s="4" t="s">
        <v>37</v>
      </c>
      <c r="G249" s="4">
        <v>5</v>
      </c>
      <c r="H249" s="4">
        <v>398</v>
      </c>
      <c r="I249" s="4">
        <v>7</v>
      </c>
      <c r="J249" s="7">
        <v>46161</v>
      </c>
      <c r="K249" s="7">
        <v>46171</v>
      </c>
      <c r="L249" s="4" t="s">
        <v>49</v>
      </c>
      <c r="M249" s="4" t="str" cm="1">
        <f t="array" ref="M249">_xlfn.IFS(G249&gt;=15, "Bulk Order", G249&gt;=5, "Medium Order", G249&lt;5, "Normal Order")</f>
        <v>Medium Order</v>
      </c>
    </row>
    <row r="250" spans="1:13" x14ac:dyDescent="0.3">
      <c r="A250" s="3"/>
      <c r="B250" s="9">
        <v>1249</v>
      </c>
      <c r="C250" s="9" t="s">
        <v>22</v>
      </c>
      <c r="D250" s="4" t="s">
        <v>27</v>
      </c>
      <c r="E250" s="4" t="s">
        <v>34</v>
      </c>
      <c r="F250" s="4" t="s">
        <v>40</v>
      </c>
      <c r="G250" s="4">
        <v>18</v>
      </c>
      <c r="H250" s="4">
        <v>6360</v>
      </c>
      <c r="I250" s="4">
        <v>12</v>
      </c>
      <c r="J250" s="7">
        <v>46163</v>
      </c>
      <c r="K250" s="7">
        <v>46165</v>
      </c>
      <c r="L250" s="4" t="s">
        <v>79</v>
      </c>
      <c r="M250" s="4" t="str" cm="1">
        <f t="array" ref="M250">_xlfn.IFS(G250&gt;=15, "Bulk Order", G250&gt;=5, "Medium Order", G250&lt;5, "Normal Order")</f>
        <v>Bulk Order</v>
      </c>
    </row>
    <row r="251" spans="1:13" x14ac:dyDescent="0.3">
      <c r="A251" s="3"/>
      <c r="B251" s="9">
        <v>1250</v>
      </c>
      <c r="C251" s="9" t="s">
        <v>18</v>
      </c>
      <c r="D251" s="4" t="s">
        <v>23</v>
      </c>
      <c r="E251" s="4" t="s">
        <v>34</v>
      </c>
      <c r="F251" s="4" t="s">
        <v>6</v>
      </c>
      <c r="G251" s="4">
        <v>2</v>
      </c>
      <c r="H251" s="4">
        <v>65953</v>
      </c>
      <c r="I251" s="4">
        <v>7</v>
      </c>
      <c r="J251" s="7">
        <v>46051</v>
      </c>
      <c r="K251" s="7">
        <v>46053</v>
      </c>
      <c r="L251" s="4" t="s">
        <v>49</v>
      </c>
      <c r="M251" s="4" t="str" cm="1">
        <f t="array" ref="M251">_xlfn.IFS(G251&gt;=15, "Bulk Order", G251&gt;=5, "Medium Order", G251&lt;5, "Normal Order")</f>
        <v>Normal Order</v>
      </c>
    </row>
    <row r="252" spans="1:13" x14ac:dyDescent="0.3">
      <c r="A252" s="3"/>
      <c r="B252" s="9">
        <v>1251</v>
      </c>
      <c r="C252" s="9" t="s">
        <v>53</v>
      </c>
      <c r="D252" s="4" t="s">
        <v>38</v>
      </c>
      <c r="E252" s="4" t="s">
        <v>34</v>
      </c>
      <c r="F252" s="4" t="s">
        <v>12</v>
      </c>
      <c r="G252" s="4">
        <v>19</v>
      </c>
      <c r="H252" s="4">
        <v>48548</v>
      </c>
      <c r="I252" s="4">
        <v>0</v>
      </c>
      <c r="J252" s="7">
        <v>46112</v>
      </c>
      <c r="K252" s="7">
        <v>46121</v>
      </c>
      <c r="L252" s="4" t="s">
        <v>81</v>
      </c>
      <c r="M252" s="4" t="str" cm="1">
        <f t="array" ref="M252">_xlfn.IFS(G252&gt;=15, "Bulk Order", G252&gt;=5, "Medium Order", G252&lt;5, "Normal Order")</f>
        <v>Bulk Order</v>
      </c>
    </row>
    <row r="253" spans="1:13" x14ac:dyDescent="0.3">
      <c r="A253" s="3"/>
      <c r="B253" s="9">
        <v>1252</v>
      </c>
      <c r="C253" s="9" t="s">
        <v>45</v>
      </c>
      <c r="D253" s="4" t="s">
        <v>27</v>
      </c>
      <c r="E253" s="4" t="s">
        <v>20</v>
      </c>
      <c r="F253" s="4" t="s">
        <v>36</v>
      </c>
      <c r="G253" s="4">
        <v>15</v>
      </c>
      <c r="H253" s="4">
        <v>257</v>
      </c>
      <c r="I253" s="4">
        <v>5</v>
      </c>
      <c r="J253" s="7">
        <v>46166</v>
      </c>
      <c r="K253" s="7">
        <v>46173</v>
      </c>
      <c r="L253" s="4" t="s">
        <v>79</v>
      </c>
      <c r="M253" s="4" t="str" cm="1">
        <f t="array" ref="M253">_xlfn.IFS(G253&gt;=15, "Bulk Order", G253&gt;=5, "Medium Order", G253&lt;5, "Normal Order")</f>
        <v>Bulk Order</v>
      </c>
    </row>
    <row r="254" spans="1:13" x14ac:dyDescent="0.3">
      <c r="A254" s="3"/>
      <c r="B254" s="9">
        <v>1253</v>
      </c>
      <c r="C254" s="9" t="s">
        <v>25</v>
      </c>
      <c r="D254" s="4" t="s">
        <v>31</v>
      </c>
      <c r="E254" s="4" t="s">
        <v>34</v>
      </c>
      <c r="F254" s="4" t="s">
        <v>6</v>
      </c>
      <c r="G254" s="4">
        <v>20</v>
      </c>
      <c r="H254" s="4">
        <v>47880</v>
      </c>
      <c r="I254" s="4">
        <v>7</v>
      </c>
      <c r="J254" s="7">
        <v>46074</v>
      </c>
      <c r="K254" s="7">
        <v>46075</v>
      </c>
      <c r="L254" s="4" t="s">
        <v>49</v>
      </c>
      <c r="M254" s="4" t="str" cm="1">
        <f t="array" ref="M254">_xlfn.IFS(G254&gt;=15, "Bulk Order", G254&gt;=5, "Medium Order", G254&lt;5, "Normal Order")</f>
        <v>Bulk Order</v>
      </c>
    </row>
    <row r="255" spans="1:13" x14ac:dyDescent="0.3">
      <c r="A255" s="3"/>
      <c r="B255" s="9">
        <v>1254</v>
      </c>
      <c r="C255" s="9" t="s">
        <v>50</v>
      </c>
      <c r="D255" s="4" t="s">
        <v>26</v>
      </c>
      <c r="E255" s="4" t="s">
        <v>20</v>
      </c>
      <c r="F255" s="4" t="s">
        <v>48</v>
      </c>
      <c r="G255" s="4">
        <v>18</v>
      </c>
      <c r="H255" s="4">
        <v>447</v>
      </c>
      <c r="I255" s="4">
        <v>15</v>
      </c>
      <c r="J255" s="7">
        <v>46141</v>
      </c>
      <c r="K255" s="7">
        <v>46149</v>
      </c>
      <c r="L255" s="4" t="s">
        <v>80</v>
      </c>
      <c r="M255" s="4" t="str" cm="1">
        <f t="array" ref="M255">_xlfn.IFS(G255&gt;=15, "Bulk Order", G255&gt;=5, "Medium Order", G255&lt;5, "Normal Order")</f>
        <v>Bulk Order</v>
      </c>
    </row>
    <row r="256" spans="1:13" x14ac:dyDescent="0.3">
      <c r="A256" s="3"/>
      <c r="B256" s="9">
        <v>1255</v>
      </c>
      <c r="C256" s="9" t="s">
        <v>32</v>
      </c>
      <c r="D256" s="4" t="s">
        <v>23</v>
      </c>
      <c r="E256" s="4" t="s">
        <v>24</v>
      </c>
      <c r="F256" s="4" t="s">
        <v>7</v>
      </c>
      <c r="G256" s="4">
        <v>1</v>
      </c>
      <c r="H256" s="4">
        <v>2240</v>
      </c>
      <c r="I256" s="4">
        <v>5</v>
      </c>
      <c r="J256" s="7">
        <v>46091</v>
      </c>
      <c r="K256" s="7">
        <v>46095</v>
      </c>
      <c r="L256" s="4" t="s">
        <v>79</v>
      </c>
      <c r="M256" s="4" t="str" cm="1">
        <f t="array" ref="M256">_xlfn.IFS(G256&gt;=15, "Bulk Order", G256&gt;=5, "Medium Order", G256&lt;5, "Normal Order")</f>
        <v>Normal Order</v>
      </c>
    </row>
    <row r="257" spans="1:13" x14ac:dyDescent="0.3">
      <c r="A257" s="3"/>
      <c r="B257" s="9">
        <v>1256</v>
      </c>
      <c r="C257" s="9" t="s">
        <v>46</v>
      </c>
      <c r="D257" s="4" t="s">
        <v>31</v>
      </c>
      <c r="E257" s="4" t="s">
        <v>20</v>
      </c>
      <c r="F257" s="4" t="s">
        <v>48</v>
      </c>
      <c r="G257" s="4">
        <v>19</v>
      </c>
      <c r="H257" s="4">
        <v>406</v>
      </c>
      <c r="I257" s="4">
        <v>7</v>
      </c>
      <c r="J257" s="7">
        <v>46057</v>
      </c>
      <c r="K257" s="7">
        <v>46061</v>
      </c>
      <c r="L257" s="4" t="s">
        <v>78</v>
      </c>
      <c r="M257" s="4" t="str" cm="1">
        <f t="array" ref="M257">_xlfn.IFS(G257&gt;=15, "Bulk Order", G257&gt;=5, "Medium Order", G257&lt;5, "Normal Order")</f>
        <v>Bulk Order</v>
      </c>
    </row>
    <row r="258" spans="1:13" x14ac:dyDescent="0.3">
      <c r="A258" s="3"/>
      <c r="B258" s="9">
        <v>1257</v>
      </c>
      <c r="C258" s="9" t="s">
        <v>52</v>
      </c>
      <c r="D258" s="4" t="s">
        <v>27</v>
      </c>
      <c r="E258" s="4" t="s">
        <v>34</v>
      </c>
      <c r="F258" s="4" t="s">
        <v>12</v>
      </c>
      <c r="G258" s="4">
        <v>7</v>
      </c>
      <c r="H258" s="4">
        <v>53243</v>
      </c>
      <c r="I258" s="4">
        <v>12</v>
      </c>
      <c r="J258" s="7">
        <v>46161</v>
      </c>
      <c r="K258" s="7">
        <v>46171</v>
      </c>
      <c r="L258" s="4" t="s">
        <v>78</v>
      </c>
      <c r="M258" s="4" t="str" cm="1">
        <f t="array" ref="M258">_xlfn.IFS(G258&gt;=15, "Bulk Order", G258&gt;=5, "Medium Order", G258&lt;5, "Normal Order")</f>
        <v>Medium Order</v>
      </c>
    </row>
    <row r="259" spans="1:13" x14ac:dyDescent="0.3">
      <c r="A259" s="3"/>
      <c r="B259" s="9">
        <v>1258</v>
      </c>
      <c r="C259" s="9" t="s">
        <v>32</v>
      </c>
      <c r="D259" s="4" t="s">
        <v>31</v>
      </c>
      <c r="E259" s="4" t="s">
        <v>34</v>
      </c>
      <c r="F259" s="4" t="s">
        <v>9</v>
      </c>
      <c r="G259" s="4">
        <v>1</v>
      </c>
      <c r="H259" s="4">
        <v>10600</v>
      </c>
      <c r="I259" s="4">
        <v>5</v>
      </c>
      <c r="J259" s="7">
        <v>46137</v>
      </c>
      <c r="K259" s="7">
        <v>46138</v>
      </c>
      <c r="L259" s="4" t="s">
        <v>49</v>
      </c>
      <c r="M259" s="4" t="str" cm="1">
        <f t="array" ref="M259">_xlfn.IFS(G259&gt;=15, "Bulk Order", G259&gt;=5, "Medium Order", G259&lt;5, "Normal Order")</f>
        <v>Normal Order</v>
      </c>
    </row>
    <row r="260" spans="1:13" x14ac:dyDescent="0.3">
      <c r="A260" s="3"/>
      <c r="B260" s="9">
        <v>1259</v>
      </c>
      <c r="C260" s="9" t="s">
        <v>41</v>
      </c>
      <c r="D260" s="4" t="s">
        <v>26</v>
      </c>
      <c r="E260" s="4" t="s">
        <v>34</v>
      </c>
      <c r="F260" s="4" t="s">
        <v>6</v>
      </c>
      <c r="G260" s="4">
        <v>10</v>
      </c>
      <c r="H260" s="4">
        <v>38771</v>
      </c>
      <c r="I260" s="4">
        <v>15</v>
      </c>
      <c r="J260" s="7">
        <v>46172</v>
      </c>
      <c r="K260" s="7">
        <v>46182</v>
      </c>
      <c r="L260" s="4" t="s">
        <v>78</v>
      </c>
      <c r="M260" s="4" t="str" cm="1">
        <f t="array" ref="M260">_xlfn.IFS(G260&gt;=15, "Bulk Order", G260&gt;=5, "Medium Order", G260&lt;5, "Normal Order")</f>
        <v>Medium Order</v>
      </c>
    </row>
    <row r="261" spans="1:13" x14ac:dyDescent="0.3">
      <c r="A261" s="3"/>
      <c r="B261" s="9">
        <v>1260</v>
      </c>
      <c r="C261" s="9" t="s">
        <v>52</v>
      </c>
      <c r="D261" s="4" t="s">
        <v>38</v>
      </c>
      <c r="E261" s="4" t="s">
        <v>34</v>
      </c>
      <c r="F261" s="4" t="s">
        <v>40</v>
      </c>
      <c r="G261" s="4">
        <v>19</v>
      </c>
      <c r="H261" s="4">
        <v>54981</v>
      </c>
      <c r="I261" s="4">
        <v>10</v>
      </c>
      <c r="J261" s="7">
        <v>46040</v>
      </c>
      <c r="K261" s="7">
        <v>46045</v>
      </c>
      <c r="L261" s="4" t="s">
        <v>49</v>
      </c>
      <c r="M261" s="4" t="str" cm="1">
        <f t="array" ref="M261">_xlfn.IFS(G261&gt;=15, "Bulk Order", G261&gt;=5, "Medium Order", G261&lt;5, "Normal Order")</f>
        <v>Bulk Order</v>
      </c>
    </row>
    <row r="262" spans="1:13" x14ac:dyDescent="0.3">
      <c r="A262" s="3"/>
      <c r="B262" s="9">
        <v>1261</v>
      </c>
      <c r="C262" s="9" t="s">
        <v>39</v>
      </c>
      <c r="D262" s="4" t="s">
        <v>23</v>
      </c>
      <c r="E262" s="4" t="s">
        <v>20</v>
      </c>
      <c r="F262" s="4" t="s">
        <v>48</v>
      </c>
      <c r="G262" s="4">
        <v>20</v>
      </c>
      <c r="H262" s="4">
        <v>162</v>
      </c>
      <c r="I262" s="4">
        <v>7</v>
      </c>
      <c r="J262" s="7">
        <v>46119</v>
      </c>
      <c r="K262" s="7">
        <v>46120</v>
      </c>
      <c r="L262" s="4" t="s">
        <v>81</v>
      </c>
      <c r="M262" s="4" t="str" cm="1">
        <f t="array" ref="M262">_xlfn.IFS(G262&gt;=15, "Bulk Order", G262&gt;=5, "Medium Order", G262&lt;5, "Normal Order")</f>
        <v>Bulk Order</v>
      </c>
    </row>
    <row r="263" spans="1:13" x14ac:dyDescent="0.3">
      <c r="A263" s="3"/>
      <c r="B263" s="9">
        <v>1262</v>
      </c>
      <c r="C263" s="9" t="s">
        <v>22</v>
      </c>
      <c r="D263" s="4" t="s">
        <v>26</v>
      </c>
      <c r="E263" s="4" t="s">
        <v>24</v>
      </c>
      <c r="F263" s="4" t="s">
        <v>8</v>
      </c>
      <c r="G263" s="4">
        <v>9</v>
      </c>
      <c r="H263" s="4">
        <v>2231</v>
      </c>
      <c r="I263" s="4">
        <v>15</v>
      </c>
      <c r="J263" s="7">
        <v>46174</v>
      </c>
      <c r="K263" s="7">
        <v>46183</v>
      </c>
      <c r="L263" s="4" t="s">
        <v>78</v>
      </c>
      <c r="M263" s="4" t="str" cm="1">
        <f t="array" ref="M263">_xlfn.IFS(G263&gt;=15, "Bulk Order", G263&gt;=5, "Medium Order", G263&lt;5, "Normal Order")</f>
        <v>Medium Order</v>
      </c>
    </row>
    <row r="264" spans="1:13" x14ac:dyDescent="0.3">
      <c r="A264" s="3"/>
      <c r="B264" s="9">
        <v>1263</v>
      </c>
      <c r="C264" s="9" t="s">
        <v>49</v>
      </c>
      <c r="D264" s="4" t="s">
        <v>38</v>
      </c>
      <c r="E264" s="4" t="s">
        <v>24</v>
      </c>
      <c r="F264" s="4" t="s">
        <v>8</v>
      </c>
      <c r="G264" s="4">
        <v>10</v>
      </c>
      <c r="H264" s="4">
        <v>1505</v>
      </c>
      <c r="I264" s="4">
        <v>0</v>
      </c>
      <c r="J264" s="7">
        <v>46130</v>
      </c>
      <c r="K264" s="7">
        <v>46138</v>
      </c>
      <c r="L264" s="4" t="s">
        <v>81</v>
      </c>
      <c r="M264" s="4" t="str" cm="1">
        <f t="array" ref="M264">_xlfn.IFS(G264&gt;=15, "Bulk Order", G264&gt;=5, "Medium Order", G264&lt;5, "Normal Order")</f>
        <v>Medium Order</v>
      </c>
    </row>
    <row r="265" spans="1:13" x14ac:dyDescent="0.3">
      <c r="A265" s="3"/>
      <c r="B265" s="9">
        <v>1264</v>
      </c>
      <c r="C265" s="9" t="s">
        <v>18</v>
      </c>
      <c r="D265" s="4" t="s">
        <v>26</v>
      </c>
      <c r="E265" s="4" t="s">
        <v>24</v>
      </c>
      <c r="F265" s="4" t="s">
        <v>8</v>
      </c>
      <c r="G265" s="4">
        <v>15</v>
      </c>
      <c r="H265" s="4">
        <v>6365</v>
      </c>
      <c r="I265" s="4">
        <v>10</v>
      </c>
      <c r="J265" s="7">
        <v>46200</v>
      </c>
      <c r="K265" s="7">
        <v>46206</v>
      </c>
      <c r="L265" s="4" t="s">
        <v>79</v>
      </c>
      <c r="M265" s="4" t="str" cm="1">
        <f t="array" ref="M265">_xlfn.IFS(G265&gt;=15, "Bulk Order", G265&gt;=5, "Medium Order", G265&lt;5, "Normal Order")</f>
        <v>Bulk Order</v>
      </c>
    </row>
    <row r="266" spans="1:13" x14ac:dyDescent="0.3">
      <c r="A266" s="3"/>
      <c r="B266" s="9">
        <v>1265</v>
      </c>
      <c r="C266" s="9" t="s">
        <v>55</v>
      </c>
      <c r="D266" s="4" t="s">
        <v>26</v>
      </c>
      <c r="E266" s="4" t="s">
        <v>24</v>
      </c>
      <c r="F266" s="4" t="s">
        <v>7</v>
      </c>
      <c r="G266" s="4">
        <v>1</v>
      </c>
      <c r="H266" s="4">
        <v>1052</v>
      </c>
      <c r="I266" s="4">
        <v>7</v>
      </c>
      <c r="J266" s="7">
        <v>46117</v>
      </c>
      <c r="K266" s="7">
        <v>46127</v>
      </c>
      <c r="L266" s="4" t="s">
        <v>81</v>
      </c>
      <c r="M266" s="4" t="str" cm="1">
        <f t="array" ref="M266">_xlfn.IFS(G266&gt;=15, "Bulk Order", G266&gt;=5, "Medium Order", G266&lt;5, "Normal Order")</f>
        <v>Normal Order</v>
      </c>
    </row>
    <row r="267" spans="1:13" x14ac:dyDescent="0.3">
      <c r="A267" s="3"/>
      <c r="B267" s="9">
        <v>1266</v>
      </c>
      <c r="C267" s="9" t="s">
        <v>49</v>
      </c>
      <c r="D267" s="4" t="s">
        <v>33</v>
      </c>
      <c r="E267" s="4" t="s">
        <v>20</v>
      </c>
      <c r="F267" s="4" t="s">
        <v>21</v>
      </c>
      <c r="G267" s="4">
        <v>17</v>
      </c>
      <c r="H267" s="4">
        <v>365</v>
      </c>
      <c r="I267" s="4">
        <v>2</v>
      </c>
      <c r="J267" s="7">
        <v>46096</v>
      </c>
      <c r="K267" s="7">
        <v>46104</v>
      </c>
      <c r="L267" s="4" t="s">
        <v>81</v>
      </c>
      <c r="M267" s="4" t="str" cm="1">
        <f t="array" ref="M267">_xlfn.IFS(G267&gt;=15, "Bulk Order", G267&gt;=5, "Medium Order", G267&lt;5, "Normal Order")</f>
        <v>Bulk Order</v>
      </c>
    </row>
    <row r="268" spans="1:13" x14ac:dyDescent="0.3">
      <c r="A268" s="3"/>
      <c r="B268" s="9">
        <v>1267</v>
      </c>
      <c r="C268" s="9" t="s">
        <v>29</v>
      </c>
      <c r="D268" s="4" t="s">
        <v>38</v>
      </c>
      <c r="E268" s="4" t="s">
        <v>20</v>
      </c>
      <c r="F268" s="4" t="s">
        <v>48</v>
      </c>
      <c r="G268" s="4">
        <v>1</v>
      </c>
      <c r="H268" s="4">
        <v>50</v>
      </c>
      <c r="I268" s="4">
        <v>0</v>
      </c>
      <c r="J268" s="7">
        <v>46129</v>
      </c>
      <c r="K268" s="7">
        <v>46138</v>
      </c>
      <c r="L268" s="4" t="s">
        <v>79</v>
      </c>
      <c r="M268" s="4" t="str" cm="1">
        <f t="array" ref="M268">_xlfn.IFS(G268&gt;=15, "Bulk Order", G268&gt;=5, "Medium Order", G268&lt;5, "Normal Order")</f>
        <v>Normal Order</v>
      </c>
    </row>
    <row r="269" spans="1:13" x14ac:dyDescent="0.3">
      <c r="A269" s="3"/>
      <c r="B269" s="9">
        <v>1268</v>
      </c>
      <c r="C269" s="9" t="s">
        <v>41</v>
      </c>
      <c r="D269" s="4" t="s">
        <v>38</v>
      </c>
      <c r="E269" s="4" t="s">
        <v>34</v>
      </c>
      <c r="F269" s="4" t="s">
        <v>6</v>
      </c>
      <c r="G269" s="4">
        <v>10</v>
      </c>
      <c r="H269" s="4">
        <v>46291</v>
      </c>
      <c r="I269" s="4">
        <v>12</v>
      </c>
      <c r="J269" s="7">
        <v>46199</v>
      </c>
      <c r="K269" s="7">
        <v>46202</v>
      </c>
      <c r="L269" s="4" t="s">
        <v>79</v>
      </c>
      <c r="M269" s="4" t="str" cm="1">
        <f t="array" ref="M269">_xlfn.IFS(G269&gt;=15, "Bulk Order", G269&gt;=5, "Medium Order", G269&lt;5, "Normal Order")</f>
        <v>Medium Order</v>
      </c>
    </row>
    <row r="270" spans="1:13" x14ac:dyDescent="0.3">
      <c r="A270" s="3"/>
      <c r="B270" s="9">
        <v>1269</v>
      </c>
      <c r="C270" s="9" t="s">
        <v>50</v>
      </c>
      <c r="D270" s="4" t="s">
        <v>42</v>
      </c>
      <c r="E270" s="4" t="s">
        <v>24</v>
      </c>
      <c r="F270" s="4" t="s">
        <v>7</v>
      </c>
      <c r="G270" s="4">
        <v>14</v>
      </c>
      <c r="H270" s="4">
        <v>5704</v>
      </c>
      <c r="I270" s="4">
        <v>2</v>
      </c>
      <c r="J270" s="7">
        <v>46129</v>
      </c>
      <c r="K270" s="7">
        <v>46131</v>
      </c>
      <c r="L270" s="4" t="s">
        <v>78</v>
      </c>
      <c r="M270" s="4" t="str" cm="1">
        <f t="array" ref="M270">_xlfn.IFS(G270&gt;=15, "Bulk Order", G270&gt;=5, "Medium Order", G270&lt;5, "Normal Order")</f>
        <v>Medium Order</v>
      </c>
    </row>
    <row r="271" spans="1:13" x14ac:dyDescent="0.3">
      <c r="A271" s="3"/>
      <c r="B271" s="9">
        <v>1270</v>
      </c>
      <c r="C271" s="9" t="s">
        <v>47</v>
      </c>
      <c r="D271" s="4" t="s">
        <v>42</v>
      </c>
      <c r="E271" s="4" t="s">
        <v>34</v>
      </c>
      <c r="F271" s="4" t="s">
        <v>35</v>
      </c>
      <c r="G271" s="4">
        <v>16</v>
      </c>
      <c r="H271" s="4">
        <v>62941</v>
      </c>
      <c r="I271" s="4">
        <v>7</v>
      </c>
      <c r="J271" s="7">
        <v>46135</v>
      </c>
      <c r="K271" s="7">
        <v>46141</v>
      </c>
      <c r="L271" s="4" t="s">
        <v>81</v>
      </c>
      <c r="M271" s="4" t="str" cm="1">
        <f t="array" ref="M271">_xlfn.IFS(G271&gt;=15, "Bulk Order", G271&gt;=5, "Medium Order", G271&lt;5, "Normal Order")</f>
        <v>Bulk Order</v>
      </c>
    </row>
    <row r="272" spans="1:13" x14ac:dyDescent="0.3">
      <c r="A272" s="3"/>
      <c r="B272" s="9">
        <v>1271</v>
      </c>
      <c r="C272" s="9" t="s">
        <v>39</v>
      </c>
      <c r="D272" s="4" t="s">
        <v>33</v>
      </c>
      <c r="E272" s="4" t="s">
        <v>34</v>
      </c>
      <c r="F272" s="4" t="s">
        <v>9</v>
      </c>
      <c r="G272" s="4">
        <v>20</v>
      </c>
      <c r="H272" s="4">
        <v>36941</v>
      </c>
      <c r="I272" s="4">
        <v>15</v>
      </c>
      <c r="J272" s="7">
        <v>46083</v>
      </c>
      <c r="K272" s="7">
        <v>46085</v>
      </c>
      <c r="L272" s="4" t="s">
        <v>49</v>
      </c>
      <c r="M272" s="4" t="str" cm="1">
        <f t="array" ref="M272">_xlfn.IFS(G272&gt;=15, "Bulk Order", G272&gt;=5, "Medium Order", G272&lt;5, "Normal Order")</f>
        <v>Bulk Order</v>
      </c>
    </row>
    <row r="273" spans="1:13" x14ac:dyDescent="0.3">
      <c r="A273" s="3"/>
      <c r="B273" s="9">
        <v>1272</v>
      </c>
      <c r="C273" s="9" t="s">
        <v>50</v>
      </c>
      <c r="D273" s="4" t="s">
        <v>38</v>
      </c>
      <c r="E273" s="4" t="s">
        <v>34</v>
      </c>
      <c r="F273" s="4" t="s">
        <v>40</v>
      </c>
      <c r="G273" s="4">
        <v>13</v>
      </c>
      <c r="H273" s="4">
        <v>42179</v>
      </c>
      <c r="I273" s="4">
        <v>0</v>
      </c>
      <c r="J273" s="7">
        <v>46078</v>
      </c>
      <c r="K273" s="7">
        <v>46084</v>
      </c>
      <c r="L273" s="4" t="s">
        <v>79</v>
      </c>
      <c r="M273" s="4" t="str" cm="1">
        <f t="array" ref="M273">_xlfn.IFS(G273&gt;=15, "Bulk Order", G273&gt;=5, "Medium Order", G273&lt;5, "Normal Order")</f>
        <v>Medium Order</v>
      </c>
    </row>
    <row r="274" spans="1:13" x14ac:dyDescent="0.3">
      <c r="A274" s="3"/>
      <c r="B274" s="9">
        <v>1273</v>
      </c>
      <c r="C274" s="9" t="s">
        <v>44</v>
      </c>
      <c r="D274" s="4" t="s">
        <v>27</v>
      </c>
      <c r="E274" s="4" t="s">
        <v>34</v>
      </c>
      <c r="F274" s="4" t="s">
        <v>5</v>
      </c>
      <c r="G274" s="4">
        <v>12</v>
      </c>
      <c r="H274" s="4">
        <v>20618</v>
      </c>
      <c r="I274" s="4">
        <v>12</v>
      </c>
      <c r="J274" s="7">
        <v>46172</v>
      </c>
      <c r="K274" s="7">
        <v>46174</v>
      </c>
      <c r="L274" s="4" t="s">
        <v>79</v>
      </c>
      <c r="M274" s="4" t="str" cm="1">
        <f t="array" ref="M274">_xlfn.IFS(G274&gt;=15, "Bulk Order", G274&gt;=5, "Medium Order", G274&lt;5, "Normal Order")</f>
        <v>Medium Order</v>
      </c>
    </row>
    <row r="275" spans="1:13" x14ac:dyDescent="0.3">
      <c r="A275" s="3"/>
      <c r="B275" s="9">
        <v>1274</v>
      </c>
      <c r="C275" s="9" t="s">
        <v>28</v>
      </c>
      <c r="D275" s="4" t="s">
        <v>27</v>
      </c>
      <c r="E275" s="4" t="s">
        <v>34</v>
      </c>
      <c r="F275" s="4" t="s">
        <v>40</v>
      </c>
      <c r="G275" s="4">
        <v>13</v>
      </c>
      <c r="H275" s="4">
        <v>36652</v>
      </c>
      <c r="I275" s="4">
        <v>12</v>
      </c>
      <c r="J275" s="7">
        <v>46179</v>
      </c>
      <c r="K275" s="7">
        <v>46186</v>
      </c>
      <c r="L275" s="4" t="s">
        <v>79</v>
      </c>
      <c r="M275" s="4" t="str" cm="1">
        <f t="array" ref="M275">_xlfn.IFS(G275&gt;=15, "Bulk Order", G275&gt;=5, "Medium Order", G275&lt;5, "Normal Order")</f>
        <v>Medium Order</v>
      </c>
    </row>
    <row r="276" spans="1:13" x14ac:dyDescent="0.3">
      <c r="A276" s="3"/>
      <c r="B276" s="9">
        <v>1275</v>
      </c>
      <c r="C276" s="9" t="s">
        <v>22</v>
      </c>
      <c r="D276" s="4" t="s">
        <v>31</v>
      </c>
      <c r="E276" s="4" t="s">
        <v>20</v>
      </c>
      <c r="F276" s="4" t="s">
        <v>48</v>
      </c>
      <c r="G276" s="4">
        <v>20</v>
      </c>
      <c r="H276" s="4">
        <v>451</v>
      </c>
      <c r="I276" s="4">
        <v>15</v>
      </c>
      <c r="J276" s="7">
        <v>46092</v>
      </c>
      <c r="K276" s="7">
        <v>46094</v>
      </c>
      <c r="L276" s="4" t="s">
        <v>79</v>
      </c>
      <c r="M276" s="4" t="str" cm="1">
        <f t="array" ref="M276">_xlfn.IFS(G276&gt;=15, "Bulk Order", G276&gt;=5, "Medium Order", G276&lt;5, "Normal Order")</f>
        <v>Bulk Order</v>
      </c>
    </row>
    <row r="277" spans="1:13" x14ac:dyDescent="0.3">
      <c r="A277" s="3"/>
      <c r="B277" s="9">
        <v>1276</v>
      </c>
      <c r="C277" s="9" t="s">
        <v>39</v>
      </c>
      <c r="D277" s="4" t="s">
        <v>19</v>
      </c>
      <c r="E277" s="4" t="s">
        <v>24</v>
      </c>
      <c r="F277" s="4" t="s">
        <v>7</v>
      </c>
      <c r="G277" s="4">
        <v>1</v>
      </c>
      <c r="H277" s="4">
        <v>13437</v>
      </c>
      <c r="I277" s="4">
        <v>15</v>
      </c>
      <c r="J277" s="7">
        <v>46097</v>
      </c>
      <c r="K277" s="7">
        <v>46099</v>
      </c>
      <c r="L277" s="4" t="s">
        <v>80</v>
      </c>
      <c r="M277" s="4" t="str" cm="1">
        <f t="array" ref="M277">_xlfn.IFS(G277&gt;=15, "Bulk Order", G277&gt;=5, "Medium Order", G277&lt;5, "Normal Order")</f>
        <v>Normal Order</v>
      </c>
    </row>
    <row r="278" spans="1:13" x14ac:dyDescent="0.3">
      <c r="A278" s="3"/>
      <c r="B278" s="9">
        <v>1277</v>
      </c>
      <c r="C278" s="9" t="s">
        <v>56</v>
      </c>
      <c r="D278" s="4" t="s">
        <v>23</v>
      </c>
      <c r="E278" s="4" t="s">
        <v>20</v>
      </c>
      <c r="F278" s="4" t="s">
        <v>36</v>
      </c>
      <c r="G278" s="4">
        <v>14</v>
      </c>
      <c r="H278" s="4">
        <v>276</v>
      </c>
      <c r="I278" s="4">
        <v>0</v>
      </c>
      <c r="J278" s="7">
        <v>46086</v>
      </c>
      <c r="K278" s="7">
        <v>46089</v>
      </c>
      <c r="L278" s="4" t="s">
        <v>78</v>
      </c>
      <c r="M278" s="4" t="str" cm="1">
        <f t="array" ref="M278">_xlfn.IFS(G278&gt;=15, "Bulk Order", G278&gt;=5, "Medium Order", G278&lt;5, "Normal Order")</f>
        <v>Medium Order</v>
      </c>
    </row>
    <row r="279" spans="1:13" x14ac:dyDescent="0.3">
      <c r="A279" s="3"/>
      <c r="B279" s="9">
        <v>1278</v>
      </c>
      <c r="C279" s="9" t="s">
        <v>45</v>
      </c>
      <c r="D279" s="4" t="s">
        <v>26</v>
      </c>
      <c r="E279" s="4" t="s">
        <v>34</v>
      </c>
      <c r="F279" s="4" t="s">
        <v>12</v>
      </c>
      <c r="G279" s="4">
        <v>4</v>
      </c>
      <c r="H279" s="4">
        <v>20639</v>
      </c>
      <c r="I279" s="4">
        <v>7</v>
      </c>
      <c r="J279" s="7">
        <v>46180</v>
      </c>
      <c r="K279" s="7">
        <v>46186</v>
      </c>
      <c r="L279" s="4" t="s">
        <v>79</v>
      </c>
      <c r="M279" s="4" t="str" cm="1">
        <f t="array" ref="M279">_xlfn.IFS(G279&gt;=15, "Bulk Order", G279&gt;=5, "Medium Order", G279&lt;5, "Normal Order")</f>
        <v>Normal Order</v>
      </c>
    </row>
    <row r="280" spans="1:13" x14ac:dyDescent="0.3">
      <c r="A280" s="3"/>
      <c r="B280" s="9">
        <v>1279</v>
      </c>
      <c r="C280" s="9" t="s">
        <v>53</v>
      </c>
      <c r="D280" s="4" t="s">
        <v>33</v>
      </c>
      <c r="E280" s="4" t="s">
        <v>34</v>
      </c>
      <c r="F280" s="4" t="s">
        <v>6</v>
      </c>
      <c r="G280" s="4">
        <v>20</v>
      </c>
      <c r="H280" s="4">
        <v>49042</v>
      </c>
      <c r="I280" s="4">
        <v>2</v>
      </c>
      <c r="J280" s="7">
        <v>46124</v>
      </c>
      <c r="K280" s="7">
        <v>46126</v>
      </c>
      <c r="L280" s="4" t="s">
        <v>78</v>
      </c>
      <c r="M280" s="4" t="str" cm="1">
        <f t="array" ref="M280">_xlfn.IFS(G280&gt;=15, "Bulk Order", G280&gt;=5, "Medium Order", G280&lt;5, "Normal Order")</f>
        <v>Bulk Order</v>
      </c>
    </row>
    <row r="281" spans="1:13" x14ac:dyDescent="0.3">
      <c r="A281" s="3"/>
      <c r="B281" s="9">
        <v>1280</v>
      </c>
      <c r="C281" s="9" t="s">
        <v>56</v>
      </c>
      <c r="D281" s="4" t="s">
        <v>38</v>
      </c>
      <c r="E281" s="4" t="s">
        <v>20</v>
      </c>
      <c r="F281" s="4" t="s">
        <v>51</v>
      </c>
      <c r="G281" s="4">
        <v>9</v>
      </c>
      <c r="H281" s="4">
        <v>50</v>
      </c>
      <c r="I281" s="4">
        <v>7</v>
      </c>
      <c r="J281" s="7">
        <v>46085</v>
      </c>
      <c r="K281" s="7">
        <v>46095</v>
      </c>
      <c r="L281" s="4" t="s">
        <v>81</v>
      </c>
      <c r="M281" s="4" t="str" cm="1">
        <f t="array" ref="M281">_xlfn.IFS(G281&gt;=15, "Bulk Order", G281&gt;=5, "Medium Order", G281&lt;5, "Normal Order")</f>
        <v>Medium Order</v>
      </c>
    </row>
    <row r="282" spans="1:13" x14ac:dyDescent="0.3">
      <c r="A282" s="3"/>
      <c r="B282" s="9">
        <v>1281</v>
      </c>
      <c r="C282" s="9" t="s">
        <v>53</v>
      </c>
      <c r="D282" s="4" t="s">
        <v>23</v>
      </c>
      <c r="E282" s="4" t="s">
        <v>20</v>
      </c>
      <c r="F282" s="4" t="s">
        <v>48</v>
      </c>
      <c r="G282" s="4">
        <v>6</v>
      </c>
      <c r="H282" s="4">
        <v>253</v>
      </c>
      <c r="I282" s="4">
        <v>0</v>
      </c>
      <c r="J282" s="7">
        <v>46055</v>
      </c>
      <c r="K282" s="7">
        <v>46063</v>
      </c>
      <c r="L282" s="4" t="s">
        <v>80</v>
      </c>
      <c r="M282" s="4" t="str" cm="1">
        <f t="array" ref="M282">_xlfn.IFS(G282&gt;=15, "Bulk Order", G282&gt;=5, "Medium Order", G282&lt;5, "Normal Order")</f>
        <v>Medium Order</v>
      </c>
    </row>
    <row r="283" spans="1:13" x14ac:dyDescent="0.3">
      <c r="A283" s="3"/>
      <c r="B283" s="9">
        <v>1282</v>
      </c>
      <c r="C283" s="9" t="s">
        <v>54</v>
      </c>
      <c r="D283" s="4" t="s">
        <v>42</v>
      </c>
      <c r="E283" s="4" t="s">
        <v>24</v>
      </c>
      <c r="F283" s="4" t="s">
        <v>43</v>
      </c>
      <c r="G283" s="4">
        <v>12</v>
      </c>
      <c r="H283" s="4">
        <v>3178</v>
      </c>
      <c r="I283" s="4">
        <v>10</v>
      </c>
      <c r="J283" s="7">
        <v>46176</v>
      </c>
      <c r="K283" s="7">
        <v>46177</v>
      </c>
      <c r="L283" s="4" t="s">
        <v>49</v>
      </c>
      <c r="M283" s="4" t="str" cm="1">
        <f t="array" ref="M283">_xlfn.IFS(G283&gt;=15, "Bulk Order", G283&gt;=5, "Medium Order", G283&lt;5, "Normal Order")</f>
        <v>Medium Order</v>
      </c>
    </row>
    <row r="284" spans="1:13" x14ac:dyDescent="0.3">
      <c r="A284" s="3"/>
      <c r="B284" s="9">
        <v>1283</v>
      </c>
      <c r="C284" s="9" t="s">
        <v>39</v>
      </c>
      <c r="D284" s="4" t="s">
        <v>19</v>
      </c>
      <c r="E284" s="4" t="s">
        <v>24</v>
      </c>
      <c r="F284" s="4" t="s">
        <v>10</v>
      </c>
      <c r="G284" s="4">
        <v>6</v>
      </c>
      <c r="H284" s="4">
        <v>1167</v>
      </c>
      <c r="I284" s="4">
        <v>2</v>
      </c>
      <c r="J284" s="7">
        <v>46100</v>
      </c>
      <c r="K284" s="7">
        <v>46106</v>
      </c>
      <c r="L284" s="4" t="s">
        <v>78</v>
      </c>
      <c r="M284" s="4" t="str" cm="1">
        <f t="array" ref="M284">_xlfn.IFS(G284&gt;=15, "Bulk Order", G284&gt;=5, "Medium Order", G284&lt;5, "Normal Order")</f>
        <v>Medium Order</v>
      </c>
    </row>
    <row r="285" spans="1:13" x14ac:dyDescent="0.3">
      <c r="A285" s="3"/>
      <c r="B285" s="9">
        <v>1284</v>
      </c>
      <c r="C285" s="9" t="s">
        <v>39</v>
      </c>
      <c r="D285" s="4" t="s">
        <v>27</v>
      </c>
      <c r="E285" s="4" t="s">
        <v>20</v>
      </c>
      <c r="F285" s="4" t="s">
        <v>37</v>
      </c>
      <c r="G285" s="4">
        <v>16</v>
      </c>
      <c r="H285" s="4">
        <v>419</v>
      </c>
      <c r="I285" s="4">
        <v>2</v>
      </c>
      <c r="J285" s="7">
        <v>46082</v>
      </c>
      <c r="K285" s="7">
        <v>46090</v>
      </c>
      <c r="L285" s="4" t="s">
        <v>78</v>
      </c>
      <c r="M285" s="4" t="str" cm="1">
        <f t="array" ref="M285">_xlfn.IFS(G285&gt;=15, "Bulk Order", G285&gt;=5, "Medium Order", G285&lt;5, "Normal Order")</f>
        <v>Bulk Order</v>
      </c>
    </row>
    <row r="286" spans="1:13" x14ac:dyDescent="0.3">
      <c r="A286" s="3"/>
      <c r="B286" s="9">
        <v>1285</v>
      </c>
      <c r="C286" s="9" t="s">
        <v>32</v>
      </c>
      <c r="D286" s="4" t="s">
        <v>38</v>
      </c>
      <c r="E286" s="4" t="s">
        <v>20</v>
      </c>
      <c r="F286" s="4" t="s">
        <v>36</v>
      </c>
      <c r="G286" s="4">
        <v>7</v>
      </c>
      <c r="H286" s="4">
        <v>439</v>
      </c>
      <c r="I286" s="4">
        <v>15</v>
      </c>
      <c r="J286" s="7">
        <v>46055</v>
      </c>
      <c r="K286" s="7">
        <v>46058</v>
      </c>
      <c r="L286" s="4" t="s">
        <v>79</v>
      </c>
      <c r="M286" s="4" t="str" cm="1">
        <f t="array" ref="M286">_xlfn.IFS(G286&gt;=15, "Bulk Order", G286&gt;=5, "Medium Order", G286&lt;5, "Normal Order")</f>
        <v>Medium Order</v>
      </c>
    </row>
    <row r="287" spans="1:13" x14ac:dyDescent="0.3">
      <c r="A287" s="3"/>
      <c r="B287" s="9">
        <v>1286</v>
      </c>
      <c r="C287" s="9" t="s">
        <v>44</v>
      </c>
      <c r="D287" s="4" t="s">
        <v>23</v>
      </c>
      <c r="E287" s="4" t="s">
        <v>24</v>
      </c>
      <c r="F287" s="4" t="s">
        <v>11</v>
      </c>
      <c r="G287" s="4">
        <v>9</v>
      </c>
      <c r="H287" s="4">
        <v>1340</v>
      </c>
      <c r="I287" s="4">
        <v>2</v>
      </c>
      <c r="J287" s="7">
        <v>46168</v>
      </c>
      <c r="K287" s="7">
        <v>46173</v>
      </c>
      <c r="L287" s="4" t="s">
        <v>78</v>
      </c>
      <c r="M287" s="4" t="str" cm="1">
        <f t="array" ref="M287">_xlfn.IFS(G287&gt;=15, "Bulk Order", G287&gt;=5, "Medium Order", G287&lt;5, "Normal Order")</f>
        <v>Medium Order</v>
      </c>
    </row>
    <row r="288" spans="1:13" x14ac:dyDescent="0.3">
      <c r="A288" s="3"/>
      <c r="B288" s="9">
        <v>1287</v>
      </c>
      <c r="C288" s="9" t="s">
        <v>56</v>
      </c>
      <c r="D288" s="4" t="s">
        <v>31</v>
      </c>
      <c r="E288" s="4" t="s">
        <v>20</v>
      </c>
      <c r="F288" s="4" t="s">
        <v>21</v>
      </c>
      <c r="G288" s="4">
        <v>15</v>
      </c>
      <c r="H288" s="4">
        <v>251</v>
      </c>
      <c r="I288" s="4">
        <v>2</v>
      </c>
      <c r="J288" s="7">
        <v>46116</v>
      </c>
      <c r="K288" s="7">
        <v>46122</v>
      </c>
      <c r="L288" s="4" t="s">
        <v>81</v>
      </c>
      <c r="M288" s="4" t="str" cm="1">
        <f t="array" ref="M288">_xlfn.IFS(G288&gt;=15, "Bulk Order", G288&gt;=5, "Medium Order", G288&lt;5, "Normal Order")</f>
        <v>Bulk Order</v>
      </c>
    </row>
    <row r="289" spans="1:13" x14ac:dyDescent="0.3">
      <c r="A289" s="3"/>
      <c r="B289" s="9">
        <v>1288</v>
      </c>
      <c r="C289" s="9" t="s">
        <v>52</v>
      </c>
      <c r="D289" s="4" t="s">
        <v>26</v>
      </c>
      <c r="E289" s="4" t="s">
        <v>34</v>
      </c>
      <c r="F289" s="4" t="s">
        <v>9</v>
      </c>
      <c r="G289" s="4">
        <v>14</v>
      </c>
      <c r="H289" s="4">
        <v>35601</v>
      </c>
      <c r="I289" s="4">
        <v>10</v>
      </c>
      <c r="J289" s="7">
        <v>46179</v>
      </c>
      <c r="K289" s="7">
        <v>46187</v>
      </c>
      <c r="L289" s="4" t="s">
        <v>49</v>
      </c>
      <c r="M289" s="4" t="str" cm="1">
        <f t="array" ref="M289">_xlfn.IFS(G289&gt;=15, "Bulk Order", G289&gt;=5, "Medium Order", G289&lt;5, "Normal Order")</f>
        <v>Medium Order</v>
      </c>
    </row>
    <row r="290" spans="1:13" x14ac:dyDescent="0.3">
      <c r="A290" s="3"/>
      <c r="B290" s="9">
        <v>1289</v>
      </c>
      <c r="C290" s="9" t="s">
        <v>28</v>
      </c>
      <c r="D290" s="4" t="s">
        <v>26</v>
      </c>
      <c r="E290" s="4" t="s">
        <v>34</v>
      </c>
      <c r="F290" s="4" t="s">
        <v>6</v>
      </c>
      <c r="G290" s="4">
        <v>19</v>
      </c>
      <c r="H290" s="4">
        <v>25336</v>
      </c>
      <c r="I290" s="4">
        <v>2</v>
      </c>
      <c r="J290" s="7">
        <v>46122</v>
      </c>
      <c r="K290" s="7">
        <v>46130</v>
      </c>
      <c r="L290" s="4" t="s">
        <v>80</v>
      </c>
      <c r="M290" s="4" t="str" cm="1">
        <f t="array" ref="M290">_xlfn.IFS(G290&gt;=15, "Bulk Order", G290&gt;=5, "Medium Order", G290&lt;5, "Normal Order")</f>
        <v>Bulk Order</v>
      </c>
    </row>
    <row r="291" spans="1:13" x14ac:dyDescent="0.3">
      <c r="A291" s="3"/>
      <c r="B291" s="9">
        <v>1290</v>
      </c>
      <c r="C291" s="9" t="s">
        <v>28</v>
      </c>
      <c r="D291" s="4" t="s">
        <v>26</v>
      </c>
      <c r="E291" s="4" t="s">
        <v>34</v>
      </c>
      <c r="F291" s="4" t="s">
        <v>35</v>
      </c>
      <c r="G291" s="4">
        <v>3</v>
      </c>
      <c r="H291" s="4">
        <v>69793</v>
      </c>
      <c r="I291" s="4">
        <v>15</v>
      </c>
      <c r="J291" s="7">
        <v>46110</v>
      </c>
      <c r="K291" s="7">
        <v>46111</v>
      </c>
      <c r="L291" s="4" t="s">
        <v>49</v>
      </c>
      <c r="M291" s="4" t="str" cm="1">
        <f t="array" ref="M291">_xlfn.IFS(G291&gt;=15, "Bulk Order", G291&gt;=5, "Medium Order", G291&lt;5, "Normal Order")</f>
        <v>Normal Order</v>
      </c>
    </row>
    <row r="292" spans="1:13" x14ac:dyDescent="0.3">
      <c r="A292" s="3"/>
      <c r="B292" s="9">
        <v>1291</v>
      </c>
      <c r="C292" s="9" t="s">
        <v>25</v>
      </c>
      <c r="D292" s="4" t="s">
        <v>23</v>
      </c>
      <c r="E292" s="4" t="s">
        <v>20</v>
      </c>
      <c r="F292" s="4" t="s">
        <v>36</v>
      </c>
      <c r="G292" s="4">
        <v>17</v>
      </c>
      <c r="H292" s="4">
        <v>415</v>
      </c>
      <c r="I292" s="4">
        <v>5</v>
      </c>
      <c r="J292" s="7">
        <v>46137</v>
      </c>
      <c r="K292" s="7">
        <v>46141</v>
      </c>
      <c r="L292" s="4" t="s">
        <v>79</v>
      </c>
      <c r="M292" s="4" t="str" cm="1">
        <f t="array" ref="M292">_xlfn.IFS(G292&gt;=15, "Bulk Order", G292&gt;=5, "Medium Order", G292&lt;5, "Normal Order")</f>
        <v>Bulk Order</v>
      </c>
    </row>
    <row r="293" spans="1:13" x14ac:dyDescent="0.3">
      <c r="A293" s="3"/>
      <c r="B293" s="9">
        <v>1292</v>
      </c>
      <c r="C293" s="9" t="s">
        <v>52</v>
      </c>
      <c r="D293" s="4" t="s">
        <v>33</v>
      </c>
      <c r="E293" s="4" t="s">
        <v>34</v>
      </c>
      <c r="F293" s="4" t="s">
        <v>12</v>
      </c>
      <c r="G293" s="4">
        <v>11</v>
      </c>
      <c r="H293" s="4">
        <v>25158</v>
      </c>
      <c r="I293" s="4">
        <v>5</v>
      </c>
      <c r="J293" s="7">
        <v>46186</v>
      </c>
      <c r="K293" s="7">
        <v>46193</v>
      </c>
      <c r="L293" s="4" t="s">
        <v>79</v>
      </c>
      <c r="M293" s="4" t="str" cm="1">
        <f t="array" ref="M293">_xlfn.IFS(G293&gt;=15, "Bulk Order", G293&gt;=5, "Medium Order", G293&lt;5, "Normal Order")</f>
        <v>Medium Order</v>
      </c>
    </row>
    <row r="294" spans="1:13" x14ac:dyDescent="0.3">
      <c r="A294" s="3"/>
      <c r="B294" s="9">
        <v>1293</v>
      </c>
      <c r="C294" s="9" t="s">
        <v>47</v>
      </c>
      <c r="D294" s="4" t="s">
        <v>42</v>
      </c>
      <c r="E294" s="4" t="s">
        <v>24</v>
      </c>
      <c r="F294" s="4" t="s">
        <v>10</v>
      </c>
      <c r="G294" s="4">
        <v>7</v>
      </c>
      <c r="H294" s="4">
        <v>11481</v>
      </c>
      <c r="I294" s="4">
        <v>15</v>
      </c>
      <c r="J294" s="7">
        <v>46045</v>
      </c>
      <c r="K294" s="7">
        <v>46050</v>
      </c>
      <c r="L294" s="4" t="s">
        <v>79</v>
      </c>
      <c r="M294" s="4" t="str" cm="1">
        <f t="array" ref="M294">_xlfn.IFS(G294&gt;=15, "Bulk Order", G294&gt;=5, "Medium Order", G294&lt;5, "Normal Order")</f>
        <v>Medium Order</v>
      </c>
    </row>
    <row r="295" spans="1:13" x14ac:dyDescent="0.3">
      <c r="A295" s="3"/>
      <c r="B295" s="9">
        <v>1294</v>
      </c>
      <c r="C295" s="9" t="s">
        <v>25</v>
      </c>
      <c r="D295" s="4" t="s">
        <v>19</v>
      </c>
      <c r="E295" s="4" t="s">
        <v>24</v>
      </c>
      <c r="F295" s="4" t="s">
        <v>7</v>
      </c>
      <c r="G295" s="4">
        <v>8</v>
      </c>
      <c r="H295" s="4">
        <v>14448</v>
      </c>
      <c r="I295" s="4">
        <v>10</v>
      </c>
      <c r="J295" s="7">
        <v>46181</v>
      </c>
      <c r="K295" s="7">
        <v>46189</v>
      </c>
      <c r="L295" s="4" t="s">
        <v>78</v>
      </c>
      <c r="M295" s="4" t="str" cm="1">
        <f t="array" ref="M295">_xlfn.IFS(G295&gt;=15, "Bulk Order", G295&gt;=5, "Medium Order", G295&lt;5, "Normal Order")</f>
        <v>Medium Order</v>
      </c>
    </row>
    <row r="296" spans="1:13" x14ac:dyDescent="0.3">
      <c r="A296" s="3"/>
      <c r="B296" s="9">
        <v>1295</v>
      </c>
      <c r="C296" s="9" t="s">
        <v>50</v>
      </c>
      <c r="D296" s="4" t="s">
        <v>38</v>
      </c>
      <c r="E296" s="4" t="s">
        <v>24</v>
      </c>
      <c r="F296" s="4" t="s">
        <v>8</v>
      </c>
      <c r="G296" s="4">
        <v>16</v>
      </c>
      <c r="H296" s="4">
        <v>11935</v>
      </c>
      <c r="I296" s="4">
        <v>12</v>
      </c>
      <c r="J296" s="7">
        <v>46157</v>
      </c>
      <c r="K296" s="7">
        <v>46162</v>
      </c>
      <c r="L296" s="4" t="s">
        <v>78</v>
      </c>
      <c r="M296" s="4" t="str" cm="1">
        <f t="array" ref="M296">_xlfn.IFS(G296&gt;=15, "Bulk Order", G296&gt;=5, "Medium Order", G296&lt;5, "Normal Order")</f>
        <v>Bulk Order</v>
      </c>
    </row>
    <row r="297" spans="1:13" x14ac:dyDescent="0.3">
      <c r="A297" s="3"/>
      <c r="B297" s="9">
        <v>1296</v>
      </c>
      <c r="C297" s="9" t="s">
        <v>28</v>
      </c>
      <c r="D297" s="4" t="s">
        <v>38</v>
      </c>
      <c r="E297" s="4" t="s">
        <v>20</v>
      </c>
      <c r="F297" s="4" t="s">
        <v>48</v>
      </c>
      <c r="G297" s="4">
        <v>6</v>
      </c>
      <c r="H297" s="4">
        <v>201</v>
      </c>
      <c r="I297" s="4">
        <v>0</v>
      </c>
      <c r="J297" s="7">
        <v>46063</v>
      </c>
      <c r="K297" s="7">
        <v>46072</v>
      </c>
      <c r="L297" s="4" t="s">
        <v>81</v>
      </c>
      <c r="M297" s="4" t="str" cm="1">
        <f t="array" ref="M297">_xlfn.IFS(G297&gt;=15, "Bulk Order", G297&gt;=5, "Medium Order", G297&lt;5, "Normal Order")</f>
        <v>Medium Order</v>
      </c>
    </row>
    <row r="298" spans="1:13" x14ac:dyDescent="0.3">
      <c r="A298" s="3"/>
      <c r="B298" s="9">
        <v>1297</v>
      </c>
      <c r="C298" s="9" t="s">
        <v>52</v>
      </c>
      <c r="D298" s="4" t="s">
        <v>27</v>
      </c>
      <c r="E298" s="4" t="s">
        <v>34</v>
      </c>
      <c r="F298" s="4" t="s">
        <v>35</v>
      </c>
      <c r="G298" s="4">
        <v>14</v>
      </c>
      <c r="H298" s="4">
        <v>24524</v>
      </c>
      <c r="I298" s="4">
        <v>10</v>
      </c>
      <c r="J298" s="7">
        <v>46178</v>
      </c>
      <c r="K298" s="7">
        <v>46187</v>
      </c>
      <c r="L298" s="4" t="s">
        <v>49</v>
      </c>
      <c r="M298" s="4" t="str" cm="1">
        <f t="array" ref="M298">_xlfn.IFS(G298&gt;=15, "Bulk Order", G298&gt;=5, "Medium Order", G298&lt;5, "Normal Order")</f>
        <v>Medium Order</v>
      </c>
    </row>
    <row r="299" spans="1:13" x14ac:dyDescent="0.3">
      <c r="A299" s="3"/>
      <c r="B299" s="9">
        <v>1298</v>
      </c>
      <c r="C299" s="9" t="s">
        <v>25</v>
      </c>
      <c r="D299" s="4" t="s">
        <v>19</v>
      </c>
      <c r="E299" s="4" t="s">
        <v>34</v>
      </c>
      <c r="F299" s="4" t="s">
        <v>12</v>
      </c>
      <c r="G299" s="4">
        <v>19</v>
      </c>
      <c r="H299" s="4">
        <v>20745</v>
      </c>
      <c r="I299" s="4">
        <v>2</v>
      </c>
      <c r="J299" s="7">
        <v>46083</v>
      </c>
      <c r="K299" s="7">
        <v>46093</v>
      </c>
      <c r="L299" s="4" t="s">
        <v>80</v>
      </c>
      <c r="M299" s="4" t="str" cm="1">
        <f t="array" ref="M299">_xlfn.IFS(G299&gt;=15, "Bulk Order", G299&gt;=5, "Medium Order", G299&lt;5, "Normal Order")</f>
        <v>Bulk Order</v>
      </c>
    </row>
    <row r="300" spans="1:13" x14ac:dyDescent="0.3">
      <c r="A300" s="3"/>
      <c r="B300" s="9">
        <v>1299</v>
      </c>
      <c r="C300" s="9" t="s">
        <v>28</v>
      </c>
      <c r="D300" s="4" t="s">
        <v>23</v>
      </c>
      <c r="E300" s="4" t="s">
        <v>24</v>
      </c>
      <c r="F300" s="4" t="s">
        <v>11</v>
      </c>
      <c r="G300" s="4">
        <v>8</v>
      </c>
      <c r="H300" s="4">
        <v>8783</v>
      </c>
      <c r="I300" s="4">
        <v>2</v>
      </c>
      <c r="J300" s="7">
        <v>46123</v>
      </c>
      <c r="K300" s="7">
        <v>46132</v>
      </c>
      <c r="L300" s="4" t="s">
        <v>78</v>
      </c>
      <c r="M300" s="4" t="str" cm="1">
        <f t="array" ref="M300">_xlfn.IFS(G300&gt;=15, "Bulk Order", G300&gt;=5, "Medium Order", G300&lt;5, "Normal Order")</f>
        <v>Medium Order</v>
      </c>
    </row>
    <row r="301" spans="1:13" x14ac:dyDescent="0.3">
      <c r="A301" s="3"/>
      <c r="B301" s="9">
        <v>1300</v>
      </c>
      <c r="C301" s="9" t="s">
        <v>45</v>
      </c>
      <c r="D301" s="4" t="s">
        <v>33</v>
      </c>
      <c r="E301" s="4" t="s">
        <v>34</v>
      </c>
      <c r="F301" s="4" t="s">
        <v>6</v>
      </c>
      <c r="G301" s="4">
        <v>20</v>
      </c>
      <c r="H301" s="4">
        <v>1392</v>
      </c>
      <c r="I301" s="4">
        <v>2</v>
      </c>
      <c r="J301" s="7">
        <v>46110</v>
      </c>
      <c r="K301" s="7">
        <v>46117</v>
      </c>
      <c r="L301" s="4" t="s">
        <v>80</v>
      </c>
      <c r="M301" s="4" t="str" cm="1">
        <f t="array" ref="M301">_xlfn.IFS(G301&gt;=15, "Bulk Order", G301&gt;=5, "Medium Order", G301&lt;5, "Normal Order")</f>
        <v>Bulk Order</v>
      </c>
    </row>
    <row r="302" spans="1:13" x14ac:dyDescent="0.3">
      <c r="A302" s="3"/>
      <c r="B302" s="9">
        <v>1301</v>
      </c>
      <c r="C302" s="9" t="s">
        <v>52</v>
      </c>
      <c r="D302" s="4" t="s">
        <v>23</v>
      </c>
      <c r="E302" s="4" t="s">
        <v>24</v>
      </c>
      <c r="F302" s="4" t="s">
        <v>8</v>
      </c>
      <c r="G302" s="4">
        <v>3</v>
      </c>
      <c r="H302" s="4">
        <v>7020</v>
      </c>
      <c r="I302" s="4">
        <v>10</v>
      </c>
      <c r="J302" s="7">
        <v>46028</v>
      </c>
      <c r="K302" s="7">
        <v>46038</v>
      </c>
      <c r="L302" s="4" t="s">
        <v>80</v>
      </c>
      <c r="M302" s="4" t="str" cm="1">
        <f t="array" ref="M302">_xlfn.IFS(G302&gt;=15, "Bulk Order", G302&gt;=5, "Medium Order", G302&lt;5, "Normal Order")</f>
        <v>Normal Order</v>
      </c>
    </row>
    <row r="303" spans="1:13" x14ac:dyDescent="0.3">
      <c r="A303" s="3"/>
      <c r="B303" s="9">
        <v>1302</v>
      </c>
      <c r="C303" s="9" t="s">
        <v>54</v>
      </c>
      <c r="D303" s="4" t="s">
        <v>19</v>
      </c>
      <c r="E303" s="4" t="s">
        <v>34</v>
      </c>
      <c r="F303" s="4" t="s">
        <v>35</v>
      </c>
      <c r="G303" s="4">
        <v>9</v>
      </c>
      <c r="H303" s="4">
        <v>8500</v>
      </c>
      <c r="I303" s="4">
        <v>15</v>
      </c>
      <c r="J303" s="7">
        <v>46163</v>
      </c>
      <c r="K303" s="7">
        <v>46172</v>
      </c>
      <c r="L303" s="4" t="s">
        <v>80</v>
      </c>
      <c r="M303" s="4" t="str" cm="1">
        <f t="array" ref="M303">_xlfn.IFS(G303&gt;=15, "Bulk Order", G303&gt;=5, "Medium Order", G303&lt;5, "Normal Order")</f>
        <v>Medium Order</v>
      </c>
    </row>
    <row r="304" spans="1:13" x14ac:dyDescent="0.3">
      <c r="A304" s="3"/>
      <c r="B304" s="9">
        <v>1303</v>
      </c>
      <c r="C304" s="9" t="s">
        <v>54</v>
      </c>
      <c r="D304" s="4" t="s">
        <v>38</v>
      </c>
      <c r="E304" s="4" t="s">
        <v>34</v>
      </c>
      <c r="F304" s="4" t="s">
        <v>35</v>
      </c>
      <c r="G304" s="4">
        <v>13</v>
      </c>
      <c r="H304" s="4">
        <v>5170</v>
      </c>
      <c r="I304" s="4">
        <v>2</v>
      </c>
      <c r="J304" s="7">
        <v>46124</v>
      </c>
      <c r="K304" s="7">
        <v>46127</v>
      </c>
      <c r="L304" s="4" t="s">
        <v>78</v>
      </c>
      <c r="M304" s="4" t="str" cm="1">
        <f t="array" ref="M304">_xlfn.IFS(G304&gt;=15, "Bulk Order", G304&gt;=5, "Medium Order", G304&lt;5, "Normal Order")</f>
        <v>Medium Order</v>
      </c>
    </row>
    <row r="305" spans="1:13" x14ac:dyDescent="0.3">
      <c r="A305" s="3"/>
      <c r="B305" s="9">
        <v>1304</v>
      </c>
      <c r="C305" s="9" t="s">
        <v>56</v>
      </c>
      <c r="D305" s="4" t="s">
        <v>27</v>
      </c>
      <c r="E305" s="4" t="s">
        <v>20</v>
      </c>
      <c r="F305" s="4" t="s">
        <v>36</v>
      </c>
      <c r="G305" s="4">
        <v>20</v>
      </c>
      <c r="H305" s="4">
        <v>368</v>
      </c>
      <c r="I305" s="4">
        <v>7</v>
      </c>
      <c r="J305" s="7">
        <v>46042</v>
      </c>
      <c r="K305" s="7">
        <v>46051</v>
      </c>
      <c r="L305" s="4" t="s">
        <v>81</v>
      </c>
      <c r="M305" s="4" t="str" cm="1">
        <f t="array" ref="M305">_xlfn.IFS(G305&gt;=15, "Bulk Order", G305&gt;=5, "Medium Order", G305&lt;5, "Normal Order")</f>
        <v>Bulk Order</v>
      </c>
    </row>
    <row r="306" spans="1:13" x14ac:dyDescent="0.3">
      <c r="A306" s="3"/>
      <c r="B306" s="9">
        <v>1305</v>
      </c>
      <c r="C306" s="9" t="s">
        <v>55</v>
      </c>
      <c r="D306" s="4" t="s">
        <v>31</v>
      </c>
      <c r="E306" s="4" t="s">
        <v>34</v>
      </c>
      <c r="F306" s="4" t="s">
        <v>9</v>
      </c>
      <c r="G306" s="4">
        <v>20</v>
      </c>
      <c r="H306" s="4">
        <v>31406</v>
      </c>
      <c r="I306" s="4">
        <v>15</v>
      </c>
      <c r="J306" s="7">
        <v>46146</v>
      </c>
      <c r="K306" s="7">
        <v>46154</v>
      </c>
      <c r="L306" s="4" t="s">
        <v>81</v>
      </c>
      <c r="M306" s="4" t="str" cm="1">
        <f t="array" ref="M306">_xlfn.IFS(G306&gt;=15, "Bulk Order", G306&gt;=5, "Medium Order", G306&lt;5, "Normal Order")</f>
        <v>Bulk Order</v>
      </c>
    </row>
    <row r="307" spans="1:13" x14ac:dyDescent="0.3">
      <c r="A307" s="3"/>
      <c r="B307" s="9">
        <v>1306</v>
      </c>
      <c r="C307" s="9" t="s">
        <v>52</v>
      </c>
      <c r="D307" s="4" t="s">
        <v>42</v>
      </c>
      <c r="E307" s="4" t="s">
        <v>20</v>
      </c>
      <c r="F307" s="4" t="s">
        <v>36</v>
      </c>
      <c r="G307" s="4">
        <v>1</v>
      </c>
      <c r="H307" s="4">
        <v>332</v>
      </c>
      <c r="I307" s="4">
        <v>0</v>
      </c>
      <c r="J307" s="7">
        <v>46191</v>
      </c>
      <c r="K307" s="7">
        <v>46194</v>
      </c>
      <c r="L307" s="4" t="s">
        <v>79</v>
      </c>
      <c r="M307" s="4" t="str" cm="1">
        <f t="array" ref="M307">_xlfn.IFS(G307&gt;=15, "Bulk Order", G307&gt;=5, "Medium Order", G307&lt;5, "Normal Order")</f>
        <v>Normal Order</v>
      </c>
    </row>
    <row r="308" spans="1:13" x14ac:dyDescent="0.3">
      <c r="A308" s="3"/>
      <c r="B308" s="9">
        <v>1307</v>
      </c>
      <c r="C308" s="9" t="s">
        <v>54</v>
      </c>
      <c r="D308" s="4" t="s">
        <v>42</v>
      </c>
      <c r="E308" s="4" t="s">
        <v>34</v>
      </c>
      <c r="F308" s="4" t="s">
        <v>35</v>
      </c>
      <c r="G308" s="4">
        <v>18</v>
      </c>
      <c r="H308" s="4">
        <v>7541</v>
      </c>
      <c r="I308" s="4">
        <v>12</v>
      </c>
      <c r="J308" s="7">
        <v>46048</v>
      </c>
      <c r="K308" s="7">
        <v>46051</v>
      </c>
      <c r="L308" s="4" t="s">
        <v>81</v>
      </c>
      <c r="M308" s="4" t="str" cm="1">
        <f t="array" ref="M308">_xlfn.IFS(G308&gt;=15, "Bulk Order", G308&gt;=5, "Medium Order", G308&lt;5, "Normal Order")</f>
        <v>Bulk Order</v>
      </c>
    </row>
    <row r="309" spans="1:13" x14ac:dyDescent="0.3">
      <c r="A309" s="3"/>
      <c r="B309" s="9">
        <v>1308</v>
      </c>
      <c r="C309" s="9" t="s">
        <v>30</v>
      </c>
      <c r="D309" s="4" t="s">
        <v>26</v>
      </c>
      <c r="E309" s="4" t="s">
        <v>34</v>
      </c>
      <c r="F309" s="4" t="s">
        <v>40</v>
      </c>
      <c r="G309" s="4">
        <v>12</v>
      </c>
      <c r="H309" s="4">
        <v>66075</v>
      </c>
      <c r="I309" s="4">
        <v>5</v>
      </c>
      <c r="J309" s="7">
        <v>46129</v>
      </c>
      <c r="K309" s="7">
        <v>46135</v>
      </c>
      <c r="L309" s="4" t="s">
        <v>79</v>
      </c>
      <c r="M309" s="4" t="str" cm="1">
        <f t="array" ref="M309">_xlfn.IFS(G309&gt;=15, "Bulk Order", G309&gt;=5, "Medium Order", G309&lt;5, "Normal Order")</f>
        <v>Medium Order</v>
      </c>
    </row>
    <row r="310" spans="1:13" x14ac:dyDescent="0.3">
      <c r="A310" s="3"/>
      <c r="B310" s="9">
        <v>1309</v>
      </c>
      <c r="C310" s="9" t="s">
        <v>49</v>
      </c>
      <c r="D310" s="4" t="s">
        <v>31</v>
      </c>
      <c r="E310" s="4" t="s">
        <v>20</v>
      </c>
      <c r="F310" s="4" t="s">
        <v>48</v>
      </c>
      <c r="G310" s="4">
        <v>2</v>
      </c>
      <c r="H310" s="4">
        <v>35</v>
      </c>
      <c r="I310" s="4">
        <v>5</v>
      </c>
      <c r="J310" s="7">
        <v>46197</v>
      </c>
      <c r="K310" s="7">
        <v>46198</v>
      </c>
      <c r="L310" s="4" t="s">
        <v>80</v>
      </c>
      <c r="M310" s="4" t="str" cm="1">
        <f t="array" ref="M310">_xlfn.IFS(G310&gt;=15, "Bulk Order", G310&gt;=5, "Medium Order", G310&lt;5, "Normal Order")</f>
        <v>Normal Order</v>
      </c>
    </row>
    <row r="311" spans="1:13" x14ac:dyDescent="0.3">
      <c r="A311" s="3"/>
      <c r="B311" s="9">
        <v>1310</v>
      </c>
      <c r="C311" s="9" t="s">
        <v>47</v>
      </c>
      <c r="D311" s="4" t="s">
        <v>23</v>
      </c>
      <c r="E311" s="4" t="s">
        <v>24</v>
      </c>
      <c r="F311" s="4" t="s">
        <v>11</v>
      </c>
      <c r="G311" s="4">
        <v>19</v>
      </c>
      <c r="H311" s="4">
        <v>12691</v>
      </c>
      <c r="I311" s="4">
        <v>0</v>
      </c>
      <c r="J311" s="7">
        <v>46181</v>
      </c>
      <c r="K311" s="7">
        <v>46189</v>
      </c>
      <c r="L311" s="4" t="s">
        <v>49</v>
      </c>
      <c r="M311" s="4" t="str" cm="1">
        <f t="array" ref="M311">_xlfn.IFS(G311&gt;=15, "Bulk Order", G311&gt;=5, "Medium Order", G311&lt;5, "Normal Order")</f>
        <v>Bulk Order</v>
      </c>
    </row>
    <row r="312" spans="1:13" x14ac:dyDescent="0.3">
      <c r="A312" s="3"/>
      <c r="B312" s="9">
        <v>1311</v>
      </c>
      <c r="C312" s="9" t="s">
        <v>53</v>
      </c>
      <c r="D312" s="4" t="s">
        <v>19</v>
      </c>
      <c r="E312" s="4" t="s">
        <v>20</v>
      </c>
      <c r="F312" s="4" t="s">
        <v>21</v>
      </c>
      <c r="G312" s="4">
        <v>2</v>
      </c>
      <c r="H312" s="4">
        <v>209</v>
      </c>
      <c r="I312" s="4">
        <v>0</v>
      </c>
      <c r="J312" s="7">
        <v>46173</v>
      </c>
      <c r="K312" s="7">
        <v>46176</v>
      </c>
      <c r="L312" s="4" t="s">
        <v>79</v>
      </c>
      <c r="M312" s="4" t="str" cm="1">
        <f t="array" ref="M312">_xlfn.IFS(G312&gt;=15, "Bulk Order", G312&gt;=5, "Medium Order", G312&lt;5, "Normal Order")</f>
        <v>Normal Order</v>
      </c>
    </row>
    <row r="313" spans="1:13" x14ac:dyDescent="0.3">
      <c r="A313" s="3"/>
      <c r="B313" s="9">
        <v>1312</v>
      </c>
      <c r="C313" s="9" t="s">
        <v>54</v>
      </c>
      <c r="D313" s="4" t="s">
        <v>26</v>
      </c>
      <c r="E313" s="4" t="s">
        <v>24</v>
      </c>
      <c r="F313" s="4" t="s">
        <v>11</v>
      </c>
      <c r="G313" s="4">
        <v>20</v>
      </c>
      <c r="H313" s="4">
        <v>3274</v>
      </c>
      <c r="I313" s="4">
        <v>2</v>
      </c>
      <c r="J313" s="7">
        <v>46148</v>
      </c>
      <c r="K313" s="7">
        <v>46156</v>
      </c>
      <c r="L313" s="4" t="s">
        <v>80</v>
      </c>
      <c r="M313" s="4" t="str" cm="1">
        <f t="array" ref="M313">_xlfn.IFS(G313&gt;=15, "Bulk Order", G313&gt;=5, "Medium Order", G313&lt;5, "Normal Order")</f>
        <v>Bulk Order</v>
      </c>
    </row>
    <row r="314" spans="1:13" x14ac:dyDescent="0.3">
      <c r="A314" s="3"/>
      <c r="B314" s="9">
        <v>1313</v>
      </c>
      <c r="C314" s="9" t="s">
        <v>56</v>
      </c>
      <c r="D314" s="4" t="s">
        <v>26</v>
      </c>
      <c r="E314" s="4" t="s">
        <v>24</v>
      </c>
      <c r="F314" s="4" t="s">
        <v>11</v>
      </c>
      <c r="G314" s="4">
        <v>6</v>
      </c>
      <c r="H314" s="4">
        <v>10864</v>
      </c>
      <c r="I314" s="4">
        <v>10</v>
      </c>
      <c r="J314" s="7">
        <v>46041</v>
      </c>
      <c r="K314" s="7">
        <v>46049</v>
      </c>
      <c r="L314" s="4" t="s">
        <v>78</v>
      </c>
      <c r="M314" s="4" t="str" cm="1">
        <f t="array" ref="M314">_xlfn.IFS(G314&gt;=15, "Bulk Order", G314&gt;=5, "Medium Order", G314&lt;5, "Normal Order")</f>
        <v>Medium Order</v>
      </c>
    </row>
    <row r="315" spans="1:13" x14ac:dyDescent="0.3">
      <c r="A315" s="3"/>
      <c r="B315" s="9">
        <v>1314</v>
      </c>
      <c r="C315" s="9" t="s">
        <v>50</v>
      </c>
      <c r="D315" s="4" t="s">
        <v>33</v>
      </c>
      <c r="E315" s="4" t="s">
        <v>24</v>
      </c>
      <c r="F315" s="4" t="s">
        <v>7</v>
      </c>
      <c r="G315" s="4">
        <v>10</v>
      </c>
      <c r="H315" s="4">
        <v>6328</v>
      </c>
      <c r="I315" s="4">
        <v>2</v>
      </c>
      <c r="J315" s="7">
        <v>46196</v>
      </c>
      <c r="K315" s="7">
        <v>46197</v>
      </c>
      <c r="L315" s="4" t="s">
        <v>49</v>
      </c>
      <c r="M315" s="4" t="str" cm="1">
        <f t="array" ref="M315">_xlfn.IFS(G315&gt;=15, "Bulk Order", G315&gt;=5, "Medium Order", G315&lt;5, "Normal Order")</f>
        <v>Medium Order</v>
      </c>
    </row>
    <row r="316" spans="1:13" x14ac:dyDescent="0.3">
      <c r="A316" s="3"/>
      <c r="B316" s="9">
        <v>1315</v>
      </c>
      <c r="C316" s="9" t="s">
        <v>47</v>
      </c>
      <c r="D316" s="4" t="s">
        <v>31</v>
      </c>
      <c r="E316" s="4" t="s">
        <v>34</v>
      </c>
      <c r="F316" s="4" t="s">
        <v>40</v>
      </c>
      <c r="G316" s="4">
        <v>14</v>
      </c>
      <c r="H316" s="4">
        <v>57670</v>
      </c>
      <c r="I316" s="4">
        <v>2</v>
      </c>
      <c r="J316" s="7">
        <v>46186</v>
      </c>
      <c r="K316" s="7">
        <v>46196</v>
      </c>
      <c r="L316" s="4" t="s">
        <v>78</v>
      </c>
      <c r="M316" s="4" t="str" cm="1">
        <f t="array" ref="M316">_xlfn.IFS(G316&gt;=15, "Bulk Order", G316&gt;=5, "Medium Order", G316&lt;5, "Normal Order")</f>
        <v>Medium Order</v>
      </c>
    </row>
    <row r="317" spans="1:13" x14ac:dyDescent="0.3">
      <c r="A317" s="3"/>
      <c r="B317" s="9">
        <v>1316</v>
      </c>
      <c r="C317" s="9" t="s">
        <v>44</v>
      </c>
      <c r="D317" s="4" t="s">
        <v>19</v>
      </c>
      <c r="E317" s="4" t="s">
        <v>24</v>
      </c>
      <c r="F317" s="4" t="s">
        <v>8</v>
      </c>
      <c r="G317" s="4">
        <v>7</v>
      </c>
      <c r="H317" s="4">
        <v>9838</v>
      </c>
      <c r="I317" s="4">
        <v>7</v>
      </c>
      <c r="J317" s="7">
        <v>46078</v>
      </c>
      <c r="K317" s="7">
        <v>46085</v>
      </c>
      <c r="L317" s="4" t="s">
        <v>79</v>
      </c>
      <c r="M317" s="4" t="str" cm="1">
        <f t="array" ref="M317">_xlfn.IFS(G317&gt;=15, "Bulk Order", G317&gt;=5, "Medium Order", G317&lt;5, "Normal Order")</f>
        <v>Medium Order</v>
      </c>
    </row>
    <row r="318" spans="1:13" x14ac:dyDescent="0.3">
      <c r="A318" s="3"/>
      <c r="B318" s="9">
        <v>1317</v>
      </c>
      <c r="C318" s="9" t="s">
        <v>56</v>
      </c>
      <c r="D318" s="4" t="s">
        <v>33</v>
      </c>
      <c r="E318" s="4" t="s">
        <v>34</v>
      </c>
      <c r="F318" s="4" t="s">
        <v>40</v>
      </c>
      <c r="G318" s="4">
        <v>7</v>
      </c>
      <c r="H318" s="4">
        <v>67339</v>
      </c>
      <c r="I318" s="4">
        <v>5</v>
      </c>
      <c r="J318" s="7">
        <v>46159</v>
      </c>
      <c r="K318" s="7">
        <v>46169</v>
      </c>
      <c r="L318" s="4" t="s">
        <v>81</v>
      </c>
      <c r="M318" s="4" t="str" cm="1">
        <f t="array" ref="M318">_xlfn.IFS(G318&gt;=15, "Bulk Order", G318&gt;=5, "Medium Order", G318&lt;5, "Normal Order")</f>
        <v>Medium Order</v>
      </c>
    </row>
    <row r="319" spans="1:13" x14ac:dyDescent="0.3">
      <c r="A319" s="3"/>
      <c r="B319" s="9">
        <v>1318</v>
      </c>
      <c r="C319" s="9" t="s">
        <v>18</v>
      </c>
      <c r="D319" s="4" t="s">
        <v>42</v>
      </c>
      <c r="E319" s="4" t="s">
        <v>20</v>
      </c>
      <c r="F319" s="4" t="s">
        <v>48</v>
      </c>
      <c r="G319" s="4">
        <v>4</v>
      </c>
      <c r="H319" s="4">
        <v>38</v>
      </c>
      <c r="I319" s="4">
        <v>12</v>
      </c>
      <c r="J319" s="7">
        <v>46169</v>
      </c>
      <c r="K319" s="7">
        <v>46175</v>
      </c>
      <c r="L319" s="4" t="s">
        <v>49</v>
      </c>
      <c r="M319" s="4" t="str" cm="1">
        <f t="array" ref="M319">_xlfn.IFS(G319&gt;=15, "Bulk Order", G319&gt;=5, "Medium Order", G319&lt;5, "Normal Order")</f>
        <v>Normal Order</v>
      </c>
    </row>
    <row r="320" spans="1:13" x14ac:dyDescent="0.3">
      <c r="A320" s="3"/>
      <c r="B320" s="9">
        <v>1319</v>
      </c>
      <c r="C320" s="9" t="s">
        <v>25</v>
      </c>
      <c r="D320" s="4" t="s">
        <v>23</v>
      </c>
      <c r="E320" s="4" t="s">
        <v>34</v>
      </c>
      <c r="F320" s="4" t="s">
        <v>12</v>
      </c>
      <c r="G320" s="4">
        <v>17</v>
      </c>
      <c r="H320" s="4">
        <v>58407</v>
      </c>
      <c r="I320" s="4">
        <v>7</v>
      </c>
      <c r="J320" s="7">
        <v>46094</v>
      </c>
      <c r="K320" s="7">
        <v>46102</v>
      </c>
      <c r="L320" s="4" t="s">
        <v>78</v>
      </c>
      <c r="M320" s="4" t="str" cm="1">
        <f t="array" ref="M320">_xlfn.IFS(G320&gt;=15, "Bulk Order", G320&gt;=5, "Medium Order", G320&lt;5, "Normal Order")</f>
        <v>Bulk Order</v>
      </c>
    </row>
    <row r="321" spans="1:13" x14ac:dyDescent="0.3">
      <c r="A321" s="3"/>
      <c r="B321" s="9">
        <v>1320</v>
      </c>
      <c r="C321" s="9" t="s">
        <v>45</v>
      </c>
      <c r="D321" s="4" t="s">
        <v>38</v>
      </c>
      <c r="E321" s="4" t="s">
        <v>20</v>
      </c>
      <c r="F321" s="4" t="s">
        <v>36</v>
      </c>
      <c r="G321" s="4">
        <v>20</v>
      </c>
      <c r="H321" s="4">
        <v>55</v>
      </c>
      <c r="I321" s="4">
        <v>7</v>
      </c>
      <c r="J321" s="7">
        <v>46183</v>
      </c>
      <c r="K321" s="7">
        <v>46186</v>
      </c>
      <c r="L321" s="4" t="s">
        <v>79</v>
      </c>
      <c r="M321" s="4" t="str" cm="1">
        <f t="array" ref="M321">_xlfn.IFS(G321&gt;=15, "Bulk Order", G321&gt;=5, "Medium Order", G321&lt;5, "Normal Order")</f>
        <v>Bulk Order</v>
      </c>
    </row>
    <row r="322" spans="1:13" x14ac:dyDescent="0.3">
      <c r="A322" s="3"/>
      <c r="B322" s="9">
        <v>1321</v>
      </c>
      <c r="C322" s="9" t="s">
        <v>32</v>
      </c>
      <c r="D322" s="4" t="s">
        <v>26</v>
      </c>
      <c r="E322" s="4" t="s">
        <v>24</v>
      </c>
      <c r="F322" s="4" t="s">
        <v>7</v>
      </c>
      <c r="G322" s="4">
        <v>8</v>
      </c>
      <c r="H322" s="4">
        <v>5619</v>
      </c>
      <c r="I322" s="4">
        <v>7</v>
      </c>
      <c r="J322" s="7">
        <v>46107</v>
      </c>
      <c r="K322" s="7">
        <v>46109</v>
      </c>
      <c r="L322" s="4" t="s">
        <v>81</v>
      </c>
      <c r="M322" s="4" t="str" cm="1">
        <f t="array" ref="M322">_xlfn.IFS(G322&gt;=15, "Bulk Order", G322&gt;=5, "Medium Order", G322&lt;5, "Normal Order")</f>
        <v>Medium Order</v>
      </c>
    </row>
    <row r="323" spans="1:13" x14ac:dyDescent="0.3">
      <c r="A323" s="3"/>
      <c r="B323" s="9">
        <v>1322</v>
      </c>
      <c r="C323" s="9" t="s">
        <v>29</v>
      </c>
      <c r="D323" s="4" t="s">
        <v>19</v>
      </c>
      <c r="E323" s="4" t="s">
        <v>24</v>
      </c>
      <c r="F323" s="4" t="s">
        <v>10</v>
      </c>
      <c r="G323" s="4">
        <v>14</v>
      </c>
      <c r="H323" s="4">
        <v>9081</v>
      </c>
      <c r="I323" s="4">
        <v>15</v>
      </c>
      <c r="J323" s="7">
        <v>46141</v>
      </c>
      <c r="K323" s="7">
        <v>46146</v>
      </c>
      <c r="L323" s="4" t="s">
        <v>78</v>
      </c>
      <c r="M323" s="4" t="str" cm="1">
        <f t="array" ref="M323">_xlfn.IFS(G323&gt;=15, "Bulk Order", G323&gt;=5, "Medium Order", G323&lt;5, "Normal Order")</f>
        <v>Medium Order</v>
      </c>
    </row>
    <row r="324" spans="1:13" x14ac:dyDescent="0.3">
      <c r="A324" s="3"/>
      <c r="B324" s="9">
        <v>1323</v>
      </c>
      <c r="C324" s="9" t="s">
        <v>54</v>
      </c>
      <c r="D324" s="4" t="s">
        <v>38</v>
      </c>
      <c r="E324" s="4" t="s">
        <v>34</v>
      </c>
      <c r="F324" s="4" t="s">
        <v>12</v>
      </c>
      <c r="G324" s="4">
        <v>2</v>
      </c>
      <c r="H324" s="4">
        <v>32074</v>
      </c>
      <c r="I324" s="4">
        <v>10</v>
      </c>
      <c r="J324" s="7">
        <v>46073</v>
      </c>
      <c r="K324" s="7">
        <v>46078</v>
      </c>
      <c r="L324" s="4" t="s">
        <v>78</v>
      </c>
      <c r="M324" s="4" t="str" cm="1">
        <f t="array" ref="M324">_xlfn.IFS(G324&gt;=15, "Bulk Order", G324&gt;=5, "Medium Order", G324&lt;5, "Normal Order")</f>
        <v>Normal Order</v>
      </c>
    </row>
    <row r="325" spans="1:13" x14ac:dyDescent="0.3">
      <c r="A325" s="3"/>
      <c r="B325" s="9">
        <v>1324</v>
      </c>
      <c r="C325" s="9" t="s">
        <v>32</v>
      </c>
      <c r="D325" s="4" t="s">
        <v>26</v>
      </c>
      <c r="E325" s="4" t="s">
        <v>24</v>
      </c>
      <c r="F325" s="4" t="s">
        <v>7</v>
      </c>
      <c r="G325" s="4">
        <v>1</v>
      </c>
      <c r="H325" s="4">
        <v>4286</v>
      </c>
      <c r="I325" s="4">
        <v>15</v>
      </c>
      <c r="J325" s="7">
        <v>46053</v>
      </c>
      <c r="K325" s="7">
        <v>46056</v>
      </c>
      <c r="L325" s="4" t="s">
        <v>79</v>
      </c>
      <c r="M325" s="4" t="str" cm="1">
        <f t="array" ref="M325">_xlfn.IFS(G325&gt;=15, "Bulk Order", G325&gt;=5, "Medium Order", G325&lt;5, "Normal Order")</f>
        <v>Normal Order</v>
      </c>
    </row>
    <row r="326" spans="1:13" x14ac:dyDescent="0.3">
      <c r="A326" s="3"/>
      <c r="B326" s="9">
        <v>1325</v>
      </c>
      <c r="C326" s="9" t="s">
        <v>46</v>
      </c>
      <c r="D326" s="4" t="s">
        <v>42</v>
      </c>
      <c r="E326" s="4" t="s">
        <v>34</v>
      </c>
      <c r="F326" s="4" t="s">
        <v>5</v>
      </c>
      <c r="G326" s="4">
        <v>9</v>
      </c>
      <c r="H326" s="4">
        <v>58442</v>
      </c>
      <c r="I326" s="4">
        <v>12</v>
      </c>
      <c r="J326" s="7">
        <v>46076</v>
      </c>
      <c r="K326" s="7">
        <v>46085</v>
      </c>
      <c r="L326" s="4" t="s">
        <v>79</v>
      </c>
      <c r="M326" s="4" t="str" cm="1">
        <f t="array" ref="M326">_xlfn.IFS(G326&gt;=15, "Bulk Order", G326&gt;=5, "Medium Order", G326&lt;5, "Normal Order")</f>
        <v>Medium Order</v>
      </c>
    </row>
    <row r="327" spans="1:13" x14ac:dyDescent="0.3">
      <c r="A327" s="3"/>
      <c r="B327" s="9">
        <v>1326</v>
      </c>
      <c r="C327" s="9" t="s">
        <v>28</v>
      </c>
      <c r="D327" s="4" t="s">
        <v>23</v>
      </c>
      <c r="E327" s="4" t="s">
        <v>24</v>
      </c>
      <c r="F327" s="4" t="s">
        <v>43</v>
      </c>
      <c r="G327" s="4">
        <v>18</v>
      </c>
      <c r="H327" s="4">
        <v>1830</v>
      </c>
      <c r="I327" s="4">
        <v>10</v>
      </c>
      <c r="J327" s="7">
        <v>46165</v>
      </c>
      <c r="K327" s="7">
        <v>46172</v>
      </c>
      <c r="L327" s="4" t="s">
        <v>78</v>
      </c>
      <c r="M327" s="4" t="str" cm="1">
        <f t="array" ref="M327">_xlfn.IFS(G327&gt;=15, "Bulk Order", G327&gt;=5, "Medium Order", G327&lt;5, "Normal Order")</f>
        <v>Bulk Order</v>
      </c>
    </row>
    <row r="328" spans="1:13" x14ac:dyDescent="0.3">
      <c r="A328" s="3"/>
      <c r="B328" s="9">
        <v>1327</v>
      </c>
      <c r="C328" s="9" t="s">
        <v>46</v>
      </c>
      <c r="D328" s="4" t="s">
        <v>19</v>
      </c>
      <c r="E328" s="4" t="s">
        <v>20</v>
      </c>
      <c r="F328" s="4" t="s">
        <v>51</v>
      </c>
      <c r="G328" s="4">
        <v>15</v>
      </c>
      <c r="H328" s="4">
        <v>449</v>
      </c>
      <c r="I328" s="4">
        <v>5</v>
      </c>
      <c r="J328" s="7">
        <v>46152</v>
      </c>
      <c r="K328" s="7">
        <v>46153</v>
      </c>
      <c r="L328" s="4" t="s">
        <v>78</v>
      </c>
      <c r="M328" s="4" t="str" cm="1">
        <f t="array" ref="M328">_xlfn.IFS(G328&gt;=15, "Bulk Order", G328&gt;=5, "Medium Order", G328&lt;5, "Normal Order")</f>
        <v>Bulk Order</v>
      </c>
    </row>
    <row r="329" spans="1:13" x14ac:dyDescent="0.3">
      <c r="A329" s="3"/>
      <c r="B329" s="9">
        <v>1328</v>
      </c>
      <c r="C329" s="9" t="s">
        <v>22</v>
      </c>
      <c r="D329" s="4" t="s">
        <v>38</v>
      </c>
      <c r="E329" s="4" t="s">
        <v>20</v>
      </c>
      <c r="F329" s="4" t="s">
        <v>36</v>
      </c>
      <c r="G329" s="4">
        <v>4</v>
      </c>
      <c r="H329" s="4">
        <v>132</v>
      </c>
      <c r="I329" s="4">
        <v>0</v>
      </c>
      <c r="J329" s="7">
        <v>46109</v>
      </c>
      <c r="K329" s="7">
        <v>46114</v>
      </c>
      <c r="L329" s="4" t="s">
        <v>49</v>
      </c>
      <c r="M329" s="4" t="str" cm="1">
        <f t="array" ref="M329">_xlfn.IFS(G329&gt;=15, "Bulk Order", G329&gt;=5, "Medium Order", G329&lt;5, "Normal Order")</f>
        <v>Normal Order</v>
      </c>
    </row>
    <row r="330" spans="1:13" x14ac:dyDescent="0.3">
      <c r="A330" s="3"/>
      <c r="B330" s="9">
        <v>1329</v>
      </c>
      <c r="C330" s="9" t="s">
        <v>30</v>
      </c>
      <c r="D330" s="4" t="s">
        <v>42</v>
      </c>
      <c r="E330" s="4" t="s">
        <v>20</v>
      </c>
      <c r="F330" s="4" t="s">
        <v>51</v>
      </c>
      <c r="G330" s="4">
        <v>18</v>
      </c>
      <c r="H330" s="4">
        <v>227</v>
      </c>
      <c r="I330" s="4">
        <v>5</v>
      </c>
      <c r="J330" s="7">
        <v>46126</v>
      </c>
      <c r="K330" s="7">
        <v>46136</v>
      </c>
      <c r="L330" s="4" t="s">
        <v>49</v>
      </c>
      <c r="M330" s="4" t="str" cm="1">
        <f t="array" ref="M330">_xlfn.IFS(G330&gt;=15, "Bulk Order", G330&gt;=5, "Medium Order", G330&lt;5, "Normal Order")</f>
        <v>Bulk Order</v>
      </c>
    </row>
    <row r="331" spans="1:13" x14ac:dyDescent="0.3">
      <c r="A331" s="3"/>
      <c r="B331" s="9">
        <v>1330</v>
      </c>
      <c r="C331" s="9" t="s">
        <v>47</v>
      </c>
      <c r="D331" s="4" t="s">
        <v>23</v>
      </c>
      <c r="E331" s="4" t="s">
        <v>24</v>
      </c>
      <c r="F331" s="4" t="s">
        <v>7</v>
      </c>
      <c r="G331" s="4">
        <v>13</v>
      </c>
      <c r="H331" s="4">
        <v>12071</v>
      </c>
      <c r="I331" s="4">
        <v>0</v>
      </c>
      <c r="J331" s="7">
        <v>46032</v>
      </c>
      <c r="K331" s="7">
        <v>46036</v>
      </c>
      <c r="L331" s="4" t="s">
        <v>81</v>
      </c>
      <c r="M331" s="4" t="str" cm="1">
        <f t="array" ref="M331">_xlfn.IFS(G331&gt;=15, "Bulk Order", G331&gt;=5, "Medium Order", G331&lt;5, "Normal Order")</f>
        <v>Medium Order</v>
      </c>
    </row>
    <row r="332" spans="1:13" x14ac:dyDescent="0.3">
      <c r="A332" s="3"/>
      <c r="B332" s="9">
        <v>1331</v>
      </c>
      <c r="C332" s="9" t="s">
        <v>25</v>
      </c>
      <c r="D332" s="4" t="s">
        <v>27</v>
      </c>
      <c r="E332" s="4" t="s">
        <v>34</v>
      </c>
      <c r="F332" s="4" t="s">
        <v>12</v>
      </c>
      <c r="G332" s="4">
        <v>2</v>
      </c>
      <c r="H332" s="4">
        <v>43557</v>
      </c>
      <c r="I332" s="4">
        <v>2</v>
      </c>
      <c r="J332" s="7">
        <v>46190</v>
      </c>
      <c r="K332" s="7">
        <v>46200</v>
      </c>
      <c r="L332" s="4" t="s">
        <v>78</v>
      </c>
      <c r="M332" s="4" t="str" cm="1">
        <f t="array" ref="M332">_xlfn.IFS(G332&gt;=15, "Bulk Order", G332&gt;=5, "Medium Order", G332&lt;5, "Normal Order")</f>
        <v>Normal Order</v>
      </c>
    </row>
    <row r="333" spans="1:13" x14ac:dyDescent="0.3">
      <c r="A333" s="3"/>
      <c r="B333" s="9">
        <v>1332</v>
      </c>
      <c r="C333" s="9" t="s">
        <v>49</v>
      </c>
      <c r="D333" s="4" t="s">
        <v>42</v>
      </c>
      <c r="E333" s="4" t="s">
        <v>20</v>
      </c>
      <c r="F333" s="4" t="s">
        <v>48</v>
      </c>
      <c r="G333" s="4">
        <v>7</v>
      </c>
      <c r="H333" s="4">
        <v>439</v>
      </c>
      <c r="I333" s="4">
        <v>2</v>
      </c>
      <c r="J333" s="7">
        <v>46154</v>
      </c>
      <c r="K333" s="7">
        <v>46157</v>
      </c>
      <c r="L333" s="4" t="s">
        <v>78</v>
      </c>
      <c r="M333" s="4" t="str" cm="1">
        <f t="array" ref="M333">_xlfn.IFS(G333&gt;=15, "Bulk Order", G333&gt;=5, "Medium Order", G333&lt;5, "Normal Order")</f>
        <v>Medium Order</v>
      </c>
    </row>
    <row r="334" spans="1:13" x14ac:dyDescent="0.3">
      <c r="A334" s="3"/>
      <c r="B334" s="9">
        <v>1333</v>
      </c>
      <c r="C334" s="9" t="s">
        <v>49</v>
      </c>
      <c r="D334" s="4" t="s">
        <v>38</v>
      </c>
      <c r="E334" s="4" t="s">
        <v>20</v>
      </c>
      <c r="F334" s="4" t="s">
        <v>51</v>
      </c>
      <c r="G334" s="4">
        <v>20</v>
      </c>
      <c r="H334" s="4">
        <v>416</v>
      </c>
      <c r="I334" s="4">
        <v>12</v>
      </c>
      <c r="J334" s="7">
        <v>46145</v>
      </c>
      <c r="K334" s="7">
        <v>46146</v>
      </c>
      <c r="L334" s="4" t="s">
        <v>81</v>
      </c>
      <c r="M334" s="4" t="str" cm="1">
        <f t="array" ref="M334">_xlfn.IFS(G334&gt;=15, "Bulk Order", G334&gt;=5, "Medium Order", G334&lt;5, "Normal Order")</f>
        <v>Bulk Order</v>
      </c>
    </row>
    <row r="335" spans="1:13" x14ac:dyDescent="0.3">
      <c r="A335" s="3"/>
      <c r="B335" s="9">
        <v>1334</v>
      </c>
      <c r="C335" s="9" t="s">
        <v>39</v>
      </c>
      <c r="D335" s="4" t="s">
        <v>19</v>
      </c>
      <c r="E335" s="4" t="s">
        <v>34</v>
      </c>
      <c r="F335" s="4" t="s">
        <v>40</v>
      </c>
      <c r="G335" s="4">
        <v>15</v>
      </c>
      <c r="H335" s="4">
        <v>39853</v>
      </c>
      <c r="I335" s="4">
        <v>7</v>
      </c>
      <c r="J335" s="7">
        <v>46038</v>
      </c>
      <c r="K335" s="7">
        <v>46047</v>
      </c>
      <c r="L335" s="4" t="s">
        <v>81</v>
      </c>
      <c r="M335" s="4" t="str" cm="1">
        <f t="array" ref="M335">_xlfn.IFS(G335&gt;=15, "Bulk Order", G335&gt;=5, "Medium Order", G335&lt;5, "Normal Order")</f>
        <v>Bulk Order</v>
      </c>
    </row>
    <row r="336" spans="1:13" x14ac:dyDescent="0.3">
      <c r="A336" s="3"/>
      <c r="B336" s="9">
        <v>1335</v>
      </c>
      <c r="C336" s="9" t="s">
        <v>45</v>
      </c>
      <c r="D336" s="4" t="s">
        <v>23</v>
      </c>
      <c r="E336" s="4" t="s">
        <v>24</v>
      </c>
      <c r="F336" s="4" t="s">
        <v>7</v>
      </c>
      <c r="G336" s="4">
        <v>9</v>
      </c>
      <c r="H336" s="4">
        <v>1495</v>
      </c>
      <c r="I336" s="4">
        <v>12</v>
      </c>
      <c r="J336" s="7">
        <v>46168</v>
      </c>
      <c r="K336" s="7">
        <v>46173</v>
      </c>
      <c r="L336" s="4" t="s">
        <v>78</v>
      </c>
      <c r="M336" s="4" t="str" cm="1">
        <f t="array" ref="M336">_xlfn.IFS(G336&gt;=15, "Bulk Order", G336&gt;=5, "Medium Order", G336&lt;5, "Normal Order")</f>
        <v>Medium Order</v>
      </c>
    </row>
    <row r="337" spans="1:13" x14ac:dyDescent="0.3">
      <c r="A337" s="3"/>
      <c r="B337" s="9">
        <v>1336</v>
      </c>
      <c r="C337" s="9" t="s">
        <v>22</v>
      </c>
      <c r="D337" s="4" t="s">
        <v>27</v>
      </c>
      <c r="E337" s="4" t="s">
        <v>24</v>
      </c>
      <c r="F337" s="4" t="s">
        <v>11</v>
      </c>
      <c r="G337" s="4">
        <v>10</v>
      </c>
      <c r="H337" s="4">
        <v>5624</v>
      </c>
      <c r="I337" s="4">
        <v>0</v>
      </c>
      <c r="J337" s="7">
        <v>46086</v>
      </c>
      <c r="K337" s="7">
        <v>46092</v>
      </c>
      <c r="L337" s="4" t="s">
        <v>49</v>
      </c>
      <c r="M337" s="4" t="str" cm="1">
        <f t="array" ref="M337">_xlfn.IFS(G337&gt;=15, "Bulk Order", G337&gt;=5, "Medium Order", G337&lt;5, "Normal Order")</f>
        <v>Medium Order</v>
      </c>
    </row>
    <row r="338" spans="1:13" x14ac:dyDescent="0.3">
      <c r="A338" s="3"/>
      <c r="B338" s="9">
        <v>1337</v>
      </c>
      <c r="C338" s="9" t="s">
        <v>22</v>
      </c>
      <c r="D338" s="4" t="s">
        <v>19</v>
      </c>
      <c r="E338" s="4" t="s">
        <v>20</v>
      </c>
      <c r="F338" s="4" t="s">
        <v>51</v>
      </c>
      <c r="G338" s="4">
        <v>14</v>
      </c>
      <c r="H338" s="4">
        <v>373</v>
      </c>
      <c r="I338" s="4">
        <v>10</v>
      </c>
      <c r="J338" s="7">
        <v>46074</v>
      </c>
      <c r="K338" s="7">
        <v>46080</v>
      </c>
      <c r="L338" s="4" t="s">
        <v>49</v>
      </c>
      <c r="M338" s="4" t="str" cm="1">
        <f t="array" ref="M338">_xlfn.IFS(G338&gt;=15, "Bulk Order", G338&gt;=5, "Medium Order", G338&lt;5, "Normal Order")</f>
        <v>Medium Order</v>
      </c>
    </row>
    <row r="339" spans="1:13" x14ac:dyDescent="0.3">
      <c r="A339" s="3"/>
      <c r="B339" s="9">
        <v>1338</v>
      </c>
      <c r="C339" s="9" t="s">
        <v>56</v>
      </c>
      <c r="D339" s="4" t="s">
        <v>27</v>
      </c>
      <c r="E339" s="4" t="s">
        <v>34</v>
      </c>
      <c r="F339" s="4" t="s">
        <v>9</v>
      </c>
      <c r="G339" s="4">
        <v>10</v>
      </c>
      <c r="H339" s="4">
        <v>16719</v>
      </c>
      <c r="I339" s="4">
        <v>5</v>
      </c>
      <c r="J339" s="7">
        <v>46177</v>
      </c>
      <c r="K339" s="7">
        <v>46179</v>
      </c>
      <c r="L339" s="4" t="s">
        <v>78</v>
      </c>
      <c r="M339" s="4" t="str" cm="1">
        <f t="array" ref="M339">_xlfn.IFS(G339&gt;=15, "Bulk Order", G339&gt;=5, "Medium Order", G339&lt;5, "Normal Order")</f>
        <v>Medium Order</v>
      </c>
    </row>
    <row r="340" spans="1:13" x14ac:dyDescent="0.3">
      <c r="A340" s="3"/>
      <c r="B340" s="9">
        <v>1339</v>
      </c>
      <c r="C340" s="9" t="s">
        <v>32</v>
      </c>
      <c r="D340" s="4" t="s">
        <v>27</v>
      </c>
      <c r="E340" s="4" t="s">
        <v>20</v>
      </c>
      <c r="F340" s="4" t="s">
        <v>21</v>
      </c>
      <c r="G340" s="4">
        <v>6</v>
      </c>
      <c r="H340" s="4">
        <v>302</v>
      </c>
      <c r="I340" s="4">
        <v>5</v>
      </c>
      <c r="J340" s="7">
        <v>46142</v>
      </c>
      <c r="K340" s="7">
        <v>46148</v>
      </c>
      <c r="L340" s="4" t="s">
        <v>79</v>
      </c>
      <c r="M340" s="4" t="str" cm="1">
        <f t="array" ref="M340">_xlfn.IFS(G340&gt;=15, "Bulk Order", G340&gt;=5, "Medium Order", G340&lt;5, "Normal Order")</f>
        <v>Medium Order</v>
      </c>
    </row>
    <row r="341" spans="1:13" x14ac:dyDescent="0.3">
      <c r="A341" s="3"/>
      <c r="B341" s="9">
        <v>1340</v>
      </c>
      <c r="C341" s="9" t="s">
        <v>46</v>
      </c>
      <c r="D341" s="4" t="s">
        <v>23</v>
      </c>
      <c r="E341" s="4" t="s">
        <v>24</v>
      </c>
      <c r="F341" s="4" t="s">
        <v>7</v>
      </c>
      <c r="G341" s="4">
        <v>12</v>
      </c>
      <c r="H341" s="4">
        <v>3857</v>
      </c>
      <c r="I341" s="4">
        <v>12</v>
      </c>
      <c r="J341" s="7">
        <v>46196</v>
      </c>
      <c r="K341" s="7">
        <v>46198</v>
      </c>
      <c r="L341" s="4" t="s">
        <v>81</v>
      </c>
      <c r="M341" s="4" t="str" cm="1">
        <f t="array" ref="M341">_xlfn.IFS(G341&gt;=15, "Bulk Order", G341&gt;=5, "Medium Order", G341&lt;5, "Normal Order")</f>
        <v>Medium Order</v>
      </c>
    </row>
    <row r="342" spans="1:13" x14ac:dyDescent="0.3">
      <c r="A342" s="3"/>
      <c r="B342" s="9">
        <v>1341</v>
      </c>
      <c r="C342" s="9" t="s">
        <v>54</v>
      </c>
      <c r="D342" s="4" t="s">
        <v>38</v>
      </c>
      <c r="E342" s="4" t="s">
        <v>24</v>
      </c>
      <c r="F342" s="4" t="s">
        <v>7</v>
      </c>
      <c r="G342" s="4">
        <v>19</v>
      </c>
      <c r="H342" s="4">
        <v>6488</v>
      </c>
      <c r="I342" s="4">
        <v>15</v>
      </c>
      <c r="J342" s="7">
        <v>46026</v>
      </c>
      <c r="K342" s="7">
        <v>46030</v>
      </c>
      <c r="L342" s="4" t="s">
        <v>79</v>
      </c>
      <c r="M342" s="4" t="str" cm="1">
        <f t="array" ref="M342">_xlfn.IFS(G342&gt;=15, "Bulk Order", G342&gt;=5, "Medium Order", G342&lt;5, "Normal Order")</f>
        <v>Bulk Order</v>
      </c>
    </row>
    <row r="343" spans="1:13" x14ac:dyDescent="0.3">
      <c r="A343" s="3"/>
      <c r="B343" s="9">
        <v>1342</v>
      </c>
      <c r="C343" s="9" t="s">
        <v>56</v>
      </c>
      <c r="D343" s="4" t="s">
        <v>31</v>
      </c>
      <c r="E343" s="4" t="s">
        <v>34</v>
      </c>
      <c r="F343" s="4" t="s">
        <v>35</v>
      </c>
      <c r="G343" s="4">
        <v>13</v>
      </c>
      <c r="H343" s="4">
        <v>47881</v>
      </c>
      <c r="I343" s="4">
        <v>15</v>
      </c>
      <c r="J343" s="7">
        <v>46132</v>
      </c>
      <c r="K343" s="7">
        <v>46139</v>
      </c>
      <c r="L343" s="4" t="s">
        <v>49</v>
      </c>
      <c r="M343" s="4" t="str" cm="1">
        <f t="array" ref="M343">_xlfn.IFS(G343&gt;=15, "Bulk Order", G343&gt;=5, "Medium Order", G343&lt;5, "Normal Order")</f>
        <v>Medium Order</v>
      </c>
    </row>
    <row r="344" spans="1:13" x14ac:dyDescent="0.3">
      <c r="A344" s="3"/>
      <c r="B344" s="9">
        <v>1343</v>
      </c>
      <c r="C344" s="9" t="s">
        <v>56</v>
      </c>
      <c r="D344" s="4" t="s">
        <v>31</v>
      </c>
      <c r="E344" s="4" t="s">
        <v>34</v>
      </c>
      <c r="F344" s="4" t="s">
        <v>5</v>
      </c>
      <c r="G344" s="4">
        <v>14</v>
      </c>
      <c r="H344" s="4">
        <v>32719</v>
      </c>
      <c r="I344" s="4">
        <v>15</v>
      </c>
      <c r="J344" s="7">
        <v>46174</v>
      </c>
      <c r="K344" s="7">
        <v>46179</v>
      </c>
      <c r="L344" s="4" t="s">
        <v>78</v>
      </c>
      <c r="M344" s="4" t="str" cm="1">
        <f t="array" ref="M344">_xlfn.IFS(G344&gt;=15, "Bulk Order", G344&gt;=5, "Medium Order", G344&lt;5, "Normal Order")</f>
        <v>Medium Order</v>
      </c>
    </row>
    <row r="345" spans="1:13" x14ac:dyDescent="0.3">
      <c r="A345" s="3"/>
      <c r="B345" s="9">
        <v>1344</v>
      </c>
      <c r="C345" s="9" t="s">
        <v>30</v>
      </c>
      <c r="D345" s="4" t="s">
        <v>23</v>
      </c>
      <c r="E345" s="4" t="s">
        <v>20</v>
      </c>
      <c r="F345" s="4" t="s">
        <v>51</v>
      </c>
      <c r="G345" s="4">
        <v>18</v>
      </c>
      <c r="H345" s="4">
        <v>240</v>
      </c>
      <c r="I345" s="4">
        <v>10</v>
      </c>
      <c r="J345" s="7">
        <v>46155</v>
      </c>
      <c r="K345" s="7">
        <v>46156</v>
      </c>
      <c r="L345" s="4" t="s">
        <v>80</v>
      </c>
      <c r="M345" s="4" t="str" cm="1">
        <f t="array" ref="M345">_xlfn.IFS(G345&gt;=15, "Bulk Order", G345&gt;=5, "Medium Order", G345&lt;5, "Normal Order")</f>
        <v>Bulk Order</v>
      </c>
    </row>
    <row r="346" spans="1:13" x14ac:dyDescent="0.3">
      <c r="A346" s="3"/>
      <c r="B346" s="9">
        <v>1345</v>
      </c>
      <c r="C346" s="9" t="s">
        <v>32</v>
      </c>
      <c r="D346" s="4" t="s">
        <v>19</v>
      </c>
      <c r="E346" s="4" t="s">
        <v>34</v>
      </c>
      <c r="F346" s="4" t="s">
        <v>6</v>
      </c>
      <c r="G346" s="4">
        <v>12</v>
      </c>
      <c r="H346" s="4">
        <v>50544</v>
      </c>
      <c r="I346" s="4">
        <v>10</v>
      </c>
      <c r="J346" s="7">
        <v>46095</v>
      </c>
      <c r="K346" s="7">
        <v>46097</v>
      </c>
      <c r="L346" s="4" t="s">
        <v>49</v>
      </c>
      <c r="M346" s="4" t="str" cm="1">
        <f t="array" ref="M346">_xlfn.IFS(G346&gt;=15, "Bulk Order", G346&gt;=5, "Medium Order", G346&lt;5, "Normal Order")</f>
        <v>Medium Order</v>
      </c>
    </row>
    <row r="347" spans="1:13" x14ac:dyDescent="0.3">
      <c r="A347" s="3"/>
      <c r="B347" s="9">
        <v>1346</v>
      </c>
      <c r="C347" s="9" t="s">
        <v>32</v>
      </c>
      <c r="D347" s="4" t="s">
        <v>26</v>
      </c>
      <c r="E347" s="4" t="s">
        <v>24</v>
      </c>
      <c r="F347" s="4" t="s">
        <v>7</v>
      </c>
      <c r="G347" s="4">
        <v>16</v>
      </c>
      <c r="H347" s="4">
        <v>6910</v>
      </c>
      <c r="I347" s="4">
        <v>15</v>
      </c>
      <c r="J347" s="7">
        <v>46140</v>
      </c>
      <c r="K347" s="7">
        <v>46142</v>
      </c>
      <c r="L347" s="4" t="s">
        <v>49</v>
      </c>
      <c r="M347" s="4" t="str" cm="1">
        <f t="array" ref="M347">_xlfn.IFS(G347&gt;=15, "Bulk Order", G347&gt;=5, "Medium Order", G347&lt;5, "Normal Order")</f>
        <v>Bulk Order</v>
      </c>
    </row>
    <row r="348" spans="1:13" x14ac:dyDescent="0.3">
      <c r="A348" s="3"/>
      <c r="B348" s="9">
        <v>1347</v>
      </c>
      <c r="C348" s="9" t="s">
        <v>49</v>
      </c>
      <c r="D348" s="4" t="s">
        <v>26</v>
      </c>
      <c r="E348" s="4" t="s">
        <v>34</v>
      </c>
      <c r="F348" s="4" t="s">
        <v>35</v>
      </c>
      <c r="G348" s="4">
        <v>16</v>
      </c>
      <c r="H348" s="4">
        <v>6034</v>
      </c>
      <c r="I348" s="4">
        <v>15</v>
      </c>
      <c r="J348" s="7">
        <v>46037</v>
      </c>
      <c r="K348" s="7">
        <v>46044</v>
      </c>
      <c r="L348" s="4" t="s">
        <v>80</v>
      </c>
      <c r="M348" s="4" t="str" cm="1">
        <f t="array" ref="M348">_xlfn.IFS(G348&gt;=15, "Bulk Order", G348&gt;=5, "Medium Order", G348&lt;5, "Normal Order")</f>
        <v>Bulk Order</v>
      </c>
    </row>
    <row r="349" spans="1:13" x14ac:dyDescent="0.3">
      <c r="A349" s="3"/>
      <c r="B349" s="9">
        <v>1348</v>
      </c>
      <c r="C349" s="9" t="s">
        <v>18</v>
      </c>
      <c r="D349" s="4" t="s">
        <v>33</v>
      </c>
      <c r="E349" s="4" t="s">
        <v>20</v>
      </c>
      <c r="F349" s="4" t="s">
        <v>48</v>
      </c>
      <c r="G349" s="4">
        <v>12</v>
      </c>
      <c r="H349" s="4">
        <v>244</v>
      </c>
      <c r="I349" s="4">
        <v>7</v>
      </c>
      <c r="J349" s="7">
        <v>46048</v>
      </c>
      <c r="K349" s="7">
        <v>46053</v>
      </c>
      <c r="L349" s="4" t="s">
        <v>78</v>
      </c>
      <c r="M349" s="4" t="str" cm="1">
        <f t="array" ref="M349">_xlfn.IFS(G349&gt;=15, "Bulk Order", G349&gt;=5, "Medium Order", G349&lt;5, "Normal Order")</f>
        <v>Medium Order</v>
      </c>
    </row>
    <row r="350" spans="1:13" x14ac:dyDescent="0.3">
      <c r="A350" s="3"/>
      <c r="B350" s="9">
        <v>1349</v>
      </c>
      <c r="C350" s="9" t="s">
        <v>39</v>
      </c>
      <c r="D350" s="4" t="s">
        <v>33</v>
      </c>
      <c r="E350" s="4" t="s">
        <v>34</v>
      </c>
      <c r="F350" s="4" t="s">
        <v>35</v>
      </c>
      <c r="G350" s="4">
        <v>20</v>
      </c>
      <c r="H350" s="4">
        <v>62721</v>
      </c>
      <c r="I350" s="4">
        <v>7</v>
      </c>
      <c r="J350" s="7">
        <v>46079</v>
      </c>
      <c r="K350" s="7">
        <v>46083</v>
      </c>
      <c r="L350" s="4" t="s">
        <v>79</v>
      </c>
      <c r="M350" s="4" t="str" cm="1">
        <f t="array" ref="M350">_xlfn.IFS(G350&gt;=15, "Bulk Order", G350&gt;=5, "Medium Order", G350&lt;5, "Normal Order")</f>
        <v>Bulk Order</v>
      </c>
    </row>
    <row r="351" spans="1:13" x14ac:dyDescent="0.3">
      <c r="A351" s="3"/>
      <c r="B351" s="9">
        <v>1350</v>
      </c>
      <c r="C351" s="9" t="s">
        <v>28</v>
      </c>
      <c r="D351" s="4" t="s">
        <v>42</v>
      </c>
      <c r="E351" s="4" t="s">
        <v>24</v>
      </c>
      <c r="F351" s="4" t="s">
        <v>8</v>
      </c>
      <c r="G351" s="4">
        <v>16</v>
      </c>
      <c r="H351" s="4">
        <v>11790</v>
      </c>
      <c r="I351" s="4">
        <v>12</v>
      </c>
      <c r="J351" s="7">
        <v>46185</v>
      </c>
      <c r="K351" s="7">
        <v>46190</v>
      </c>
      <c r="L351" s="4" t="s">
        <v>49</v>
      </c>
      <c r="M351" s="4" t="str" cm="1">
        <f t="array" ref="M351">_xlfn.IFS(G351&gt;=15, "Bulk Order", G351&gt;=5, "Medium Order", G351&lt;5, "Normal Order")</f>
        <v>Bulk Order</v>
      </c>
    </row>
    <row r="352" spans="1:13" x14ac:dyDescent="0.3">
      <c r="A352" s="3"/>
      <c r="B352" s="9">
        <v>1351</v>
      </c>
      <c r="C352" s="9" t="s">
        <v>41</v>
      </c>
      <c r="D352" s="4" t="s">
        <v>33</v>
      </c>
      <c r="E352" s="4" t="s">
        <v>34</v>
      </c>
      <c r="F352" s="4" t="s">
        <v>6</v>
      </c>
      <c r="G352" s="4">
        <v>12</v>
      </c>
      <c r="H352" s="4">
        <v>1272</v>
      </c>
      <c r="I352" s="4">
        <v>0</v>
      </c>
      <c r="J352" s="7">
        <v>46026</v>
      </c>
      <c r="K352" s="7">
        <v>46029</v>
      </c>
      <c r="L352" s="4" t="s">
        <v>78</v>
      </c>
      <c r="M352" s="4" t="str" cm="1">
        <f t="array" ref="M352">_xlfn.IFS(G352&gt;=15, "Bulk Order", G352&gt;=5, "Medium Order", G352&lt;5, "Normal Order")</f>
        <v>Medium Order</v>
      </c>
    </row>
    <row r="353" spans="1:13" x14ac:dyDescent="0.3">
      <c r="A353" s="3"/>
      <c r="B353" s="9">
        <v>1352</v>
      </c>
      <c r="C353" s="9" t="s">
        <v>52</v>
      </c>
      <c r="D353" s="4" t="s">
        <v>26</v>
      </c>
      <c r="E353" s="4" t="s">
        <v>20</v>
      </c>
      <c r="F353" s="4" t="s">
        <v>21</v>
      </c>
      <c r="G353" s="4">
        <v>12</v>
      </c>
      <c r="H353" s="4">
        <v>203</v>
      </c>
      <c r="I353" s="4">
        <v>5</v>
      </c>
      <c r="J353" s="7">
        <v>46024</v>
      </c>
      <c r="K353" s="7">
        <v>46033</v>
      </c>
      <c r="L353" s="4" t="s">
        <v>78</v>
      </c>
      <c r="M353" s="4" t="str" cm="1">
        <f t="array" ref="M353">_xlfn.IFS(G353&gt;=15, "Bulk Order", G353&gt;=5, "Medium Order", G353&lt;5, "Normal Order")</f>
        <v>Medium Order</v>
      </c>
    </row>
    <row r="354" spans="1:13" x14ac:dyDescent="0.3">
      <c r="A354" s="3"/>
      <c r="B354" s="9">
        <v>1353</v>
      </c>
      <c r="C354" s="9" t="s">
        <v>45</v>
      </c>
      <c r="D354" s="4" t="s">
        <v>42</v>
      </c>
      <c r="E354" s="4" t="s">
        <v>20</v>
      </c>
      <c r="F354" s="4" t="s">
        <v>21</v>
      </c>
      <c r="G354" s="4">
        <v>6</v>
      </c>
      <c r="H354" s="4">
        <v>495</v>
      </c>
      <c r="I354" s="4">
        <v>2</v>
      </c>
      <c r="J354" s="7">
        <v>46194</v>
      </c>
      <c r="K354" s="7">
        <v>46200</v>
      </c>
      <c r="L354" s="4" t="s">
        <v>80</v>
      </c>
      <c r="M354" s="4" t="str" cm="1">
        <f t="array" ref="M354">_xlfn.IFS(G354&gt;=15, "Bulk Order", G354&gt;=5, "Medium Order", G354&lt;5, "Normal Order")</f>
        <v>Medium Order</v>
      </c>
    </row>
    <row r="355" spans="1:13" x14ac:dyDescent="0.3">
      <c r="A355" s="3"/>
      <c r="B355" s="9">
        <v>1354</v>
      </c>
      <c r="C355" s="9" t="s">
        <v>45</v>
      </c>
      <c r="D355" s="4" t="s">
        <v>42</v>
      </c>
      <c r="E355" s="4" t="s">
        <v>34</v>
      </c>
      <c r="F355" s="4" t="s">
        <v>35</v>
      </c>
      <c r="G355" s="4">
        <v>15</v>
      </c>
      <c r="H355" s="4">
        <v>14927</v>
      </c>
      <c r="I355" s="4">
        <v>15</v>
      </c>
      <c r="J355" s="7">
        <v>46118</v>
      </c>
      <c r="K355" s="7">
        <v>46120</v>
      </c>
      <c r="L355" s="4" t="s">
        <v>81</v>
      </c>
      <c r="M355" s="4" t="str" cm="1">
        <f t="array" ref="M355">_xlfn.IFS(G355&gt;=15, "Bulk Order", G355&gt;=5, "Medium Order", G355&lt;5, "Normal Order")</f>
        <v>Bulk Order</v>
      </c>
    </row>
    <row r="356" spans="1:13" x14ac:dyDescent="0.3">
      <c r="A356" s="3"/>
      <c r="B356" s="9">
        <v>1355</v>
      </c>
      <c r="C356" s="9" t="s">
        <v>29</v>
      </c>
      <c r="D356" s="4" t="s">
        <v>19</v>
      </c>
      <c r="E356" s="4" t="s">
        <v>34</v>
      </c>
      <c r="F356" s="4" t="s">
        <v>9</v>
      </c>
      <c r="G356" s="4">
        <v>18</v>
      </c>
      <c r="H356" s="4">
        <v>35997</v>
      </c>
      <c r="I356" s="4">
        <v>2</v>
      </c>
      <c r="J356" s="7">
        <v>46024</v>
      </c>
      <c r="K356" s="7">
        <v>46031</v>
      </c>
      <c r="L356" s="4" t="s">
        <v>81</v>
      </c>
      <c r="M356" s="4" t="str" cm="1">
        <f t="array" ref="M356">_xlfn.IFS(G356&gt;=15, "Bulk Order", G356&gt;=5, "Medium Order", G356&lt;5, "Normal Order")</f>
        <v>Bulk Order</v>
      </c>
    </row>
    <row r="357" spans="1:13" x14ac:dyDescent="0.3">
      <c r="A357" s="3"/>
      <c r="B357" s="9">
        <v>1356</v>
      </c>
      <c r="C357" s="9" t="s">
        <v>28</v>
      </c>
      <c r="D357" s="4" t="s">
        <v>38</v>
      </c>
      <c r="E357" s="4" t="s">
        <v>34</v>
      </c>
      <c r="F357" s="4" t="s">
        <v>9</v>
      </c>
      <c r="G357" s="4">
        <v>16</v>
      </c>
      <c r="H357" s="4">
        <v>53457</v>
      </c>
      <c r="I357" s="4">
        <v>10</v>
      </c>
      <c r="J357" s="7">
        <v>46201</v>
      </c>
      <c r="K357" s="7">
        <v>46204</v>
      </c>
      <c r="L357" s="4" t="s">
        <v>78</v>
      </c>
      <c r="M357" s="4" t="str" cm="1">
        <f t="array" ref="M357">_xlfn.IFS(G357&gt;=15, "Bulk Order", G357&gt;=5, "Medium Order", G357&lt;5, "Normal Order")</f>
        <v>Bulk Order</v>
      </c>
    </row>
    <row r="358" spans="1:13" x14ac:dyDescent="0.3">
      <c r="A358" s="3"/>
      <c r="B358" s="9">
        <v>1357</v>
      </c>
      <c r="C358" s="9" t="s">
        <v>56</v>
      </c>
      <c r="D358" s="4" t="s">
        <v>27</v>
      </c>
      <c r="E358" s="4" t="s">
        <v>20</v>
      </c>
      <c r="F358" s="4" t="s">
        <v>37</v>
      </c>
      <c r="G358" s="4">
        <v>6</v>
      </c>
      <c r="H358" s="4">
        <v>365</v>
      </c>
      <c r="I358" s="4">
        <v>7</v>
      </c>
      <c r="J358" s="7">
        <v>46133</v>
      </c>
      <c r="K358" s="7">
        <v>46140</v>
      </c>
      <c r="L358" s="4" t="s">
        <v>81</v>
      </c>
      <c r="M358" s="4" t="str" cm="1">
        <f t="array" ref="M358">_xlfn.IFS(G358&gt;=15, "Bulk Order", G358&gt;=5, "Medium Order", G358&lt;5, "Normal Order")</f>
        <v>Medium Order</v>
      </c>
    </row>
    <row r="359" spans="1:13" x14ac:dyDescent="0.3">
      <c r="A359" s="3"/>
      <c r="B359" s="9">
        <v>1358</v>
      </c>
      <c r="C359" s="9" t="s">
        <v>39</v>
      </c>
      <c r="D359" s="4" t="s">
        <v>38</v>
      </c>
      <c r="E359" s="4" t="s">
        <v>24</v>
      </c>
      <c r="F359" s="4" t="s">
        <v>7</v>
      </c>
      <c r="G359" s="4">
        <v>7</v>
      </c>
      <c r="H359" s="4">
        <v>6618</v>
      </c>
      <c r="I359" s="4">
        <v>0</v>
      </c>
      <c r="J359" s="7">
        <v>46127</v>
      </c>
      <c r="K359" s="7">
        <v>46129</v>
      </c>
      <c r="L359" s="4" t="s">
        <v>79</v>
      </c>
      <c r="M359" s="4" t="str" cm="1">
        <f t="array" ref="M359">_xlfn.IFS(G359&gt;=15, "Bulk Order", G359&gt;=5, "Medium Order", G359&lt;5, "Normal Order")</f>
        <v>Medium Order</v>
      </c>
    </row>
    <row r="360" spans="1:13" x14ac:dyDescent="0.3">
      <c r="A360" s="3"/>
      <c r="B360" s="9">
        <v>1359</v>
      </c>
      <c r="C360" s="9" t="s">
        <v>52</v>
      </c>
      <c r="D360" s="4" t="s">
        <v>19</v>
      </c>
      <c r="E360" s="4" t="s">
        <v>34</v>
      </c>
      <c r="F360" s="4" t="s">
        <v>12</v>
      </c>
      <c r="G360" s="4">
        <v>9</v>
      </c>
      <c r="H360" s="4">
        <v>38179</v>
      </c>
      <c r="I360" s="4">
        <v>0</v>
      </c>
      <c r="J360" s="7">
        <v>46096</v>
      </c>
      <c r="K360" s="7">
        <v>46099</v>
      </c>
      <c r="L360" s="4" t="s">
        <v>78</v>
      </c>
      <c r="M360" s="4" t="str" cm="1">
        <f t="array" ref="M360">_xlfn.IFS(G360&gt;=15, "Bulk Order", G360&gt;=5, "Medium Order", G360&lt;5, "Normal Order")</f>
        <v>Medium Order</v>
      </c>
    </row>
    <row r="361" spans="1:13" x14ac:dyDescent="0.3">
      <c r="A361" s="3"/>
      <c r="B361" s="9">
        <v>1360</v>
      </c>
      <c r="C361" s="9" t="s">
        <v>18</v>
      </c>
      <c r="D361" s="4" t="s">
        <v>42</v>
      </c>
      <c r="E361" s="4" t="s">
        <v>24</v>
      </c>
      <c r="F361" s="4" t="s">
        <v>10</v>
      </c>
      <c r="G361" s="4">
        <v>19</v>
      </c>
      <c r="H361" s="4">
        <v>6681</v>
      </c>
      <c r="I361" s="4">
        <v>2</v>
      </c>
      <c r="J361" s="7">
        <v>46146</v>
      </c>
      <c r="K361" s="7">
        <v>46150</v>
      </c>
      <c r="L361" s="4" t="s">
        <v>78</v>
      </c>
      <c r="M361" s="4" t="str" cm="1">
        <f t="array" ref="M361">_xlfn.IFS(G361&gt;=15, "Bulk Order", G361&gt;=5, "Medium Order", G361&lt;5, "Normal Order")</f>
        <v>Bulk Order</v>
      </c>
    </row>
    <row r="362" spans="1:13" x14ac:dyDescent="0.3">
      <c r="A362" s="3"/>
      <c r="B362" s="9">
        <v>1361</v>
      </c>
      <c r="C362" s="9" t="s">
        <v>41</v>
      </c>
      <c r="D362" s="4" t="s">
        <v>23</v>
      </c>
      <c r="E362" s="4" t="s">
        <v>24</v>
      </c>
      <c r="F362" s="4" t="s">
        <v>10</v>
      </c>
      <c r="G362" s="4">
        <v>2</v>
      </c>
      <c r="H362" s="4">
        <v>1822</v>
      </c>
      <c r="I362" s="4">
        <v>5</v>
      </c>
      <c r="J362" s="7">
        <v>46141</v>
      </c>
      <c r="K362" s="7">
        <v>46145</v>
      </c>
      <c r="L362" s="4" t="s">
        <v>79</v>
      </c>
      <c r="M362" s="4" t="str" cm="1">
        <f t="array" ref="M362">_xlfn.IFS(G362&gt;=15, "Bulk Order", G362&gt;=5, "Medium Order", G362&lt;5, "Normal Order")</f>
        <v>Normal Order</v>
      </c>
    </row>
    <row r="363" spans="1:13" x14ac:dyDescent="0.3">
      <c r="A363" s="3"/>
      <c r="B363" s="9">
        <v>1362</v>
      </c>
      <c r="C363" s="9" t="s">
        <v>22</v>
      </c>
      <c r="D363" s="4" t="s">
        <v>19</v>
      </c>
      <c r="E363" s="4" t="s">
        <v>24</v>
      </c>
      <c r="F363" s="4" t="s">
        <v>8</v>
      </c>
      <c r="G363" s="4">
        <v>1</v>
      </c>
      <c r="H363" s="4">
        <v>10474</v>
      </c>
      <c r="I363" s="4">
        <v>0</v>
      </c>
      <c r="J363" s="7">
        <v>46094</v>
      </c>
      <c r="K363" s="7">
        <v>46096</v>
      </c>
      <c r="L363" s="4" t="s">
        <v>49</v>
      </c>
      <c r="M363" s="4" t="str" cm="1">
        <f t="array" ref="M363">_xlfn.IFS(G363&gt;=15, "Bulk Order", G363&gt;=5, "Medium Order", G363&lt;5, "Normal Order")</f>
        <v>Normal Order</v>
      </c>
    </row>
    <row r="364" spans="1:13" x14ac:dyDescent="0.3">
      <c r="A364" s="3"/>
      <c r="B364" s="9">
        <v>1363</v>
      </c>
      <c r="C364" s="9" t="s">
        <v>29</v>
      </c>
      <c r="D364" s="4" t="s">
        <v>27</v>
      </c>
      <c r="E364" s="4" t="s">
        <v>34</v>
      </c>
      <c r="F364" s="4" t="s">
        <v>35</v>
      </c>
      <c r="G364" s="4">
        <v>7</v>
      </c>
      <c r="H364" s="4">
        <v>45381</v>
      </c>
      <c r="I364" s="4">
        <v>0</v>
      </c>
      <c r="J364" s="7">
        <v>46122</v>
      </c>
      <c r="K364" s="7">
        <v>46128</v>
      </c>
      <c r="L364" s="4" t="s">
        <v>78</v>
      </c>
      <c r="M364" s="4" t="str" cm="1">
        <f t="array" ref="M364">_xlfn.IFS(G364&gt;=15, "Bulk Order", G364&gt;=5, "Medium Order", G364&lt;5, "Normal Order")</f>
        <v>Medium Order</v>
      </c>
    </row>
    <row r="365" spans="1:13" x14ac:dyDescent="0.3">
      <c r="A365" s="3"/>
      <c r="B365" s="9">
        <v>1364</v>
      </c>
      <c r="C365" s="9" t="s">
        <v>30</v>
      </c>
      <c r="D365" s="4" t="s">
        <v>26</v>
      </c>
      <c r="E365" s="4" t="s">
        <v>24</v>
      </c>
      <c r="F365" s="4" t="s">
        <v>11</v>
      </c>
      <c r="G365" s="4">
        <v>16</v>
      </c>
      <c r="H365" s="4">
        <v>1744</v>
      </c>
      <c r="I365" s="4">
        <v>15</v>
      </c>
      <c r="J365" s="7">
        <v>46031</v>
      </c>
      <c r="K365" s="7">
        <v>46033</v>
      </c>
      <c r="L365" s="4" t="s">
        <v>81</v>
      </c>
      <c r="M365" s="4" t="str" cm="1">
        <f t="array" ref="M365">_xlfn.IFS(G365&gt;=15, "Bulk Order", G365&gt;=5, "Medium Order", G365&lt;5, "Normal Order")</f>
        <v>Bulk Order</v>
      </c>
    </row>
    <row r="366" spans="1:13" x14ac:dyDescent="0.3">
      <c r="A366" s="3"/>
      <c r="B366" s="9">
        <v>1365</v>
      </c>
      <c r="C366" s="9" t="s">
        <v>44</v>
      </c>
      <c r="D366" s="4" t="s">
        <v>33</v>
      </c>
      <c r="E366" s="4" t="s">
        <v>20</v>
      </c>
      <c r="F366" s="4" t="s">
        <v>48</v>
      </c>
      <c r="G366" s="4">
        <v>17</v>
      </c>
      <c r="H366" s="4">
        <v>119</v>
      </c>
      <c r="I366" s="4">
        <v>7</v>
      </c>
      <c r="J366" s="7">
        <v>46070</v>
      </c>
      <c r="K366" s="7">
        <v>46072</v>
      </c>
      <c r="L366" s="4" t="s">
        <v>79</v>
      </c>
      <c r="M366" s="4" t="str" cm="1">
        <f t="array" ref="M366">_xlfn.IFS(G366&gt;=15, "Bulk Order", G366&gt;=5, "Medium Order", G366&lt;5, "Normal Order")</f>
        <v>Bulk Order</v>
      </c>
    </row>
    <row r="367" spans="1:13" x14ac:dyDescent="0.3">
      <c r="A367" s="3"/>
      <c r="B367" s="9">
        <v>1366</v>
      </c>
      <c r="C367" s="9" t="s">
        <v>28</v>
      </c>
      <c r="D367" s="4" t="s">
        <v>23</v>
      </c>
      <c r="E367" s="4" t="s">
        <v>34</v>
      </c>
      <c r="F367" s="4" t="s">
        <v>12</v>
      </c>
      <c r="G367" s="4">
        <v>20</v>
      </c>
      <c r="H367" s="4">
        <v>44312</v>
      </c>
      <c r="I367" s="4">
        <v>10</v>
      </c>
      <c r="J367" s="7">
        <v>46047</v>
      </c>
      <c r="K367" s="7">
        <v>46054</v>
      </c>
      <c r="L367" s="4" t="s">
        <v>49</v>
      </c>
      <c r="M367" s="4" t="str" cm="1">
        <f t="array" ref="M367">_xlfn.IFS(G367&gt;=15, "Bulk Order", G367&gt;=5, "Medium Order", G367&lt;5, "Normal Order")</f>
        <v>Bulk Order</v>
      </c>
    </row>
    <row r="368" spans="1:13" x14ac:dyDescent="0.3">
      <c r="A368" s="3"/>
      <c r="B368" s="9">
        <v>1367</v>
      </c>
      <c r="C368" s="9" t="s">
        <v>52</v>
      </c>
      <c r="D368" s="4" t="s">
        <v>27</v>
      </c>
      <c r="E368" s="4" t="s">
        <v>20</v>
      </c>
      <c r="F368" s="4" t="s">
        <v>51</v>
      </c>
      <c r="G368" s="4">
        <v>1</v>
      </c>
      <c r="H368" s="4">
        <v>371</v>
      </c>
      <c r="I368" s="4">
        <v>5</v>
      </c>
      <c r="J368" s="7">
        <v>46158</v>
      </c>
      <c r="K368" s="7">
        <v>46168</v>
      </c>
      <c r="L368" s="4" t="s">
        <v>49</v>
      </c>
      <c r="M368" s="4" t="str" cm="1">
        <f t="array" ref="M368">_xlfn.IFS(G368&gt;=15, "Bulk Order", G368&gt;=5, "Medium Order", G368&lt;5, "Normal Order")</f>
        <v>Normal Order</v>
      </c>
    </row>
    <row r="369" spans="1:13" x14ac:dyDescent="0.3">
      <c r="A369" s="3"/>
      <c r="B369" s="9">
        <v>1368</v>
      </c>
      <c r="C369" s="9" t="s">
        <v>53</v>
      </c>
      <c r="D369" s="4" t="s">
        <v>38</v>
      </c>
      <c r="E369" s="4" t="s">
        <v>20</v>
      </c>
      <c r="F369" s="4" t="s">
        <v>36</v>
      </c>
      <c r="G369" s="4">
        <v>9</v>
      </c>
      <c r="H369" s="4">
        <v>115</v>
      </c>
      <c r="I369" s="4">
        <v>0</v>
      </c>
      <c r="J369" s="7">
        <v>46036</v>
      </c>
      <c r="K369" s="7">
        <v>46045</v>
      </c>
      <c r="L369" s="4" t="s">
        <v>80</v>
      </c>
      <c r="M369" s="4" t="str" cm="1">
        <f t="array" ref="M369">_xlfn.IFS(G369&gt;=15, "Bulk Order", G369&gt;=5, "Medium Order", G369&lt;5, "Normal Order")</f>
        <v>Medium Order</v>
      </c>
    </row>
    <row r="370" spans="1:13" x14ac:dyDescent="0.3">
      <c r="A370" s="3"/>
      <c r="B370" s="9">
        <v>1369</v>
      </c>
      <c r="C370" s="9" t="s">
        <v>54</v>
      </c>
      <c r="D370" s="4" t="s">
        <v>27</v>
      </c>
      <c r="E370" s="4" t="s">
        <v>24</v>
      </c>
      <c r="F370" s="4" t="s">
        <v>7</v>
      </c>
      <c r="G370" s="4">
        <v>19</v>
      </c>
      <c r="H370" s="4">
        <v>5840</v>
      </c>
      <c r="I370" s="4">
        <v>5</v>
      </c>
      <c r="J370" s="7">
        <v>46062</v>
      </c>
      <c r="K370" s="7">
        <v>46067</v>
      </c>
      <c r="L370" s="4" t="s">
        <v>78</v>
      </c>
      <c r="M370" s="4" t="str" cm="1">
        <f t="array" ref="M370">_xlfn.IFS(G370&gt;=15, "Bulk Order", G370&gt;=5, "Medium Order", G370&lt;5, "Normal Order")</f>
        <v>Bulk Order</v>
      </c>
    </row>
    <row r="371" spans="1:13" x14ac:dyDescent="0.3">
      <c r="A371" s="3"/>
      <c r="B371" s="9">
        <v>1370</v>
      </c>
      <c r="C371" s="9" t="s">
        <v>56</v>
      </c>
      <c r="D371" s="4" t="s">
        <v>38</v>
      </c>
      <c r="E371" s="4" t="s">
        <v>20</v>
      </c>
      <c r="F371" s="4" t="s">
        <v>51</v>
      </c>
      <c r="G371" s="4">
        <v>13</v>
      </c>
      <c r="H371" s="4">
        <v>337</v>
      </c>
      <c r="I371" s="4">
        <v>7</v>
      </c>
      <c r="J371" s="7">
        <v>46184</v>
      </c>
      <c r="K371" s="7">
        <v>46188</v>
      </c>
      <c r="L371" s="4" t="s">
        <v>78</v>
      </c>
      <c r="M371" s="4" t="str" cm="1">
        <f t="array" ref="M371">_xlfn.IFS(G371&gt;=15, "Bulk Order", G371&gt;=5, "Medium Order", G371&lt;5, "Normal Order")</f>
        <v>Medium Order</v>
      </c>
    </row>
    <row r="372" spans="1:13" x14ac:dyDescent="0.3">
      <c r="A372" s="3"/>
      <c r="B372" s="9">
        <v>1371</v>
      </c>
      <c r="C372" s="9" t="s">
        <v>46</v>
      </c>
      <c r="D372" s="4" t="s">
        <v>38</v>
      </c>
      <c r="E372" s="4" t="s">
        <v>24</v>
      </c>
      <c r="F372" s="4" t="s">
        <v>7</v>
      </c>
      <c r="G372" s="4">
        <v>19</v>
      </c>
      <c r="H372" s="4">
        <v>1087</v>
      </c>
      <c r="I372" s="4">
        <v>15</v>
      </c>
      <c r="J372" s="7">
        <v>46072</v>
      </c>
      <c r="K372" s="7">
        <v>46082</v>
      </c>
      <c r="L372" s="4" t="s">
        <v>79</v>
      </c>
      <c r="M372" s="4" t="str" cm="1">
        <f t="array" ref="M372">_xlfn.IFS(G372&gt;=15, "Bulk Order", G372&gt;=5, "Medium Order", G372&lt;5, "Normal Order")</f>
        <v>Bulk Order</v>
      </c>
    </row>
    <row r="373" spans="1:13" x14ac:dyDescent="0.3">
      <c r="A373" s="3"/>
      <c r="B373" s="9">
        <v>1372</v>
      </c>
      <c r="C373" s="9" t="s">
        <v>46</v>
      </c>
      <c r="D373" s="4" t="s">
        <v>23</v>
      </c>
      <c r="E373" s="4" t="s">
        <v>34</v>
      </c>
      <c r="F373" s="4" t="s">
        <v>5</v>
      </c>
      <c r="G373" s="4">
        <v>9</v>
      </c>
      <c r="H373" s="4">
        <v>9551</v>
      </c>
      <c r="I373" s="4">
        <v>10</v>
      </c>
      <c r="J373" s="7">
        <v>46161</v>
      </c>
      <c r="K373" s="7">
        <v>46168</v>
      </c>
      <c r="L373" s="4" t="s">
        <v>78</v>
      </c>
      <c r="M373" s="4" t="str" cm="1">
        <f t="array" ref="M373">_xlfn.IFS(G373&gt;=15, "Bulk Order", G373&gt;=5, "Medium Order", G373&lt;5, "Normal Order")</f>
        <v>Medium Order</v>
      </c>
    </row>
    <row r="374" spans="1:13" x14ac:dyDescent="0.3">
      <c r="A374" s="3"/>
      <c r="B374" s="9">
        <v>1373</v>
      </c>
      <c r="C374" s="9" t="s">
        <v>52</v>
      </c>
      <c r="D374" s="4" t="s">
        <v>27</v>
      </c>
      <c r="E374" s="4" t="s">
        <v>34</v>
      </c>
      <c r="F374" s="4" t="s">
        <v>9</v>
      </c>
      <c r="G374" s="4">
        <v>11</v>
      </c>
      <c r="H374" s="4">
        <v>47930</v>
      </c>
      <c r="I374" s="4">
        <v>12</v>
      </c>
      <c r="J374" s="7">
        <v>46191</v>
      </c>
      <c r="K374" s="7">
        <v>46201</v>
      </c>
      <c r="L374" s="4" t="s">
        <v>79</v>
      </c>
      <c r="M374" s="4" t="str" cm="1">
        <f t="array" ref="M374">_xlfn.IFS(G374&gt;=15, "Bulk Order", G374&gt;=5, "Medium Order", G374&lt;5, "Normal Order")</f>
        <v>Medium Order</v>
      </c>
    </row>
    <row r="375" spans="1:13" x14ac:dyDescent="0.3">
      <c r="A375" s="3"/>
      <c r="B375" s="9">
        <v>1374</v>
      </c>
      <c r="C375" s="9" t="s">
        <v>54</v>
      </c>
      <c r="D375" s="4" t="s">
        <v>33</v>
      </c>
      <c r="E375" s="4" t="s">
        <v>34</v>
      </c>
      <c r="F375" s="4" t="s">
        <v>35</v>
      </c>
      <c r="G375" s="4">
        <v>12</v>
      </c>
      <c r="H375" s="4">
        <v>66052</v>
      </c>
      <c r="I375" s="4">
        <v>2</v>
      </c>
      <c r="J375" s="7">
        <v>46063</v>
      </c>
      <c r="K375" s="7">
        <v>46066</v>
      </c>
      <c r="L375" s="4" t="s">
        <v>81</v>
      </c>
      <c r="M375" s="4" t="str" cm="1">
        <f t="array" ref="M375">_xlfn.IFS(G375&gt;=15, "Bulk Order", G375&gt;=5, "Medium Order", G375&lt;5, "Normal Order")</f>
        <v>Medium Order</v>
      </c>
    </row>
    <row r="376" spans="1:13" x14ac:dyDescent="0.3">
      <c r="A376" s="3"/>
      <c r="B376" s="9">
        <v>1375</v>
      </c>
      <c r="C376" s="9" t="s">
        <v>44</v>
      </c>
      <c r="D376" s="4" t="s">
        <v>42</v>
      </c>
      <c r="E376" s="4" t="s">
        <v>34</v>
      </c>
      <c r="F376" s="4" t="s">
        <v>6</v>
      </c>
      <c r="G376" s="4">
        <v>20</v>
      </c>
      <c r="H376" s="4">
        <v>56766</v>
      </c>
      <c r="I376" s="4">
        <v>0</v>
      </c>
      <c r="J376" s="7">
        <v>46052</v>
      </c>
      <c r="K376" s="7">
        <v>46061</v>
      </c>
      <c r="L376" s="4" t="s">
        <v>80</v>
      </c>
      <c r="M376" s="4" t="str" cm="1">
        <f t="array" ref="M376">_xlfn.IFS(G376&gt;=15, "Bulk Order", G376&gt;=5, "Medium Order", G376&lt;5, "Normal Order")</f>
        <v>Bulk Order</v>
      </c>
    </row>
    <row r="377" spans="1:13" x14ac:dyDescent="0.3">
      <c r="A377" s="3"/>
      <c r="B377" s="9">
        <v>1376</v>
      </c>
      <c r="C377" s="9" t="s">
        <v>50</v>
      </c>
      <c r="D377" s="4" t="s">
        <v>31</v>
      </c>
      <c r="E377" s="4" t="s">
        <v>20</v>
      </c>
      <c r="F377" s="4" t="s">
        <v>48</v>
      </c>
      <c r="G377" s="4">
        <v>20</v>
      </c>
      <c r="H377" s="4">
        <v>429</v>
      </c>
      <c r="I377" s="4">
        <v>5</v>
      </c>
      <c r="J377" s="7">
        <v>46178</v>
      </c>
      <c r="K377" s="7">
        <v>46184</v>
      </c>
      <c r="L377" s="4" t="s">
        <v>79</v>
      </c>
      <c r="M377" s="4" t="str" cm="1">
        <f t="array" ref="M377">_xlfn.IFS(G377&gt;=15, "Bulk Order", G377&gt;=5, "Medium Order", G377&lt;5, "Normal Order")</f>
        <v>Bulk Order</v>
      </c>
    </row>
    <row r="378" spans="1:13" x14ac:dyDescent="0.3">
      <c r="A378" s="3"/>
      <c r="B378" s="9">
        <v>1377</v>
      </c>
      <c r="C378" s="9" t="s">
        <v>32</v>
      </c>
      <c r="D378" s="4" t="s">
        <v>38</v>
      </c>
      <c r="E378" s="4" t="s">
        <v>24</v>
      </c>
      <c r="F378" s="4" t="s">
        <v>7</v>
      </c>
      <c r="G378" s="4">
        <v>3</v>
      </c>
      <c r="H378" s="4">
        <v>5480</v>
      </c>
      <c r="I378" s="4">
        <v>12</v>
      </c>
      <c r="J378" s="7">
        <v>46105</v>
      </c>
      <c r="K378" s="7">
        <v>46111</v>
      </c>
      <c r="L378" s="4" t="s">
        <v>80</v>
      </c>
      <c r="M378" s="4" t="str" cm="1">
        <f t="array" ref="M378">_xlfn.IFS(G378&gt;=15, "Bulk Order", G378&gt;=5, "Medium Order", G378&lt;5, "Normal Order")</f>
        <v>Normal Order</v>
      </c>
    </row>
    <row r="379" spans="1:13" x14ac:dyDescent="0.3">
      <c r="A379" s="3"/>
      <c r="B379" s="9">
        <v>1378</v>
      </c>
      <c r="C379" s="9" t="s">
        <v>53</v>
      </c>
      <c r="D379" s="4" t="s">
        <v>26</v>
      </c>
      <c r="E379" s="4" t="s">
        <v>34</v>
      </c>
      <c r="F379" s="4" t="s">
        <v>6</v>
      </c>
      <c r="G379" s="4">
        <v>15</v>
      </c>
      <c r="H379" s="4">
        <v>22693</v>
      </c>
      <c r="I379" s="4">
        <v>12</v>
      </c>
      <c r="J379" s="7">
        <v>46074</v>
      </c>
      <c r="K379" s="7">
        <v>46080</v>
      </c>
      <c r="L379" s="4" t="s">
        <v>81</v>
      </c>
      <c r="M379" s="4" t="str" cm="1">
        <f t="array" ref="M379">_xlfn.IFS(G379&gt;=15, "Bulk Order", G379&gt;=5, "Medium Order", G379&lt;5, "Normal Order")</f>
        <v>Bulk Order</v>
      </c>
    </row>
    <row r="380" spans="1:13" x14ac:dyDescent="0.3">
      <c r="A380" s="3"/>
      <c r="B380" s="9">
        <v>1379</v>
      </c>
      <c r="C380" s="9" t="s">
        <v>45</v>
      </c>
      <c r="D380" s="4" t="s">
        <v>23</v>
      </c>
      <c r="E380" s="4" t="s">
        <v>20</v>
      </c>
      <c r="F380" s="4" t="s">
        <v>21</v>
      </c>
      <c r="G380" s="4">
        <v>11</v>
      </c>
      <c r="H380" s="4">
        <v>136</v>
      </c>
      <c r="I380" s="4">
        <v>15</v>
      </c>
      <c r="J380" s="7">
        <v>46106</v>
      </c>
      <c r="K380" s="7">
        <v>46107</v>
      </c>
      <c r="L380" s="4" t="s">
        <v>79</v>
      </c>
      <c r="M380" s="4" t="str" cm="1">
        <f t="array" ref="M380">_xlfn.IFS(G380&gt;=15, "Bulk Order", G380&gt;=5, "Medium Order", G380&lt;5, "Normal Order")</f>
        <v>Medium Order</v>
      </c>
    </row>
    <row r="381" spans="1:13" x14ac:dyDescent="0.3">
      <c r="A381" s="3"/>
      <c r="B381" s="9">
        <v>1380</v>
      </c>
      <c r="C381" s="9" t="s">
        <v>50</v>
      </c>
      <c r="D381" s="4" t="s">
        <v>42</v>
      </c>
      <c r="E381" s="4" t="s">
        <v>20</v>
      </c>
      <c r="F381" s="4" t="s">
        <v>51</v>
      </c>
      <c r="G381" s="4">
        <v>3</v>
      </c>
      <c r="H381" s="4">
        <v>412</v>
      </c>
      <c r="I381" s="4">
        <v>7</v>
      </c>
      <c r="J381" s="7">
        <v>46128</v>
      </c>
      <c r="K381" s="7">
        <v>46138</v>
      </c>
      <c r="L381" s="4" t="s">
        <v>80</v>
      </c>
      <c r="M381" s="4" t="str" cm="1">
        <f t="array" ref="M381">_xlfn.IFS(G381&gt;=15, "Bulk Order", G381&gt;=5, "Medium Order", G381&lt;5, "Normal Order")</f>
        <v>Normal Order</v>
      </c>
    </row>
    <row r="382" spans="1:13" x14ac:dyDescent="0.3">
      <c r="A382" s="3"/>
      <c r="B382" s="9">
        <v>1381</v>
      </c>
      <c r="C382" s="9" t="s">
        <v>53</v>
      </c>
      <c r="D382" s="4" t="s">
        <v>33</v>
      </c>
      <c r="E382" s="4" t="s">
        <v>24</v>
      </c>
      <c r="F382" s="4" t="s">
        <v>8</v>
      </c>
      <c r="G382" s="4">
        <v>5</v>
      </c>
      <c r="H382" s="4">
        <v>7484</v>
      </c>
      <c r="I382" s="4">
        <v>2</v>
      </c>
      <c r="J382" s="7">
        <v>46089</v>
      </c>
      <c r="K382" s="7">
        <v>46093</v>
      </c>
      <c r="L382" s="4" t="s">
        <v>79</v>
      </c>
      <c r="M382" s="4" t="str" cm="1">
        <f t="array" ref="M382">_xlfn.IFS(G382&gt;=15, "Bulk Order", G382&gt;=5, "Medium Order", G382&lt;5, "Normal Order")</f>
        <v>Medium Order</v>
      </c>
    </row>
    <row r="383" spans="1:13" x14ac:dyDescent="0.3">
      <c r="A383" s="3"/>
      <c r="B383" s="9">
        <v>1382</v>
      </c>
      <c r="C383" s="9" t="s">
        <v>47</v>
      </c>
      <c r="D383" s="4" t="s">
        <v>33</v>
      </c>
      <c r="E383" s="4" t="s">
        <v>34</v>
      </c>
      <c r="F383" s="4" t="s">
        <v>9</v>
      </c>
      <c r="G383" s="4">
        <v>11</v>
      </c>
      <c r="H383" s="4">
        <v>36198</v>
      </c>
      <c r="I383" s="4">
        <v>0</v>
      </c>
      <c r="J383" s="7">
        <v>46130</v>
      </c>
      <c r="K383" s="7">
        <v>46134</v>
      </c>
      <c r="L383" s="4" t="s">
        <v>78</v>
      </c>
      <c r="M383" s="4" t="str" cm="1">
        <f t="array" ref="M383">_xlfn.IFS(G383&gt;=15, "Bulk Order", G383&gt;=5, "Medium Order", G383&lt;5, "Normal Order")</f>
        <v>Medium Order</v>
      </c>
    </row>
    <row r="384" spans="1:13" x14ac:dyDescent="0.3">
      <c r="A384" s="3"/>
      <c r="B384" s="9">
        <v>1383</v>
      </c>
      <c r="C384" s="9" t="s">
        <v>32</v>
      </c>
      <c r="D384" s="4" t="s">
        <v>19</v>
      </c>
      <c r="E384" s="4" t="s">
        <v>20</v>
      </c>
      <c r="F384" s="4" t="s">
        <v>51</v>
      </c>
      <c r="G384" s="4">
        <v>14</v>
      </c>
      <c r="H384" s="4">
        <v>334</v>
      </c>
      <c r="I384" s="4">
        <v>10</v>
      </c>
      <c r="J384" s="7">
        <v>46196</v>
      </c>
      <c r="K384" s="7">
        <v>46203</v>
      </c>
      <c r="L384" s="4" t="s">
        <v>78</v>
      </c>
      <c r="M384" s="4" t="str" cm="1">
        <f t="array" ref="M384">_xlfn.IFS(G384&gt;=15, "Bulk Order", G384&gt;=5, "Medium Order", G384&lt;5, "Normal Order")</f>
        <v>Medium Order</v>
      </c>
    </row>
    <row r="385" spans="1:13" x14ac:dyDescent="0.3">
      <c r="A385" s="3"/>
      <c r="B385" s="9">
        <v>1384</v>
      </c>
      <c r="C385" s="9" t="s">
        <v>56</v>
      </c>
      <c r="D385" s="4" t="s">
        <v>19</v>
      </c>
      <c r="E385" s="4" t="s">
        <v>34</v>
      </c>
      <c r="F385" s="4" t="s">
        <v>5</v>
      </c>
      <c r="G385" s="4">
        <v>15</v>
      </c>
      <c r="H385" s="4">
        <v>38116</v>
      </c>
      <c r="I385" s="4">
        <v>0</v>
      </c>
      <c r="J385" s="7">
        <v>46074</v>
      </c>
      <c r="K385" s="7">
        <v>46078</v>
      </c>
      <c r="L385" s="4" t="s">
        <v>49</v>
      </c>
      <c r="M385" s="4" t="str" cm="1">
        <f t="array" ref="M385">_xlfn.IFS(G385&gt;=15, "Bulk Order", G385&gt;=5, "Medium Order", G385&lt;5, "Normal Order")</f>
        <v>Bulk Order</v>
      </c>
    </row>
    <row r="386" spans="1:13" x14ac:dyDescent="0.3">
      <c r="A386" s="3"/>
      <c r="B386" s="9">
        <v>1385</v>
      </c>
      <c r="C386" s="9" t="s">
        <v>28</v>
      </c>
      <c r="D386" s="4" t="s">
        <v>33</v>
      </c>
      <c r="E386" s="4" t="s">
        <v>34</v>
      </c>
      <c r="F386" s="4" t="s">
        <v>5</v>
      </c>
      <c r="G386" s="4">
        <v>12</v>
      </c>
      <c r="H386" s="4">
        <v>61360</v>
      </c>
      <c r="I386" s="4">
        <v>10</v>
      </c>
      <c r="J386" s="7">
        <v>46048</v>
      </c>
      <c r="K386" s="7">
        <v>46053</v>
      </c>
      <c r="L386" s="4" t="s">
        <v>81</v>
      </c>
      <c r="M386" s="4" t="str" cm="1">
        <f t="array" ref="M386">_xlfn.IFS(G386&gt;=15, "Bulk Order", G386&gt;=5, "Medium Order", G386&lt;5, "Normal Order")</f>
        <v>Medium Order</v>
      </c>
    </row>
    <row r="387" spans="1:13" x14ac:dyDescent="0.3">
      <c r="A387" s="3"/>
      <c r="B387" s="9">
        <v>1386</v>
      </c>
      <c r="C387" s="9" t="s">
        <v>29</v>
      </c>
      <c r="D387" s="4" t="s">
        <v>31</v>
      </c>
      <c r="E387" s="4" t="s">
        <v>24</v>
      </c>
      <c r="F387" s="4" t="s">
        <v>8</v>
      </c>
      <c r="G387" s="4">
        <v>9</v>
      </c>
      <c r="H387" s="4">
        <v>7509</v>
      </c>
      <c r="I387" s="4">
        <v>5</v>
      </c>
      <c r="J387" s="7">
        <v>46162</v>
      </c>
      <c r="K387" s="7">
        <v>46171</v>
      </c>
      <c r="L387" s="4" t="s">
        <v>81</v>
      </c>
      <c r="M387" s="4" t="str" cm="1">
        <f t="array" ref="M387">_xlfn.IFS(G387&gt;=15, "Bulk Order", G387&gt;=5, "Medium Order", G387&lt;5, "Normal Order")</f>
        <v>Medium Order</v>
      </c>
    </row>
    <row r="388" spans="1:13" x14ac:dyDescent="0.3">
      <c r="A388" s="3"/>
      <c r="B388" s="9">
        <v>1387</v>
      </c>
      <c r="C388" s="9" t="s">
        <v>52</v>
      </c>
      <c r="D388" s="4" t="s">
        <v>33</v>
      </c>
      <c r="E388" s="4" t="s">
        <v>34</v>
      </c>
      <c r="F388" s="4" t="s">
        <v>35</v>
      </c>
      <c r="G388" s="4">
        <v>11</v>
      </c>
      <c r="H388" s="4">
        <v>56515</v>
      </c>
      <c r="I388" s="4">
        <v>5</v>
      </c>
      <c r="J388" s="7">
        <v>46102</v>
      </c>
      <c r="K388" s="7">
        <v>46112</v>
      </c>
      <c r="L388" s="4" t="s">
        <v>80</v>
      </c>
      <c r="M388" s="4" t="str" cm="1">
        <f t="array" ref="M388">_xlfn.IFS(G388&gt;=15, "Bulk Order", G388&gt;=5, "Medium Order", G388&lt;5, "Normal Order")</f>
        <v>Medium Order</v>
      </c>
    </row>
    <row r="389" spans="1:13" x14ac:dyDescent="0.3">
      <c r="A389" s="3"/>
      <c r="B389" s="9">
        <v>1388</v>
      </c>
      <c r="C389" s="9" t="s">
        <v>53</v>
      </c>
      <c r="D389" s="4" t="s">
        <v>31</v>
      </c>
      <c r="E389" s="4" t="s">
        <v>24</v>
      </c>
      <c r="F389" s="4" t="s">
        <v>8</v>
      </c>
      <c r="G389" s="4">
        <v>12</v>
      </c>
      <c r="H389" s="4">
        <v>11662</v>
      </c>
      <c r="I389" s="4">
        <v>12</v>
      </c>
      <c r="J389" s="7">
        <v>46094</v>
      </c>
      <c r="K389" s="7">
        <v>46096</v>
      </c>
      <c r="L389" s="4" t="s">
        <v>79</v>
      </c>
      <c r="M389" s="4" t="str" cm="1">
        <f t="array" ref="M389">_xlfn.IFS(G389&gt;=15, "Bulk Order", G389&gt;=5, "Medium Order", G389&lt;5, "Normal Order")</f>
        <v>Medium Order</v>
      </c>
    </row>
    <row r="390" spans="1:13" x14ac:dyDescent="0.3">
      <c r="A390" s="3"/>
      <c r="B390" s="9">
        <v>1389</v>
      </c>
      <c r="C390" s="9" t="s">
        <v>32</v>
      </c>
      <c r="D390" s="4" t="s">
        <v>19</v>
      </c>
      <c r="E390" s="4" t="s">
        <v>34</v>
      </c>
      <c r="F390" s="4" t="s">
        <v>40</v>
      </c>
      <c r="G390" s="4">
        <v>3</v>
      </c>
      <c r="H390" s="4">
        <v>56380</v>
      </c>
      <c r="I390" s="4">
        <v>5</v>
      </c>
      <c r="J390" s="7">
        <v>46044</v>
      </c>
      <c r="K390" s="7">
        <v>46048</v>
      </c>
      <c r="L390" s="4" t="s">
        <v>81</v>
      </c>
      <c r="M390" s="4" t="str" cm="1">
        <f t="array" ref="M390">_xlfn.IFS(G390&gt;=15, "Bulk Order", G390&gt;=5, "Medium Order", G390&lt;5, "Normal Order")</f>
        <v>Normal Order</v>
      </c>
    </row>
    <row r="391" spans="1:13" x14ac:dyDescent="0.3">
      <c r="A391" s="3"/>
      <c r="B391" s="9">
        <v>1390</v>
      </c>
      <c r="C391" s="9" t="s">
        <v>55</v>
      </c>
      <c r="D391" s="4" t="s">
        <v>42</v>
      </c>
      <c r="E391" s="4" t="s">
        <v>24</v>
      </c>
      <c r="F391" s="4" t="s">
        <v>7</v>
      </c>
      <c r="G391" s="4">
        <v>9</v>
      </c>
      <c r="H391" s="4">
        <v>7670</v>
      </c>
      <c r="I391" s="4">
        <v>0</v>
      </c>
      <c r="J391" s="7">
        <v>46076</v>
      </c>
      <c r="K391" s="7">
        <v>46081</v>
      </c>
      <c r="L391" s="4" t="s">
        <v>81</v>
      </c>
      <c r="M391" s="4" t="str" cm="1">
        <f t="array" ref="M391">_xlfn.IFS(G391&gt;=15, "Bulk Order", G391&gt;=5, "Medium Order", G391&lt;5, "Normal Order")</f>
        <v>Medium Order</v>
      </c>
    </row>
    <row r="392" spans="1:13" x14ac:dyDescent="0.3">
      <c r="A392" s="3"/>
      <c r="B392" s="9">
        <v>1391</v>
      </c>
      <c r="C392" s="9" t="s">
        <v>30</v>
      </c>
      <c r="D392" s="4" t="s">
        <v>31</v>
      </c>
      <c r="E392" s="4" t="s">
        <v>34</v>
      </c>
      <c r="F392" s="4" t="s">
        <v>35</v>
      </c>
      <c r="G392" s="4">
        <v>5</v>
      </c>
      <c r="H392" s="4">
        <v>65270</v>
      </c>
      <c r="I392" s="4">
        <v>5</v>
      </c>
      <c r="J392" s="7">
        <v>46100</v>
      </c>
      <c r="K392" s="7">
        <v>46103</v>
      </c>
      <c r="L392" s="4" t="s">
        <v>80</v>
      </c>
      <c r="M392" s="4" t="str" cm="1">
        <f t="array" ref="M392">_xlfn.IFS(G392&gt;=15, "Bulk Order", G392&gt;=5, "Medium Order", G392&lt;5, "Normal Order")</f>
        <v>Medium Order</v>
      </c>
    </row>
    <row r="393" spans="1:13" x14ac:dyDescent="0.3">
      <c r="A393" s="3"/>
      <c r="B393" s="9">
        <v>1392</v>
      </c>
      <c r="C393" s="9" t="s">
        <v>49</v>
      </c>
      <c r="D393" s="4" t="s">
        <v>42</v>
      </c>
      <c r="E393" s="4" t="s">
        <v>34</v>
      </c>
      <c r="F393" s="4" t="s">
        <v>35</v>
      </c>
      <c r="G393" s="4">
        <v>13</v>
      </c>
      <c r="H393" s="4">
        <v>23903</v>
      </c>
      <c r="I393" s="4">
        <v>5</v>
      </c>
      <c r="J393" s="7">
        <v>46124</v>
      </c>
      <c r="K393" s="7">
        <v>46125</v>
      </c>
      <c r="L393" s="4" t="s">
        <v>49</v>
      </c>
      <c r="M393" s="4" t="str" cm="1">
        <f t="array" ref="M393">_xlfn.IFS(G393&gt;=15, "Bulk Order", G393&gt;=5, "Medium Order", G393&lt;5, "Normal Order")</f>
        <v>Medium Order</v>
      </c>
    </row>
    <row r="394" spans="1:13" x14ac:dyDescent="0.3">
      <c r="A394" s="3"/>
      <c r="B394" s="9">
        <v>1393</v>
      </c>
      <c r="C394" s="9" t="s">
        <v>30</v>
      </c>
      <c r="D394" s="4" t="s">
        <v>27</v>
      </c>
      <c r="E394" s="4" t="s">
        <v>34</v>
      </c>
      <c r="F394" s="4" t="s">
        <v>6</v>
      </c>
      <c r="G394" s="4">
        <v>17</v>
      </c>
      <c r="H394" s="4">
        <v>30351</v>
      </c>
      <c r="I394" s="4">
        <v>15</v>
      </c>
      <c r="J394" s="7">
        <v>46047</v>
      </c>
      <c r="K394" s="7">
        <v>46051</v>
      </c>
      <c r="L394" s="4" t="s">
        <v>81</v>
      </c>
      <c r="M394" s="4" t="str" cm="1">
        <f t="array" ref="M394">_xlfn.IFS(G394&gt;=15, "Bulk Order", G394&gt;=5, "Medium Order", G394&lt;5, "Normal Order")</f>
        <v>Bulk Order</v>
      </c>
    </row>
    <row r="395" spans="1:13" x14ac:dyDescent="0.3">
      <c r="A395" s="3"/>
      <c r="B395" s="9">
        <v>1394</v>
      </c>
      <c r="C395" s="9" t="s">
        <v>52</v>
      </c>
      <c r="D395" s="4" t="s">
        <v>19</v>
      </c>
      <c r="E395" s="4" t="s">
        <v>20</v>
      </c>
      <c r="F395" s="4" t="s">
        <v>21</v>
      </c>
      <c r="G395" s="4">
        <v>10</v>
      </c>
      <c r="H395" s="4">
        <v>138</v>
      </c>
      <c r="I395" s="4">
        <v>2</v>
      </c>
      <c r="J395" s="7">
        <v>46056</v>
      </c>
      <c r="K395" s="7">
        <v>46057</v>
      </c>
      <c r="L395" s="4" t="s">
        <v>78</v>
      </c>
      <c r="M395" s="4" t="str" cm="1">
        <f t="array" ref="M395">_xlfn.IFS(G395&gt;=15, "Bulk Order", G395&gt;=5, "Medium Order", G395&lt;5, "Normal Order")</f>
        <v>Medium Order</v>
      </c>
    </row>
    <row r="396" spans="1:13" x14ac:dyDescent="0.3">
      <c r="A396" s="3"/>
      <c r="B396" s="9">
        <v>1395</v>
      </c>
      <c r="C396" s="9" t="s">
        <v>52</v>
      </c>
      <c r="D396" s="4" t="s">
        <v>33</v>
      </c>
      <c r="E396" s="4" t="s">
        <v>24</v>
      </c>
      <c r="F396" s="4" t="s">
        <v>43</v>
      </c>
      <c r="G396" s="4">
        <v>18</v>
      </c>
      <c r="H396" s="4">
        <v>10402</v>
      </c>
      <c r="I396" s="4">
        <v>15</v>
      </c>
      <c r="J396" s="7">
        <v>46062</v>
      </c>
      <c r="K396" s="7">
        <v>46067</v>
      </c>
      <c r="L396" s="4" t="s">
        <v>49</v>
      </c>
      <c r="M396" s="4" t="str" cm="1">
        <f t="array" ref="M396">_xlfn.IFS(G396&gt;=15, "Bulk Order", G396&gt;=5, "Medium Order", G396&lt;5, "Normal Order")</f>
        <v>Bulk Order</v>
      </c>
    </row>
    <row r="397" spans="1:13" x14ac:dyDescent="0.3">
      <c r="A397" s="3"/>
      <c r="B397" s="9">
        <v>1396</v>
      </c>
      <c r="C397" s="9" t="s">
        <v>25</v>
      </c>
      <c r="D397" s="4" t="s">
        <v>38</v>
      </c>
      <c r="E397" s="4" t="s">
        <v>20</v>
      </c>
      <c r="F397" s="4" t="s">
        <v>51</v>
      </c>
      <c r="G397" s="4">
        <v>8</v>
      </c>
      <c r="H397" s="4">
        <v>54</v>
      </c>
      <c r="I397" s="4">
        <v>15</v>
      </c>
      <c r="J397" s="7">
        <v>46031</v>
      </c>
      <c r="K397" s="7">
        <v>46035</v>
      </c>
      <c r="L397" s="4" t="s">
        <v>78</v>
      </c>
      <c r="M397" s="4" t="str" cm="1">
        <f t="array" ref="M397">_xlfn.IFS(G397&gt;=15, "Bulk Order", G397&gt;=5, "Medium Order", G397&lt;5, "Normal Order")</f>
        <v>Medium Order</v>
      </c>
    </row>
    <row r="398" spans="1:13" x14ac:dyDescent="0.3">
      <c r="A398" s="3"/>
      <c r="B398" s="9">
        <v>1397</v>
      </c>
      <c r="C398" s="9" t="s">
        <v>25</v>
      </c>
      <c r="D398" s="4" t="s">
        <v>33</v>
      </c>
      <c r="E398" s="4" t="s">
        <v>24</v>
      </c>
      <c r="F398" s="4" t="s">
        <v>10</v>
      </c>
      <c r="G398" s="4">
        <v>1</v>
      </c>
      <c r="H398" s="4">
        <v>8948</v>
      </c>
      <c r="I398" s="4">
        <v>5</v>
      </c>
      <c r="J398" s="7">
        <v>46194</v>
      </c>
      <c r="K398" s="7">
        <v>46201</v>
      </c>
      <c r="L398" s="4" t="s">
        <v>81</v>
      </c>
      <c r="M398" s="4" t="str" cm="1">
        <f t="array" ref="M398">_xlfn.IFS(G398&gt;=15, "Bulk Order", G398&gt;=5, "Medium Order", G398&lt;5, "Normal Order")</f>
        <v>Normal Order</v>
      </c>
    </row>
    <row r="399" spans="1:13" x14ac:dyDescent="0.3">
      <c r="A399" s="3"/>
      <c r="B399" s="9">
        <v>1398</v>
      </c>
      <c r="C399" s="9" t="s">
        <v>55</v>
      </c>
      <c r="D399" s="4" t="s">
        <v>42</v>
      </c>
      <c r="E399" s="4" t="s">
        <v>34</v>
      </c>
      <c r="F399" s="4" t="s">
        <v>5</v>
      </c>
      <c r="G399" s="4">
        <v>12</v>
      </c>
      <c r="H399" s="4">
        <v>10668</v>
      </c>
      <c r="I399" s="4">
        <v>0</v>
      </c>
      <c r="J399" s="7">
        <v>46170</v>
      </c>
      <c r="K399" s="7">
        <v>46176</v>
      </c>
      <c r="L399" s="4" t="s">
        <v>78</v>
      </c>
      <c r="M399" s="4" t="str" cm="1">
        <f t="array" ref="M399">_xlfn.IFS(G399&gt;=15, "Bulk Order", G399&gt;=5, "Medium Order", G399&lt;5, "Normal Order")</f>
        <v>Medium Order</v>
      </c>
    </row>
    <row r="400" spans="1:13" x14ac:dyDescent="0.3">
      <c r="A400" s="3"/>
      <c r="B400" s="9">
        <v>1399</v>
      </c>
      <c r="C400" s="9" t="s">
        <v>46</v>
      </c>
      <c r="D400" s="4" t="s">
        <v>31</v>
      </c>
      <c r="E400" s="4" t="s">
        <v>20</v>
      </c>
      <c r="F400" s="4" t="s">
        <v>21</v>
      </c>
      <c r="G400" s="4">
        <v>15</v>
      </c>
      <c r="H400" s="4">
        <v>87</v>
      </c>
      <c r="I400" s="4">
        <v>15</v>
      </c>
      <c r="J400" s="7">
        <v>46089</v>
      </c>
      <c r="K400" s="7">
        <v>46093</v>
      </c>
      <c r="L400" s="4" t="s">
        <v>79</v>
      </c>
      <c r="M400" s="4" t="str" cm="1">
        <f t="array" ref="M400">_xlfn.IFS(G400&gt;=15, "Bulk Order", G400&gt;=5, "Medium Order", G400&lt;5, "Normal Order")</f>
        <v>Bulk Order</v>
      </c>
    </row>
    <row r="401" spans="1:13" x14ac:dyDescent="0.3">
      <c r="A401" s="3"/>
      <c r="B401" s="9">
        <v>1400</v>
      </c>
      <c r="C401" s="9" t="s">
        <v>39</v>
      </c>
      <c r="D401" s="4" t="s">
        <v>26</v>
      </c>
      <c r="E401" s="4" t="s">
        <v>34</v>
      </c>
      <c r="F401" s="4" t="s">
        <v>35</v>
      </c>
      <c r="G401" s="4">
        <v>13</v>
      </c>
      <c r="H401" s="4">
        <v>52411</v>
      </c>
      <c r="I401" s="4">
        <v>15</v>
      </c>
      <c r="J401" s="7">
        <v>46090</v>
      </c>
      <c r="K401" s="7">
        <v>46092</v>
      </c>
      <c r="L401" s="4" t="s">
        <v>79</v>
      </c>
      <c r="M401" s="4" t="str" cm="1">
        <f t="array" ref="M401">_xlfn.IFS(G401&gt;=15, "Bulk Order", G401&gt;=5, "Medium Order", G401&lt;5, "Normal Order")</f>
        <v>Medium Order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4A70-210C-4D9C-A491-5BA55D915BB3}">
  <dimension ref="A1:L401"/>
  <sheetViews>
    <sheetView workbookViewId="0">
      <pane ySplit="1" topLeftCell="A2" activePane="bottomLeft" state="frozen"/>
      <selection pane="bottomLeft" sqref="A1:L1"/>
    </sheetView>
  </sheetViews>
  <sheetFormatPr defaultRowHeight="14.4" x14ac:dyDescent="0.3"/>
  <cols>
    <col min="1" max="1" width="8.5546875" bestFit="1" customWidth="1"/>
    <col min="2" max="2" width="9.10937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.33203125" bestFit="1" customWidth="1"/>
    <col min="7" max="7" width="9.6640625" bestFit="1" customWidth="1"/>
    <col min="8" max="8" width="10.77734375" bestFit="1" customWidth="1"/>
    <col min="9" max="9" width="10.6640625" bestFit="1" customWidth="1"/>
    <col min="10" max="10" width="12.6640625" bestFit="1" customWidth="1"/>
    <col min="11" max="11" width="11" bestFit="1" customWidth="1"/>
    <col min="12" max="12" width="16.33203125" bestFit="1" customWidth="1"/>
  </cols>
  <sheetData>
    <row r="1" spans="1:12" x14ac:dyDescent="0.3">
      <c r="A1" s="11" t="s">
        <v>0</v>
      </c>
      <c r="B1" s="11" t="s">
        <v>13</v>
      </c>
      <c r="C1" s="10" t="s">
        <v>14</v>
      </c>
      <c r="D1" s="10" t="s">
        <v>15</v>
      </c>
      <c r="E1" s="10" t="s">
        <v>1</v>
      </c>
      <c r="F1" s="10" t="s">
        <v>4</v>
      </c>
      <c r="G1" s="10" t="s">
        <v>16</v>
      </c>
      <c r="H1" s="10" t="s">
        <v>17</v>
      </c>
      <c r="I1" s="10" t="s">
        <v>2</v>
      </c>
      <c r="J1" s="10" t="s">
        <v>3</v>
      </c>
      <c r="K1" s="13" t="s">
        <v>77</v>
      </c>
      <c r="L1" s="1" t="s">
        <v>63</v>
      </c>
    </row>
    <row r="2" spans="1:12" x14ac:dyDescent="0.3">
      <c r="A2" s="9">
        <v>1001</v>
      </c>
      <c r="B2" s="9" t="s">
        <v>18</v>
      </c>
      <c r="C2" s="4" t="s">
        <v>19</v>
      </c>
      <c r="D2" s="4" t="s">
        <v>20</v>
      </c>
      <c r="E2" s="4" t="s">
        <v>21</v>
      </c>
      <c r="F2" s="4">
        <v>3</v>
      </c>
      <c r="G2" s="4">
        <v>222</v>
      </c>
      <c r="H2" s="4">
        <v>15</v>
      </c>
      <c r="I2" s="7">
        <v>46081</v>
      </c>
      <c r="J2" s="7">
        <v>46083</v>
      </c>
      <c r="K2" s="4" t="s">
        <v>78</v>
      </c>
      <c r="L2" s="4" t="str">
        <f>IF(AND(D2="Electronics", H2&gt;=10), "Eligible", "Not Eligible")</f>
        <v>Not Eligible</v>
      </c>
    </row>
    <row r="3" spans="1:12" x14ac:dyDescent="0.3">
      <c r="A3" s="9">
        <v>1002</v>
      </c>
      <c r="B3" s="9" t="s">
        <v>22</v>
      </c>
      <c r="C3" s="4" t="s">
        <v>23</v>
      </c>
      <c r="D3" s="4" t="s">
        <v>24</v>
      </c>
      <c r="E3" s="4" t="s">
        <v>7</v>
      </c>
      <c r="F3" s="4">
        <v>7</v>
      </c>
      <c r="G3" s="4">
        <v>8448</v>
      </c>
      <c r="H3" s="4">
        <v>12</v>
      </c>
      <c r="I3" s="7">
        <v>46174</v>
      </c>
      <c r="J3" s="7">
        <v>46179</v>
      </c>
      <c r="K3" s="4" t="s">
        <v>79</v>
      </c>
      <c r="L3" s="4" t="str">
        <f t="shared" ref="L3:L66" si="0">IF(AND(D3="Electronics", H3&gt;=10), "Eligible", "Not Eligible")</f>
        <v>Not Eligible</v>
      </c>
    </row>
    <row r="4" spans="1:12" x14ac:dyDescent="0.3">
      <c r="A4" s="9">
        <v>1003</v>
      </c>
      <c r="B4" s="9" t="s">
        <v>25</v>
      </c>
      <c r="C4" s="4" t="s">
        <v>26</v>
      </c>
      <c r="D4" s="4" t="s">
        <v>24</v>
      </c>
      <c r="E4" s="4" t="s">
        <v>10</v>
      </c>
      <c r="F4" s="4">
        <v>20</v>
      </c>
      <c r="G4" s="4">
        <v>2123</v>
      </c>
      <c r="H4" s="4">
        <v>15</v>
      </c>
      <c r="I4" s="7">
        <v>46183</v>
      </c>
      <c r="J4" s="7">
        <v>46192</v>
      </c>
      <c r="K4" s="4" t="s">
        <v>80</v>
      </c>
      <c r="L4" s="4" t="str">
        <f t="shared" si="0"/>
        <v>Not Eligible</v>
      </c>
    </row>
    <row r="5" spans="1:12" x14ac:dyDescent="0.3">
      <c r="A5" s="9">
        <v>1004</v>
      </c>
      <c r="B5" s="9" t="s">
        <v>22</v>
      </c>
      <c r="C5" s="4" t="s">
        <v>27</v>
      </c>
      <c r="D5" s="4" t="s">
        <v>24</v>
      </c>
      <c r="E5" s="4" t="s">
        <v>10</v>
      </c>
      <c r="F5" s="4">
        <v>16</v>
      </c>
      <c r="G5" s="4">
        <v>11739</v>
      </c>
      <c r="H5" s="4">
        <v>12</v>
      </c>
      <c r="I5" s="7">
        <v>46034</v>
      </c>
      <c r="J5" s="7">
        <v>46040</v>
      </c>
      <c r="K5" s="4" t="s">
        <v>79</v>
      </c>
      <c r="L5" s="4" t="str">
        <f t="shared" si="0"/>
        <v>Not Eligible</v>
      </c>
    </row>
    <row r="6" spans="1:12" x14ac:dyDescent="0.3">
      <c r="A6" s="9">
        <v>1005</v>
      </c>
      <c r="B6" s="9" t="s">
        <v>28</v>
      </c>
      <c r="C6" s="4" t="s">
        <v>23</v>
      </c>
      <c r="D6" s="4" t="s">
        <v>20</v>
      </c>
      <c r="E6" s="4" t="s">
        <v>21</v>
      </c>
      <c r="F6" s="4">
        <v>18</v>
      </c>
      <c r="G6" s="4">
        <v>70</v>
      </c>
      <c r="H6" s="4">
        <v>0</v>
      </c>
      <c r="I6" s="7">
        <v>46171</v>
      </c>
      <c r="J6" s="7">
        <v>46179</v>
      </c>
      <c r="K6" s="4" t="s">
        <v>80</v>
      </c>
      <c r="L6" s="4" t="str">
        <f t="shared" si="0"/>
        <v>Not Eligible</v>
      </c>
    </row>
    <row r="7" spans="1:12" x14ac:dyDescent="0.3">
      <c r="A7" s="9">
        <v>1006</v>
      </c>
      <c r="B7" s="9" t="s">
        <v>29</v>
      </c>
      <c r="C7" s="4" t="s">
        <v>27</v>
      </c>
      <c r="D7" s="4" t="s">
        <v>24</v>
      </c>
      <c r="E7" s="4" t="s">
        <v>8</v>
      </c>
      <c r="F7" s="4">
        <v>3</v>
      </c>
      <c r="G7" s="4">
        <v>2714</v>
      </c>
      <c r="H7" s="4">
        <v>5</v>
      </c>
      <c r="I7" s="7">
        <v>46055</v>
      </c>
      <c r="J7" s="7">
        <v>46062</v>
      </c>
      <c r="K7" s="4" t="s">
        <v>49</v>
      </c>
      <c r="L7" s="4" t="str">
        <f t="shared" si="0"/>
        <v>Not Eligible</v>
      </c>
    </row>
    <row r="8" spans="1:12" x14ac:dyDescent="0.3">
      <c r="A8" s="9">
        <v>1007</v>
      </c>
      <c r="B8" s="9" t="s">
        <v>25</v>
      </c>
      <c r="C8" s="4" t="s">
        <v>26</v>
      </c>
      <c r="D8" s="4" t="s">
        <v>20</v>
      </c>
      <c r="E8" s="4" t="s">
        <v>21</v>
      </c>
      <c r="F8" s="4">
        <v>19</v>
      </c>
      <c r="G8" s="4">
        <v>149</v>
      </c>
      <c r="H8" s="4">
        <v>7</v>
      </c>
      <c r="I8" s="7">
        <v>46162</v>
      </c>
      <c r="J8" s="7">
        <v>46168</v>
      </c>
      <c r="K8" s="4" t="s">
        <v>80</v>
      </c>
      <c r="L8" s="4" t="str">
        <f t="shared" si="0"/>
        <v>Not Eligible</v>
      </c>
    </row>
    <row r="9" spans="1:12" x14ac:dyDescent="0.3">
      <c r="A9" s="9">
        <v>1008</v>
      </c>
      <c r="B9" s="9" t="s">
        <v>30</v>
      </c>
      <c r="C9" s="4" t="s">
        <v>31</v>
      </c>
      <c r="D9" s="4" t="s">
        <v>24</v>
      </c>
      <c r="E9" s="4" t="s">
        <v>8</v>
      </c>
      <c r="F9" s="4">
        <v>1</v>
      </c>
      <c r="G9" s="4">
        <v>1134</v>
      </c>
      <c r="H9" s="4">
        <v>0</v>
      </c>
      <c r="I9" s="7">
        <v>46033</v>
      </c>
      <c r="J9" s="7">
        <v>46041</v>
      </c>
      <c r="K9" s="4" t="s">
        <v>80</v>
      </c>
      <c r="L9" s="4" t="str">
        <f t="shared" si="0"/>
        <v>Not Eligible</v>
      </c>
    </row>
    <row r="10" spans="1:12" x14ac:dyDescent="0.3">
      <c r="A10" s="9">
        <v>1009</v>
      </c>
      <c r="B10" s="9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7">
        <v>46183</v>
      </c>
      <c r="J10" s="7">
        <v>46193</v>
      </c>
      <c r="K10" s="4" t="s">
        <v>80</v>
      </c>
      <c r="L10" s="4" t="str">
        <f t="shared" si="0"/>
        <v>Eligible</v>
      </c>
    </row>
    <row r="11" spans="1:12" x14ac:dyDescent="0.3">
      <c r="A11" s="9">
        <v>1010</v>
      </c>
      <c r="B11" s="9" t="s">
        <v>18</v>
      </c>
      <c r="C11" s="4" t="s">
        <v>23</v>
      </c>
      <c r="D11" s="4" t="s">
        <v>20</v>
      </c>
      <c r="E11" s="4" t="s">
        <v>36</v>
      </c>
      <c r="F11" s="4">
        <v>14</v>
      </c>
      <c r="G11" s="4">
        <v>470</v>
      </c>
      <c r="H11" s="4">
        <v>5</v>
      </c>
      <c r="I11" s="7">
        <v>46062</v>
      </c>
      <c r="J11" s="7">
        <v>46068</v>
      </c>
      <c r="K11" s="4" t="s">
        <v>78</v>
      </c>
      <c r="L11" s="4" t="str">
        <f t="shared" si="0"/>
        <v>Not Eligible</v>
      </c>
    </row>
    <row r="12" spans="1:12" x14ac:dyDescent="0.3">
      <c r="A12" s="9">
        <v>1011</v>
      </c>
      <c r="B12" s="9" t="s">
        <v>18</v>
      </c>
      <c r="C12" s="4" t="s">
        <v>23</v>
      </c>
      <c r="D12" s="4" t="s">
        <v>20</v>
      </c>
      <c r="E12" s="4" t="s">
        <v>37</v>
      </c>
      <c r="F12" s="4">
        <v>14</v>
      </c>
      <c r="G12" s="4">
        <v>88</v>
      </c>
      <c r="H12" s="4">
        <v>12</v>
      </c>
      <c r="I12" s="7">
        <v>46161</v>
      </c>
      <c r="J12" s="7">
        <v>46163</v>
      </c>
      <c r="K12" s="4" t="s">
        <v>78</v>
      </c>
      <c r="L12" s="4" t="str">
        <f t="shared" si="0"/>
        <v>Not Eligible</v>
      </c>
    </row>
    <row r="13" spans="1:12" x14ac:dyDescent="0.3">
      <c r="A13" s="9">
        <v>1012</v>
      </c>
      <c r="B13" s="9" t="s">
        <v>28</v>
      </c>
      <c r="C13" s="4" t="s">
        <v>38</v>
      </c>
      <c r="D13" s="4" t="s">
        <v>34</v>
      </c>
      <c r="E13" s="4" t="s">
        <v>5</v>
      </c>
      <c r="F13" s="4">
        <v>3</v>
      </c>
      <c r="G13" s="4">
        <v>64615</v>
      </c>
      <c r="H13" s="4">
        <v>10</v>
      </c>
      <c r="I13" s="7">
        <v>46086</v>
      </c>
      <c r="J13" s="7">
        <v>46095</v>
      </c>
      <c r="K13" s="4" t="s">
        <v>49</v>
      </c>
      <c r="L13" s="4" t="str">
        <f t="shared" si="0"/>
        <v>Eligible</v>
      </c>
    </row>
    <row r="14" spans="1:12" x14ac:dyDescent="0.3">
      <c r="A14" s="9">
        <v>1013</v>
      </c>
      <c r="B14" s="9" t="s">
        <v>22</v>
      </c>
      <c r="C14" s="4" t="s">
        <v>31</v>
      </c>
      <c r="D14" s="4" t="s">
        <v>20</v>
      </c>
      <c r="E14" s="4" t="s">
        <v>36</v>
      </c>
      <c r="F14" s="4">
        <v>17</v>
      </c>
      <c r="G14" s="4">
        <v>459</v>
      </c>
      <c r="H14" s="4">
        <v>12</v>
      </c>
      <c r="I14" s="7">
        <v>46095</v>
      </c>
      <c r="J14" s="7">
        <v>46105</v>
      </c>
      <c r="K14" s="4" t="s">
        <v>49</v>
      </c>
      <c r="L14" s="4" t="str">
        <f t="shared" si="0"/>
        <v>Not Eligible</v>
      </c>
    </row>
    <row r="15" spans="1:12" x14ac:dyDescent="0.3">
      <c r="A15" s="9">
        <v>1014</v>
      </c>
      <c r="B15" s="9" t="s">
        <v>39</v>
      </c>
      <c r="C15" s="4" t="s">
        <v>23</v>
      </c>
      <c r="D15" s="4" t="s">
        <v>34</v>
      </c>
      <c r="E15" s="4" t="s">
        <v>40</v>
      </c>
      <c r="F15" s="4">
        <v>19</v>
      </c>
      <c r="G15" s="4">
        <v>53683</v>
      </c>
      <c r="H15" s="4">
        <v>12</v>
      </c>
      <c r="I15" s="7">
        <v>46129</v>
      </c>
      <c r="J15" s="7">
        <v>46134</v>
      </c>
      <c r="K15" s="4" t="s">
        <v>49</v>
      </c>
      <c r="L15" s="4" t="str">
        <f t="shared" si="0"/>
        <v>Eligible</v>
      </c>
    </row>
    <row r="16" spans="1:12" x14ac:dyDescent="0.3">
      <c r="A16" s="9">
        <v>1015</v>
      </c>
      <c r="B16" s="9" t="s">
        <v>41</v>
      </c>
      <c r="C16" s="4" t="s">
        <v>42</v>
      </c>
      <c r="D16" s="4" t="s">
        <v>24</v>
      </c>
      <c r="E16" s="4" t="s">
        <v>43</v>
      </c>
      <c r="F16" s="4">
        <v>11</v>
      </c>
      <c r="G16" s="4">
        <v>14511</v>
      </c>
      <c r="H16" s="4">
        <v>2</v>
      </c>
      <c r="I16" s="7">
        <v>46175</v>
      </c>
      <c r="J16" s="7">
        <v>46185</v>
      </c>
      <c r="K16" s="4" t="s">
        <v>79</v>
      </c>
      <c r="L16" s="4" t="str">
        <f t="shared" si="0"/>
        <v>Not Eligible</v>
      </c>
    </row>
    <row r="17" spans="1:12" x14ac:dyDescent="0.3">
      <c r="A17" s="9">
        <v>1016</v>
      </c>
      <c r="B17" s="9" t="s">
        <v>32</v>
      </c>
      <c r="C17" s="4" t="s">
        <v>33</v>
      </c>
      <c r="D17" s="4" t="s">
        <v>34</v>
      </c>
      <c r="E17" s="4" t="s">
        <v>6</v>
      </c>
      <c r="F17" s="4">
        <v>16</v>
      </c>
      <c r="G17" s="4">
        <v>30234</v>
      </c>
      <c r="H17" s="4">
        <v>15</v>
      </c>
      <c r="I17" s="7">
        <v>46137</v>
      </c>
      <c r="J17" s="7">
        <v>46140</v>
      </c>
      <c r="K17" s="4" t="s">
        <v>80</v>
      </c>
      <c r="L17" s="4" t="str">
        <f t="shared" si="0"/>
        <v>Eligible</v>
      </c>
    </row>
    <row r="18" spans="1:12" x14ac:dyDescent="0.3">
      <c r="A18" s="9">
        <v>1017</v>
      </c>
      <c r="B18" s="9" t="s">
        <v>44</v>
      </c>
      <c r="C18" s="4" t="s">
        <v>38</v>
      </c>
      <c r="D18" s="4" t="s">
        <v>20</v>
      </c>
      <c r="E18" s="4" t="s">
        <v>36</v>
      </c>
      <c r="F18" s="4">
        <v>8</v>
      </c>
      <c r="G18" s="4">
        <v>179</v>
      </c>
      <c r="H18" s="4">
        <v>15</v>
      </c>
      <c r="I18" s="7">
        <v>46082</v>
      </c>
      <c r="J18" s="7">
        <v>46084</v>
      </c>
      <c r="K18" s="4" t="s">
        <v>78</v>
      </c>
      <c r="L18" s="4" t="str">
        <f t="shared" si="0"/>
        <v>Not Eligible</v>
      </c>
    </row>
    <row r="19" spans="1:12" x14ac:dyDescent="0.3">
      <c r="A19" s="9">
        <v>1018</v>
      </c>
      <c r="B19" s="9" t="s">
        <v>45</v>
      </c>
      <c r="C19" s="4" t="s">
        <v>27</v>
      </c>
      <c r="D19" s="4" t="s">
        <v>20</v>
      </c>
      <c r="E19" s="4" t="s">
        <v>21</v>
      </c>
      <c r="F19" s="4">
        <v>20</v>
      </c>
      <c r="G19" s="4">
        <v>301</v>
      </c>
      <c r="H19" s="4">
        <v>0</v>
      </c>
      <c r="I19" s="7">
        <v>46089</v>
      </c>
      <c r="J19" s="7">
        <v>46094</v>
      </c>
      <c r="K19" s="4" t="s">
        <v>49</v>
      </c>
      <c r="L19" s="4" t="str">
        <f t="shared" si="0"/>
        <v>Not Eligible</v>
      </c>
    </row>
    <row r="20" spans="1:12" x14ac:dyDescent="0.3">
      <c r="A20" s="9">
        <v>1019</v>
      </c>
      <c r="B20" s="9" t="s">
        <v>18</v>
      </c>
      <c r="C20" s="4" t="s">
        <v>42</v>
      </c>
      <c r="D20" s="4" t="s">
        <v>34</v>
      </c>
      <c r="E20" s="4" t="s">
        <v>40</v>
      </c>
      <c r="F20" s="4">
        <v>18</v>
      </c>
      <c r="G20" s="4">
        <v>45652</v>
      </c>
      <c r="H20" s="4">
        <v>10</v>
      </c>
      <c r="I20" s="7">
        <v>46023</v>
      </c>
      <c r="J20" s="7">
        <v>46030</v>
      </c>
      <c r="K20" s="4" t="s">
        <v>79</v>
      </c>
      <c r="L20" s="4" t="str">
        <f t="shared" si="0"/>
        <v>Eligible</v>
      </c>
    </row>
    <row r="21" spans="1:12" x14ac:dyDescent="0.3">
      <c r="A21" s="9">
        <v>1020</v>
      </c>
      <c r="B21" s="9" t="s">
        <v>44</v>
      </c>
      <c r="C21" s="4" t="s">
        <v>19</v>
      </c>
      <c r="D21" s="4" t="s">
        <v>24</v>
      </c>
      <c r="E21" s="4" t="s">
        <v>7</v>
      </c>
      <c r="F21" s="4">
        <v>5</v>
      </c>
      <c r="G21" s="4">
        <v>4582</v>
      </c>
      <c r="H21" s="4">
        <v>5</v>
      </c>
      <c r="I21" s="7">
        <v>46078</v>
      </c>
      <c r="J21" s="7">
        <v>46083</v>
      </c>
      <c r="K21" s="4" t="s">
        <v>78</v>
      </c>
      <c r="L21" s="4" t="str">
        <f t="shared" si="0"/>
        <v>Not Eligible</v>
      </c>
    </row>
    <row r="22" spans="1:12" x14ac:dyDescent="0.3">
      <c r="A22" s="9">
        <v>1021</v>
      </c>
      <c r="B22" s="9" t="s">
        <v>46</v>
      </c>
      <c r="C22" s="4" t="s">
        <v>42</v>
      </c>
      <c r="D22" s="4" t="s">
        <v>20</v>
      </c>
      <c r="E22" s="4" t="s">
        <v>21</v>
      </c>
      <c r="F22" s="4">
        <v>3</v>
      </c>
      <c r="G22" s="4">
        <v>484</v>
      </c>
      <c r="H22" s="4">
        <v>2</v>
      </c>
      <c r="I22" s="7">
        <v>46144</v>
      </c>
      <c r="J22" s="7">
        <v>46148</v>
      </c>
      <c r="K22" s="4" t="s">
        <v>80</v>
      </c>
      <c r="L22" s="4" t="str">
        <f t="shared" si="0"/>
        <v>Not Eligible</v>
      </c>
    </row>
    <row r="23" spans="1:12" x14ac:dyDescent="0.3">
      <c r="A23" s="9">
        <v>1022</v>
      </c>
      <c r="B23" s="9" t="s">
        <v>28</v>
      </c>
      <c r="C23" s="4" t="s">
        <v>23</v>
      </c>
      <c r="D23" s="4" t="s">
        <v>34</v>
      </c>
      <c r="E23" s="4" t="s">
        <v>6</v>
      </c>
      <c r="F23" s="4">
        <v>15</v>
      </c>
      <c r="G23" s="4">
        <v>11596</v>
      </c>
      <c r="H23" s="4">
        <v>0</v>
      </c>
      <c r="I23" s="7">
        <v>46117</v>
      </c>
      <c r="J23" s="7">
        <v>46121</v>
      </c>
      <c r="K23" s="4" t="s">
        <v>49</v>
      </c>
      <c r="L23" s="4" t="str">
        <f t="shared" si="0"/>
        <v>Not Eligible</v>
      </c>
    </row>
    <row r="24" spans="1:12" x14ac:dyDescent="0.3">
      <c r="A24" s="9">
        <v>1023</v>
      </c>
      <c r="B24" s="9" t="s">
        <v>39</v>
      </c>
      <c r="C24" s="4" t="s">
        <v>19</v>
      </c>
      <c r="D24" s="4" t="s">
        <v>24</v>
      </c>
      <c r="E24" s="4" t="s">
        <v>43</v>
      </c>
      <c r="F24" s="4">
        <v>15</v>
      </c>
      <c r="G24" s="4">
        <v>3506</v>
      </c>
      <c r="H24" s="4">
        <v>2</v>
      </c>
      <c r="I24" s="7">
        <v>46193</v>
      </c>
      <c r="J24" s="7">
        <v>46194</v>
      </c>
      <c r="K24" s="4" t="s">
        <v>49</v>
      </c>
      <c r="L24" s="4" t="str">
        <f t="shared" si="0"/>
        <v>Not Eligible</v>
      </c>
    </row>
    <row r="25" spans="1:12" x14ac:dyDescent="0.3">
      <c r="A25" s="9">
        <v>1024</v>
      </c>
      <c r="B25" s="9" t="s">
        <v>32</v>
      </c>
      <c r="C25" s="4" t="s">
        <v>38</v>
      </c>
      <c r="D25" s="4" t="s">
        <v>34</v>
      </c>
      <c r="E25" s="4" t="s">
        <v>40</v>
      </c>
      <c r="F25" s="4">
        <v>12</v>
      </c>
      <c r="G25" s="4">
        <v>1682</v>
      </c>
      <c r="H25" s="4">
        <v>5</v>
      </c>
      <c r="I25" s="7">
        <v>46161</v>
      </c>
      <c r="J25" s="7">
        <v>46165</v>
      </c>
      <c r="K25" s="4" t="s">
        <v>78</v>
      </c>
      <c r="L25" s="4" t="str">
        <f t="shared" si="0"/>
        <v>Not Eligible</v>
      </c>
    </row>
    <row r="26" spans="1:12" x14ac:dyDescent="0.3">
      <c r="A26" s="9">
        <v>1025</v>
      </c>
      <c r="B26" s="9" t="s">
        <v>25</v>
      </c>
      <c r="C26" s="4" t="s">
        <v>19</v>
      </c>
      <c r="D26" s="4" t="s">
        <v>24</v>
      </c>
      <c r="E26" s="4" t="s">
        <v>7</v>
      </c>
      <c r="F26" s="4">
        <v>18</v>
      </c>
      <c r="G26" s="4">
        <v>7924</v>
      </c>
      <c r="H26" s="4">
        <v>0</v>
      </c>
      <c r="I26" s="7">
        <v>46175</v>
      </c>
      <c r="J26" s="7">
        <v>46181</v>
      </c>
      <c r="K26" s="4" t="s">
        <v>78</v>
      </c>
      <c r="L26" s="4" t="str">
        <f t="shared" si="0"/>
        <v>Not Eligible</v>
      </c>
    </row>
    <row r="27" spans="1:12" x14ac:dyDescent="0.3">
      <c r="A27" s="9">
        <v>1026</v>
      </c>
      <c r="B27" s="9" t="s">
        <v>47</v>
      </c>
      <c r="C27" s="4" t="s">
        <v>31</v>
      </c>
      <c r="D27" s="4" t="s">
        <v>20</v>
      </c>
      <c r="E27" s="4" t="s">
        <v>48</v>
      </c>
      <c r="F27" s="4">
        <v>17</v>
      </c>
      <c r="G27" s="4">
        <v>323</v>
      </c>
      <c r="H27" s="4">
        <v>10</v>
      </c>
      <c r="I27" s="7">
        <v>46039</v>
      </c>
      <c r="J27" s="7">
        <v>46040</v>
      </c>
      <c r="K27" s="4" t="s">
        <v>49</v>
      </c>
      <c r="L27" s="4" t="str">
        <f t="shared" si="0"/>
        <v>Not Eligible</v>
      </c>
    </row>
    <row r="28" spans="1:12" x14ac:dyDescent="0.3">
      <c r="A28" s="9">
        <v>1027</v>
      </c>
      <c r="B28" s="9" t="s">
        <v>49</v>
      </c>
      <c r="C28" s="4" t="s">
        <v>42</v>
      </c>
      <c r="D28" s="4" t="s">
        <v>20</v>
      </c>
      <c r="E28" s="4" t="s">
        <v>48</v>
      </c>
      <c r="F28" s="4">
        <v>4</v>
      </c>
      <c r="G28" s="4">
        <v>264</v>
      </c>
      <c r="H28" s="4">
        <v>0</v>
      </c>
      <c r="I28" s="7">
        <v>46155</v>
      </c>
      <c r="J28" s="7">
        <v>46161</v>
      </c>
      <c r="K28" s="4" t="s">
        <v>81</v>
      </c>
      <c r="L28" s="4" t="str">
        <f t="shared" si="0"/>
        <v>Not Eligible</v>
      </c>
    </row>
    <row r="29" spans="1:12" x14ac:dyDescent="0.3">
      <c r="A29" s="9">
        <v>1028</v>
      </c>
      <c r="B29" s="9" t="s">
        <v>45</v>
      </c>
      <c r="C29" s="4" t="s">
        <v>26</v>
      </c>
      <c r="D29" s="4" t="s">
        <v>20</v>
      </c>
      <c r="E29" s="4" t="s">
        <v>36</v>
      </c>
      <c r="F29" s="4">
        <v>13</v>
      </c>
      <c r="G29" s="4">
        <v>433</v>
      </c>
      <c r="H29" s="4">
        <v>2</v>
      </c>
      <c r="I29" s="7">
        <v>46116</v>
      </c>
      <c r="J29" s="7">
        <v>46121</v>
      </c>
      <c r="K29" s="4" t="s">
        <v>80</v>
      </c>
      <c r="L29" s="4" t="str">
        <f t="shared" si="0"/>
        <v>Not Eligible</v>
      </c>
    </row>
    <row r="30" spans="1:12" x14ac:dyDescent="0.3">
      <c r="A30" s="9">
        <v>1029</v>
      </c>
      <c r="B30" s="9" t="s">
        <v>30</v>
      </c>
      <c r="C30" s="4" t="s">
        <v>27</v>
      </c>
      <c r="D30" s="4" t="s">
        <v>20</v>
      </c>
      <c r="E30" s="4" t="s">
        <v>36</v>
      </c>
      <c r="F30" s="4">
        <v>18</v>
      </c>
      <c r="G30" s="4">
        <v>443</v>
      </c>
      <c r="H30" s="4">
        <v>5</v>
      </c>
      <c r="I30" s="7">
        <v>46046</v>
      </c>
      <c r="J30" s="7">
        <v>46054</v>
      </c>
      <c r="K30" s="4" t="s">
        <v>80</v>
      </c>
      <c r="L30" s="4" t="str">
        <f t="shared" si="0"/>
        <v>Not Eligible</v>
      </c>
    </row>
    <row r="31" spans="1:12" x14ac:dyDescent="0.3">
      <c r="A31" s="9">
        <v>1030</v>
      </c>
      <c r="B31" s="9" t="s">
        <v>50</v>
      </c>
      <c r="C31" s="4" t="s">
        <v>19</v>
      </c>
      <c r="D31" s="4" t="s">
        <v>20</v>
      </c>
      <c r="E31" s="4" t="s">
        <v>51</v>
      </c>
      <c r="F31" s="4">
        <v>13</v>
      </c>
      <c r="G31" s="4">
        <v>336</v>
      </c>
      <c r="H31" s="4">
        <v>10</v>
      </c>
      <c r="I31" s="7">
        <v>46098</v>
      </c>
      <c r="J31" s="7">
        <v>46108</v>
      </c>
      <c r="K31" s="4" t="s">
        <v>78</v>
      </c>
      <c r="L31" s="4" t="str">
        <f t="shared" si="0"/>
        <v>Not Eligible</v>
      </c>
    </row>
    <row r="32" spans="1:12" x14ac:dyDescent="0.3">
      <c r="A32" s="9">
        <v>1031</v>
      </c>
      <c r="B32" s="9" t="s">
        <v>52</v>
      </c>
      <c r="C32" s="4" t="s">
        <v>31</v>
      </c>
      <c r="D32" s="4" t="s">
        <v>20</v>
      </c>
      <c r="E32" s="4" t="s">
        <v>51</v>
      </c>
      <c r="F32" s="4">
        <v>2</v>
      </c>
      <c r="G32" s="4">
        <v>184</v>
      </c>
      <c r="H32" s="4">
        <v>5</v>
      </c>
      <c r="I32" s="7">
        <v>46089</v>
      </c>
      <c r="J32" s="7">
        <v>46093</v>
      </c>
      <c r="K32" s="4" t="s">
        <v>79</v>
      </c>
      <c r="L32" s="4" t="str">
        <f t="shared" si="0"/>
        <v>Not Eligible</v>
      </c>
    </row>
    <row r="33" spans="1:12" x14ac:dyDescent="0.3">
      <c r="A33" s="9">
        <v>1032</v>
      </c>
      <c r="B33" s="9" t="s">
        <v>52</v>
      </c>
      <c r="C33" s="4" t="s">
        <v>42</v>
      </c>
      <c r="D33" s="4" t="s">
        <v>34</v>
      </c>
      <c r="E33" s="4" t="s">
        <v>5</v>
      </c>
      <c r="F33" s="4">
        <v>20</v>
      </c>
      <c r="G33" s="4">
        <v>11305</v>
      </c>
      <c r="H33" s="4">
        <v>2</v>
      </c>
      <c r="I33" s="7">
        <v>46163</v>
      </c>
      <c r="J33" s="7">
        <v>46165</v>
      </c>
      <c r="K33" s="4" t="s">
        <v>49</v>
      </c>
      <c r="L33" s="4" t="str">
        <f t="shared" si="0"/>
        <v>Not Eligible</v>
      </c>
    </row>
    <row r="34" spans="1:12" x14ac:dyDescent="0.3">
      <c r="A34" s="9">
        <v>1033</v>
      </c>
      <c r="B34" s="9" t="s">
        <v>18</v>
      </c>
      <c r="C34" s="4" t="s">
        <v>42</v>
      </c>
      <c r="D34" s="4" t="s">
        <v>24</v>
      </c>
      <c r="E34" s="4" t="s">
        <v>7</v>
      </c>
      <c r="F34" s="4">
        <v>9</v>
      </c>
      <c r="G34" s="4">
        <v>4895</v>
      </c>
      <c r="H34" s="4">
        <v>2</v>
      </c>
      <c r="I34" s="7">
        <v>46082</v>
      </c>
      <c r="J34" s="7">
        <v>46084</v>
      </c>
      <c r="K34" s="4" t="s">
        <v>49</v>
      </c>
      <c r="L34" s="4" t="str">
        <f t="shared" si="0"/>
        <v>Not Eligible</v>
      </c>
    </row>
    <row r="35" spans="1:12" x14ac:dyDescent="0.3">
      <c r="A35" s="9">
        <v>1034</v>
      </c>
      <c r="B35" s="9" t="s">
        <v>53</v>
      </c>
      <c r="C35" s="4" t="s">
        <v>33</v>
      </c>
      <c r="D35" s="4" t="s">
        <v>24</v>
      </c>
      <c r="E35" s="4" t="s">
        <v>8</v>
      </c>
      <c r="F35" s="4">
        <v>17</v>
      </c>
      <c r="G35" s="4">
        <v>5104</v>
      </c>
      <c r="H35" s="4">
        <v>12</v>
      </c>
      <c r="I35" s="7">
        <v>46052</v>
      </c>
      <c r="J35" s="7">
        <v>46061</v>
      </c>
      <c r="K35" s="4" t="s">
        <v>81</v>
      </c>
      <c r="L35" s="4" t="str">
        <f t="shared" si="0"/>
        <v>Not Eligible</v>
      </c>
    </row>
    <row r="36" spans="1:12" x14ac:dyDescent="0.3">
      <c r="A36" s="9">
        <v>1035</v>
      </c>
      <c r="B36" s="9" t="s">
        <v>47</v>
      </c>
      <c r="C36" s="4" t="s">
        <v>42</v>
      </c>
      <c r="D36" s="4" t="s">
        <v>24</v>
      </c>
      <c r="E36" s="4" t="s">
        <v>11</v>
      </c>
      <c r="F36" s="4">
        <v>3</v>
      </c>
      <c r="G36" s="4">
        <v>9149</v>
      </c>
      <c r="H36" s="4">
        <v>0</v>
      </c>
      <c r="I36" s="7">
        <v>46031</v>
      </c>
      <c r="J36" s="7">
        <v>46034</v>
      </c>
      <c r="K36" s="4" t="s">
        <v>80</v>
      </c>
      <c r="L36" s="4" t="str">
        <f t="shared" si="0"/>
        <v>Not Eligible</v>
      </c>
    </row>
    <row r="37" spans="1:12" x14ac:dyDescent="0.3">
      <c r="A37" s="9">
        <v>1036</v>
      </c>
      <c r="B37" s="9" t="s">
        <v>18</v>
      </c>
      <c r="C37" s="4" t="s">
        <v>27</v>
      </c>
      <c r="D37" s="4" t="s">
        <v>20</v>
      </c>
      <c r="E37" s="4" t="s">
        <v>36</v>
      </c>
      <c r="F37" s="4">
        <v>20</v>
      </c>
      <c r="G37" s="4">
        <v>161</v>
      </c>
      <c r="H37" s="4">
        <v>7</v>
      </c>
      <c r="I37" s="7">
        <v>46071</v>
      </c>
      <c r="J37" s="7">
        <v>46077</v>
      </c>
      <c r="K37" s="4" t="s">
        <v>80</v>
      </c>
      <c r="L37" s="4" t="str">
        <f t="shared" si="0"/>
        <v>Not Eligible</v>
      </c>
    </row>
    <row r="38" spans="1:12" x14ac:dyDescent="0.3">
      <c r="A38" s="9">
        <v>1037</v>
      </c>
      <c r="B38" s="9" t="s">
        <v>44</v>
      </c>
      <c r="C38" s="4" t="s">
        <v>42</v>
      </c>
      <c r="D38" s="4" t="s">
        <v>24</v>
      </c>
      <c r="E38" s="4" t="s">
        <v>11</v>
      </c>
      <c r="F38" s="4">
        <v>6</v>
      </c>
      <c r="G38" s="4">
        <v>14385</v>
      </c>
      <c r="H38" s="4">
        <v>12</v>
      </c>
      <c r="I38" s="7">
        <v>46033</v>
      </c>
      <c r="J38" s="7">
        <v>46043</v>
      </c>
      <c r="K38" s="4" t="s">
        <v>80</v>
      </c>
      <c r="L38" s="4" t="str">
        <f t="shared" si="0"/>
        <v>Not Eligible</v>
      </c>
    </row>
    <row r="39" spans="1:12" x14ac:dyDescent="0.3">
      <c r="A39" s="9">
        <v>1038</v>
      </c>
      <c r="B39" s="9" t="s">
        <v>53</v>
      </c>
      <c r="C39" s="4" t="s">
        <v>23</v>
      </c>
      <c r="D39" s="4" t="s">
        <v>20</v>
      </c>
      <c r="E39" s="4" t="s">
        <v>36</v>
      </c>
      <c r="F39" s="4">
        <v>17</v>
      </c>
      <c r="G39" s="4">
        <v>223</v>
      </c>
      <c r="H39" s="4">
        <v>7</v>
      </c>
      <c r="I39" s="7">
        <v>46030</v>
      </c>
      <c r="J39" s="7">
        <v>46031</v>
      </c>
      <c r="K39" s="4" t="s">
        <v>81</v>
      </c>
      <c r="L39" s="4" t="str">
        <f t="shared" si="0"/>
        <v>Not Eligible</v>
      </c>
    </row>
    <row r="40" spans="1:12" x14ac:dyDescent="0.3">
      <c r="A40" s="9">
        <v>1039</v>
      </c>
      <c r="B40" s="9" t="s">
        <v>46</v>
      </c>
      <c r="C40" s="4" t="s">
        <v>38</v>
      </c>
      <c r="D40" s="4" t="s">
        <v>34</v>
      </c>
      <c r="E40" s="4" t="s">
        <v>6</v>
      </c>
      <c r="F40" s="4">
        <v>5</v>
      </c>
      <c r="G40" s="4">
        <v>60236</v>
      </c>
      <c r="H40" s="4">
        <v>10</v>
      </c>
      <c r="I40" s="7">
        <v>46107</v>
      </c>
      <c r="J40" s="7">
        <v>46110</v>
      </c>
      <c r="K40" s="4" t="s">
        <v>79</v>
      </c>
      <c r="L40" s="4" t="str">
        <f t="shared" si="0"/>
        <v>Eligible</v>
      </c>
    </row>
    <row r="41" spans="1:12" x14ac:dyDescent="0.3">
      <c r="A41" s="9">
        <v>1040</v>
      </c>
      <c r="B41" s="9" t="s">
        <v>47</v>
      </c>
      <c r="C41" s="4" t="s">
        <v>38</v>
      </c>
      <c r="D41" s="4" t="s">
        <v>24</v>
      </c>
      <c r="E41" s="4" t="s">
        <v>8</v>
      </c>
      <c r="F41" s="4">
        <v>10</v>
      </c>
      <c r="G41" s="4">
        <v>7531</v>
      </c>
      <c r="H41" s="4">
        <v>2</v>
      </c>
      <c r="I41" s="7">
        <v>46171</v>
      </c>
      <c r="J41" s="7">
        <v>46178</v>
      </c>
      <c r="K41" s="4" t="s">
        <v>80</v>
      </c>
      <c r="L41" s="4" t="str">
        <f t="shared" si="0"/>
        <v>Not Eligible</v>
      </c>
    </row>
    <row r="42" spans="1:12" x14ac:dyDescent="0.3">
      <c r="A42" s="9">
        <v>1041</v>
      </c>
      <c r="B42" s="9" t="s">
        <v>52</v>
      </c>
      <c r="C42" s="4" t="s">
        <v>38</v>
      </c>
      <c r="D42" s="4" t="s">
        <v>20</v>
      </c>
      <c r="E42" s="4" t="s">
        <v>48</v>
      </c>
      <c r="F42" s="4">
        <v>9</v>
      </c>
      <c r="G42" s="4">
        <v>71</v>
      </c>
      <c r="H42" s="4">
        <v>7</v>
      </c>
      <c r="I42" s="7">
        <v>46185</v>
      </c>
      <c r="J42" s="7">
        <v>46188</v>
      </c>
      <c r="K42" s="4" t="s">
        <v>78</v>
      </c>
      <c r="L42" s="4" t="str">
        <f t="shared" si="0"/>
        <v>Not Eligible</v>
      </c>
    </row>
    <row r="43" spans="1:12" x14ac:dyDescent="0.3">
      <c r="A43" s="9">
        <v>1042</v>
      </c>
      <c r="B43" s="9" t="s">
        <v>44</v>
      </c>
      <c r="C43" s="4" t="s">
        <v>33</v>
      </c>
      <c r="D43" s="4" t="s">
        <v>20</v>
      </c>
      <c r="E43" s="4" t="s">
        <v>51</v>
      </c>
      <c r="F43" s="4">
        <v>16</v>
      </c>
      <c r="G43" s="4">
        <v>232</v>
      </c>
      <c r="H43" s="4">
        <v>0</v>
      </c>
      <c r="I43" s="7">
        <v>46081</v>
      </c>
      <c r="J43" s="7">
        <v>46088</v>
      </c>
      <c r="K43" s="4" t="s">
        <v>49</v>
      </c>
      <c r="L43" s="4" t="str">
        <f t="shared" si="0"/>
        <v>Not Eligible</v>
      </c>
    </row>
    <row r="44" spans="1:12" x14ac:dyDescent="0.3">
      <c r="A44" s="9">
        <v>1043</v>
      </c>
      <c r="B44" s="9" t="s">
        <v>47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7">
        <v>46091</v>
      </c>
      <c r="J44" s="7">
        <v>46098</v>
      </c>
      <c r="K44" s="4" t="s">
        <v>49</v>
      </c>
      <c r="L44" s="4" t="str">
        <f t="shared" si="0"/>
        <v>Not Eligible</v>
      </c>
    </row>
    <row r="45" spans="1:12" x14ac:dyDescent="0.3">
      <c r="A45" s="9">
        <v>1044</v>
      </c>
      <c r="B45" s="9" t="s">
        <v>46</v>
      </c>
      <c r="C45" s="4" t="s">
        <v>38</v>
      </c>
      <c r="D45" s="4" t="s">
        <v>24</v>
      </c>
      <c r="E45" s="4" t="s">
        <v>7</v>
      </c>
      <c r="F45" s="4">
        <v>4</v>
      </c>
      <c r="G45" s="4">
        <v>14731</v>
      </c>
      <c r="H45" s="4">
        <v>2</v>
      </c>
      <c r="I45" s="7">
        <v>46173</v>
      </c>
      <c r="J45" s="7">
        <v>46176</v>
      </c>
      <c r="K45" s="4" t="s">
        <v>79</v>
      </c>
      <c r="L45" s="4" t="str">
        <f t="shared" si="0"/>
        <v>Not Eligible</v>
      </c>
    </row>
    <row r="46" spans="1:12" x14ac:dyDescent="0.3">
      <c r="A46" s="9">
        <v>1045</v>
      </c>
      <c r="B46" s="9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7">
        <v>46038</v>
      </c>
      <c r="J46" s="7">
        <v>46039</v>
      </c>
      <c r="K46" s="4" t="s">
        <v>49</v>
      </c>
      <c r="L46" s="4" t="str">
        <f t="shared" si="0"/>
        <v>Not Eligible</v>
      </c>
    </row>
    <row r="47" spans="1:12" x14ac:dyDescent="0.3">
      <c r="A47" s="9">
        <v>1046</v>
      </c>
      <c r="B47" s="9" t="s">
        <v>54</v>
      </c>
      <c r="C47" s="4" t="s">
        <v>38</v>
      </c>
      <c r="D47" s="4" t="s">
        <v>34</v>
      </c>
      <c r="E47" s="4" t="s">
        <v>6</v>
      </c>
      <c r="F47" s="4">
        <v>3</v>
      </c>
      <c r="G47" s="4">
        <v>19443</v>
      </c>
      <c r="H47" s="4">
        <v>10</v>
      </c>
      <c r="I47" s="7">
        <v>46153</v>
      </c>
      <c r="J47" s="7">
        <v>46158</v>
      </c>
      <c r="K47" s="4" t="s">
        <v>49</v>
      </c>
      <c r="L47" s="4" t="str">
        <f t="shared" si="0"/>
        <v>Eligible</v>
      </c>
    </row>
    <row r="48" spans="1:12" x14ac:dyDescent="0.3">
      <c r="A48" s="9">
        <v>1047</v>
      </c>
      <c r="B48" s="9" t="s">
        <v>55</v>
      </c>
      <c r="C48" s="4" t="s">
        <v>38</v>
      </c>
      <c r="D48" s="4" t="s">
        <v>24</v>
      </c>
      <c r="E48" s="4" t="s">
        <v>11</v>
      </c>
      <c r="F48" s="4">
        <v>11</v>
      </c>
      <c r="G48" s="4">
        <v>9976</v>
      </c>
      <c r="H48" s="4">
        <v>12</v>
      </c>
      <c r="I48" s="7">
        <v>46200</v>
      </c>
      <c r="J48" s="7">
        <v>46209</v>
      </c>
      <c r="K48" s="4" t="s">
        <v>78</v>
      </c>
      <c r="L48" s="4" t="str">
        <f t="shared" si="0"/>
        <v>Not Eligible</v>
      </c>
    </row>
    <row r="49" spans="1:12" x14ac:dyDescent="0.3">
      <c r="A49" s="9">
        <v>1048</v>
      </c>
      <c r="B49" s="9" t="s">
        <v>56</v>
      </c>
      <c r="C49" s="4" t="s">
        <v>27</v>
      </c>
      <c r="D49" s="4" t="s">
        <v>34</v>
      </c>
      <c r="E49" s="4" t="s">
        <v>9</v>
      </c>
      <c r="F49" s="4">
        <v>14</v>
      </c>
      <c r="G49" s="4">
        <v>11762</v>
      </c>
      <c r="H49" s="4">
        <v>7</v>
      </c>
      <c r="I49" s="7">
        <v>46180</v>
      </c>
      <c r="J49" s="7">
        <v>46186</v>
      </c>
      <c r="K49" s="4" t="s">
        <v>80</v>
      </c>
      <c r="L49" s="4" t="str">
        <f t="shared" si="0"/>
        <v>Not Eligible</v>
      </c>
    </row>
    <row r="50" spans="1:12" x14ac:dyDescent="0.3">
      <c r="A50" s="9">
        <v>1049</v>
      </c>
      <c r="B50" s="9" t="s">
        <v>50</v>
      </c>
      <c r="C50" s="4" t="s">
        <v>27</v>
      </c>
      <c r="D50" s="4" t="s">
        <v>34</v>
      </c>
      <c r="E50" s="4" t="s">
        <v>6</v>
      </c>
      <c r="F50" s="4">
        <v>2</v>
      </c>
      <c r="G50" s="4">
        <v>40789</v>
      </c>
      <c r="H50" s="4">
        <v>0</v>
      </c>
      <c r="I50" s="7">
        <v>46102</v>
      </c>
      <c r="J50" s="7">
        <v>46108</v>
      </c>
      <c r="K50" s="4" t="s">
        <v>80</v>
      </c>
      <c r="L50" s="4" t="str">
        <f t="shared" si="0"/>
        <v>Not Eligible</v>
      </c>
    </row>
    <row r="51" spans="1:12" x14ac:dyDescent="0.3">
      <c r="A51" s="9">
        <v>1050</v>
      </c>
      <c r="B51" s="9" t="s">
        <v>32</v>
      </c>
      <c r="C51" s="4" t="s">
        <v>27</v>
      </c>
      <c r="D51" s="4" t="s">
        <v>20</v>
      </c>
      <c r="E51" s="4" t="s">
        <v>51</v>
      </c>
      <c r="F51" s="4">
        <v>12</v>
      </c>
      <c r="G51" s="4">
        <v>360</v>
      </c>
      <c r="H51" s="4">
        <v>5</v>
      </c>
      <c r="I51" s="7">
        <v>46127</v>
      </c>
      <c r="J51" s="7">
        <v>46137</v>
      </c>
      <c r="K51" s="4" t="s">
        <v>49</v>
      </c>
      <c r="L51" s="4" t="str">
        <f t="shared" si="0"/>
        <v>Not Eligible</v>
      </c>
    </row>
    <row r="52" spans="1:12" x14ac:dyDescent="0.3">
      <c r="A52" s="9">
        <v>1051</v>
      </c>
      <c r="B52" s="9" t="s">
        <v>55</v>
      </c>
      <c r="C52" s="4" t="s">
        <v>23</v>
      </c>
      <c r="D52" s="4" t="s">
        <v>20</v>
      </c>
      <c r="E52" s="4" t="s">
        <v>36</v>
      </c>
      <c r="F52" s="4">
        <v>12</v>
      </c>
      <c r="G52" s="4">
        <v>47</v>
      </c>
      <c r="H52" s="4">
        <v>2</v>
      </c>
      <c r="I52" s="7">
        <v>46037</v>
      </c>
      <c r="J52" s="7">
        <v>46045</v>
      </c>
      <c r="K52" s="4" t="s">
        <v>78</v>
      </c>
      <c r="L52" s="4" t="str">
        <f t="shared" si="0"/>
        <v>Not Eligible</v>
      </c>
    </row>
    <row r="53" spans="1:12" x14ac:dyDescent="0.3">
      <c r="A53" s="9">
        <v>1052</v>
      </c>
      <c r="B53" s="9" t="s">
        <v>53</v>
      </c>
      <c r="C53" s="4" t="s">
        <v>19</v>
      </c>
      <c r="D53" s="4" t="s">
        <v>20</v>
      </c>
      <c r="E53" s="4" t="s">
        <v>21</v>
      </c>
      <c r="F53" s="4">
        <v>17</v>
      </c>
      <c r="G53" s="4">
        <v>172</v>
      </c>
      <c r="H53" s="4">
        <v>10</v>
      </c>
      <c r="I53" s="7">
        <v>46159</v>
      </c>
      <c r="J53" s="7">
        <v>46165</v>
      </c>
      <c r="K53" s="4" t="s">
        <v>79</v>
      </c>
      <c r="L53" s="4" t="str">
        <f t="shared" si="0"/>
        <v>Not Eligible</v>
      </c>
    </row>
    <row r="54" spans="1:12" x14ac:dyDescent="0.3">
      <c r="A54" s="9">
        <v>1053</v>
      </c>
      <c r="B54" s="9" t="s">
        <v>22</v>
      </c>
      <c r="C54" s="4" t="s">
        <v>33</v>
      </c>
      <c r="D54" s="4" t="s">
        <v>24</v>
      </c>
      <c r="E54" s="4" t="s">
        <v>8</v>
      </c>
      <c r="F54" s="4">
        <v>1</v>
      </c>
      <c r="G54" s="4">
        <v>9749</v>
      </c>
      <c r="H54" s="4">
        <v>15</v>
      </c>
      <c r="I54" s="7">
        <v>46064</v>
      </c>
      <c r="J54" s="7">
        <v>46070</v>
      </c>
      <c r="K54" s="4" t="s">
        <v>80</v>
      </c>
      <c r="L54" s="4" t="str">
        <f t="shared" si="0"/>
        <v>Not Eligible</v>
      </c>
    </row>
    <row r="55" spans="1:12" x14ac:dyDescent="0.3">
      <c r="A55" s="9">
        <v>1054</v>
      </c>
      <c r="B55" s="9" t="s">
        <v>28</v>
      </c>
      <c r="C55" s="4" t="s">
        <v>27</v>
      </c>
      <c r="D55" s="4" t="s">
        <v>24</v>
      </c>
      <c r="E55" s="4" t="s">
        <v>10</v>
      </c>
      <c r="F55" s="4">
        <v>8</v>
      </c>
      <c r="G55" s="4">
        <v>9798</v>
      </c>
      <c r="H55" s="4">
        <v>12</v>
      </c>
      <c r="I55" s="7">
        <v>46200</v>
      </c>
      <c r="J55" s="7">
        <v>46201</v>
      </c>
      <c r="K55" s="4" t="s">
        <v>81</v>
      </c>
      <c r="L55" s="4" t="str">
        <f t="shared" si="0"/>
        <v>Not Eligible</v>
      </c>
    </row>
    <row r="56" spans="1:12" x14ac:dyDescent="0.3">
      <c r="A56" s="9">
        <v>1055</v>
      </c>
      <c r="B56" s="9" t="s">
        <v>46</v>
      </c>
      <c r="C56" s="4" t="s">
        <v>19</v>
      </c>
      <c r="D56" s="4" t="s">
        <v>20</v>
      </c>
      <c r="E56" s="4" t="s">
        <v>37</v>
      </c>
      <c r="F56" s="4">
        <v>18</v>
      </c>
      <c r="G56" s="4">
        <v>185</v>
      </c>
      <c r="H56" s="4">
        <v>15</v>
      </c>
      <c r="I56" s="7">
        <v>46077</v>
      </c>
      <c r="J56" s="7">
        <v>46078</v>
      </c>
      <c r="K56" s="4" t="s">
        <v>78</v>
      </c>
      <c r="L56" s="4" t="str">
        <f t="shared" si="0"/>
        <v>Not Eligible</v>
      </c>
    </row>
    <row r="57" spans="1:12" x14ac:dyDescent="0.3">
      <c r="A57" s="9">
        <v>1056</v>
      </c>
      <c r="B57" s="9" t="s">
        <v>18</v>
      </c>
      <c r="C57" s="4" t="s">
        <v>26</v>
      </c>
      <c r="D57" s="4" t="s">
        <v>24</v>
      </c>
      <c r="E57" s="4" t="s">
        <v>7</v>
      </c>
      <c r="F57" s="4">
        <v>3</v>
      </c>
      <c r="G57" s="4">
        <v>9771</v>
      </c>
      <c r="H57" s="4">
        <v>5</v>
      </c>
      <c r="I57" s="7">
        <v>46133</v>
      </c>
      <c r="J57" s="7">
        <v>46139</v>
      </c>
      <c r="K57" s="4" t="s">
        <v>80</v>
      </c>
      <c r="L57" s="4" t="str">
        <f t="shared" si="0"/>
        <v>Not Eligible</v>
      </c>
    </row>
    <row r="58" spans="1:12" x14ac:dyDescent="0.3">
      <c r="A58" s="9">
        <v>1057</v>
      </c>
      <c r="B58" s="9" t="s">
        <v>56</v>
      </c>
      <c r="C58" s="4" t="s">
        <v>26</v>
      </c>
      <c r="D58" s="4" t="s">
        <v>24</v>
      </c>
      <c r="E58" s="4" t="s">
        <v>8</v>
      </c>
      <c r="F58" s="4">
        <v>2</v>
      </c>
      <c r="G58" s="4">
        <v>9531</v>
      </c>
      <c r="H58" s="4">
        <v>15</v>
      </c>
      <c r="I58" s="7">
        <v>46067</v>
      </c>
      <c r="J58" s="7">
        <v>46076</v>
      </c>
      <c r="K58" s="4" t="s">
        <v>81</v>
      </c>
      <c r="L58" s="4" t="str">
        <f t="shared" si="0"/>
        <v>Not Eligible</v>
      </c>
    </row>
    <row r="59" spans="1:12" x14ac:dyDescent="0.3">
      <c r="A59" s="9">
        <v>1058</v>
      </c>
      <c r="B59" s="9" t="s">
        <v>50</v>
      </c>
      <c r="C59" s="4" t="s">
        <v>38</v>
      </c>
      <c r="D59" s="4" t="s">
        <v>24</v>
      </c>
      <c r="E59" s="4" t="s">
        <v>8</v>
      </c>
      <c r="F59" s="4">
        <v>10</v>
      </c>
      <c r="G59" s="4">
        <v>5532</v>
      </c>
      <c r="H59" s="4">
        <v>7</v>
      </c>
      <c r="I59" s="7">
        <v>46074</v>
      </c>
      <c r="J59" s="7">
        <v>46084</v>
      </c>
      <c r="K59" s="4" t="s">
        <v>80</v>
      </c>
      <c r="L59" s="4" t="str">
        <f t="shared" si="0"/>
        <v>Not Eligible</v>
      </c>
    </row>
    <row r="60" spans="1:12" x14ac:dyDescent="0.3">
      <c r="A60" s="9">
        <v>1059</v>
      </c>
      <c r="B60" s="9" t="s">
        <v>52</v>
      </c>
      <c r="C60" s="4" t="s">
        <v>27</v>
      </c>
      <c r="D60" s="4" t="s">
        <v>20</v>
      </c>
      <c r="E60" s="4" t="s">
        <v>48</v>
      </c>
      <c r="F60" s="4">
        <v>20</v>
      </c>
      <c r="G60" s="4">
        <v>112</v>
      </c>
      <c r="H60" s="4">
        <v>10</v>
      </c>
      <c r="I60" s="7">
        <v>46113</v>
      </c>
      <c r="J60" s="7">
        <v>46122</v>
      </c>
      <c r="K60" s="4" t="s">
        <v>81</v>
      </c>
      <c r="L60" s="4" t="str">
        <f t="shared" si="0"/>
        <v>Not Eligible</v>
      </c>
    </row>
    <row r="61" spans="1:12" x14ac:dyDescent="0.3">
      <c r="A61" s="9">
        <v>1060</v>
      </c>
      <c r="B61" s="9" t="s">
        <v>47</v>
      </c>
      <c r="C61" s="4" t="s">
        <v>19</v>
      </c>
      <c r="D61" s="4" t="s">
        <v>24</v>
      </c>
      <c r="E61" s="4" t="s">
        <v>43</v>
      </c>
      <c r="F61" s="4">
        <v>9</v>
      </c>
      <c r="G61" s="4">
        <v>9727</v>
      </c>
      <c r="H61" s="4">
        <v>2</v>
      </c>
      <c r="I61" s="7">
        <v>46024</v>
      </c>
      <c r="J61" s="7">
        <v>46030</v>
      </c>
      <c r="K61" s="4" t="s">
        <v>79</v>
      </c>
      <c r="L61" s="4" t="str">
        <f t="shared" si="0"/>
        <v>Not Eligible</v>
      </c>
    </row>
    <row r="62" spans="1:12" x14ac:dyDescent="0.3">
      <c r="A62" s="9">
        <v>1061</v>
      </c>
      <c r="B62" s="9" t="s">
        <v>54</v>
      </c>
      <c r="C62" s="4" t="s">
        <v>19</v>
      </c>
      <c r="D62" s="4" t="s">
        <v>34</v>
      </c>
      <c r="E62" s="4" t="s">
        <v>40</v>
      </c>
      <c r="F62" s="4">
        <v>16</v>
      </c>
      <c r="G62" s="4">
        <v>59084</v>
      </c>
      <c r="H62" s="4">
        <v>0</v>
      </c>
      <c r="I62" s="7">
        <v>46060</v>
      </c>
      <c r="J62" s="7">
        <v>46069</v>
      </c>
      <c r="K62" s="4" t="s">
        <v>79</v>
      </c>
      <c r="L62" s="4" t="str">
        <f t="shared" si="0"/>
        <v>Not Eligible</v>
      </c>
    </row>
    <row r="63" spans="1:12" x14ac:dyDescent="0.3">
      <c r="A63" s="9">
        <v>1062</v>
      </c>
      <c r="B63" s="9" t="s">
        <v>39</v>
      </c>
      <c r="C63" s="4" t="s">
        <v>42</v>
      </c>
      <c r="D63" s="4" t="s">
        <v>24</v>
      </c>
      <c r="E63" s="4" t="s">
        <v>10</v>
      </c>
      <c r="F63" s="4">
        <v>8</v>
      </c>
      <c r="G63" s="4">
        <v>8360</v>
      </c>
      <c r="H63" s="4">
        <v>2</v>
      </c>
      <c r="I63" s="7">
        <v>46190</v>
      </c>
      <c r="J63" s="7">
        <v>46200</v>
      </c>
      <c r="K63" s="4" t="s">
        <v>81</v>
      </c>
      <c r="L63" s="4" t="str">
        <f t="shared" si="0"/>
        <v>Not Eligible</v>
      </c>
    </row>
    <row r="64" spans="1:12" x14ac:dyDescent="0.3">
      <c r="A64" s="9">
        <v>1063</v>
      </c>
      <c r="B64" s="9" t="s">
        <v>52</v>
      </c>
      <c r="C64" s="4" t="s">
        <v>26</v>
      </c>
      <c r="D64" s="4" t="s">
        <v>34</v>
      </c>
      <c r="E64" s="4" t="s">
        <v>6</v>
      </c>
      <c r="F64" s="4">
        <v>7</v>
      </c>
      <c r="G64" s="4">
        <v>66744</v>
      </c>
      <c r="H64" s="4">
        <v>7</v>
      </c>
      <c r="I64" s="7">
        <v>46148</v>
      </c>
      <c r="J64" s="7">
        <v>46155</v>
      </c>
      <c r="K64" s="4" t="s">
        <v>78</v>
      </c>
      <c r="L64" s="4" t="str">
        <f t="shared" si="0"/>
        <v>Not Eligible</v>
      </c>
    </row>
    <row r="65" spans="1:12" x14ac:dyDescent="0.3">
      <c r="A65" s="9">
        <v>1064</v>
      </c>
      <c r="B65" s="9" t="s">
        <v>28</v>
      </c>
      <c r="C65" s="4" t="s">
        <v>23</v>
      </c>
      <c r="D65" s="4" t="s">
        <v>20</v>
      </c>
      <c r="E65" s="4" t="s">
        <v>48</v>
      </c>
      <c r="F65" s="4">
        <v>20</v>
      </c>
      <c r="G65" s="4">
        <v>191</v>
      </c>
      <c r="H65" s="4">
        <v>7</v>
      </c>
      <c r="I65" s="7">
        <v>46185</v>
      </c>
      <c r="J65" s="7">
        <v>46195</v>
      </c>
      <c r="K65" s="4" t="s">
        <v>49</v>
      </c>
      <c r="L65" s="4" t="str">
        <f t="shared" si="0"/>
        <v>Not Eligible</v>
      </c>
    </row>
    <row r="66" spans="1:12" x14ac:dyDescent="0.3">
      <c r="A66" s="9">
        <v>1065</v>
      </c>
      <c r="B66" s="9" t="s">
        <v>41</v>
      </c>
      <c r="C66" s="4" t="s">
        <v>42</v>
      </c>
      <c r="D66" s="4" t="s">
        <v>24</v>
      </c>
      <c r="E66" s="4" t="s">
        <v>43</v>
      </c>
      <c r="F66" s="4">
        <v>1</v>
      </c>
      <c r="G66" s="4">
        <v>7730</v>
      </c>
      <c r="H66" s="4">
        <v>5</v>
      </c>
      <c r="I66" s="7">
        <v>46192</v>
      </c>
      <c r="J66" s="7">
        <v>46195</v>
      </c>
      <c r="K66" s="4" t="s">
        <v>81</v>
      </c>
      <c r="L66" s="4" t="str">
        <f t="shared" si="0"/>
        <v>Not Eligible</v>
      </c>
    </row>
    <row r="67" spans="1:12" x14ac:dyDescent="0.3">
      <c r="A67" s="9">
        <v>1066</v>
      </c>
      <c r="B67" s="9" t="s">
        <v>45</v>
      </c>
      <c r="C67" s="4" t="s">
        <v>27</v>
      </c>
      <c r="D67" s="4" t="s">
        <v>24</v>
      </c>
      <c r="E67" s="4" t="s">
        <v>43</v>
      </c>
      <c r="F67" s="4">
        <v>15</v>
      </c>
      <c r="G67" s="4">
        <v>11987</v>
      </c>
      <c r="H67" s="4">
        <v>5</v>
      </c>
      <c r="I67" s="7">
        <v>46082</v>
      </c>
      <c r="J67" s="7">
        <v>46083</v>
      </c>
      <c r="K67" s="4" t="s">
        <v>78</v>
      </c>
      <c r="L67" s="4" t="str">
        <f t="shared" ref="L67:L130" si="1">IF(AND(D67="Electronics", H67&gt;=10), "Eligible", "Not Eligible")</f>
        <v>Not Eligible</v>
      </c>
    </row>
    <row r="68" spans="1:12" x14ac:dyDescent="0.3">
      <c r="A68" s="9">
        <v>1067</v>
      </c>
      <c r="B68" s="9" t="s">
        <v>32</v>
      </c>
      <c r="C68" s="4" t="s">
        <v>42</v>
      </c>
      <c r="D68" s="4" t="s">
        <v>24</v>
      </c>
      <c r="E68" s="4" t="s">
        <v>11</v>
      </c>
      <c r="F68" s="4">
        <v>14</v>
      </c>
      <c r="G68" s="4">
        <v>10869</v>
      </c>
      <c r="H68" s="4">
        <v>0</v>
      </c>
      <c r="I68" s="7">
        <v>46058</v>
      </c>
      <c r="J68" s="7">
        <v>46062</v>
      </c>
      <c r="K68" s="4" t="s">
        <v>49</v>
      </c>
      <c r="L68" s="4" t="str">
        <f t="shared" si="1"/>
        <v>Not Eligible</v>
      </c>
    </row>
    <row r="69" spans="1:12" x14ac:dyDescent="0.3">
      <c r="A69" s="9">
        <v>1068</v>
      </c>
      <c r="B69" s="9" t="s">
        <v>50</v>
      </c>
      <c r="C69" s="4" t="s">
        <v>42</v>
      </c>
      <c r="D69" s="4" t="s">
        <v>34</v>
      </c>
      <c r="E69" s="4" t="s">
        <v>9</v>
      </c>
      <c r="F69" s="4">
        <v>15</v>
      </c>
      <c r="G69" s="4">
        <v>14534</v>
      </c>
      <c r="H69" s="4">
        <v>5</v>
      </c>
      <c r="I69" s="7">
        <v>46196</v>
      </c>
      <c r="J69" s="7">
        <v>46199</v>
      </c>
      <c r="K69" s="4" t="s">
        <v>49</v>
      </c>
      <c r="L69" s="4" t="str">
        <f t="shared" si="1"/>
        <v>Not Eligible</v>
      </c>
    </row>
    <row r="70" spans="1:12" x14ac:dyDescent="0.3">
      <c r="A70" s="9">
        <v>1069</v>
      </c>
      <c r="B70" s="9" t="s">
        <v>50</v>
      </c>
      <c r="C70" s="4" t="s">
        <v>31</v>
      </c>
      <c r="D70" s="4" t="s">
        <v>24</v>
      </c>
      <c r="E70" s="4" t="s">
        <v>8</v>
      </c>
      <c r="F70" s="4">
        <v>9</v>
      </c>
      <c r="G70" s="4">
        <v>4415</v>
      </c>
      <c r="H70" s="4">
        <v>5</v>
      </c>
      <c r="I70" s="7">
        <v>46039</v>
      </c>
      <c r="J70" s="7">
        <v>46046</v>
      </c>
      <c r="K70" s="4" t="s">
        <v>78</v>
      </c>
      <c r="L70" s="4" t="str">
        <f t="shared" si="1"/>
        <v>Not Eligible</v>
      </c>
    </row>
    <row r="71" spans="1:12" x14ac:dyDescent="0.3">
      <c r="A71" s="9">
        <v>1070</v>
      </c>
      <c r="B71" s="9" t="s">
        <v>50</v>
      </c>
      <c r="C71" s="4" t="s">
        <v>42</v>
      </c>
      <c r="D71" s="4" t="s">
        <v>20</v>
      </c>
      <c r="E71" s="4" t="s">
        <v>36</v>
      </c>
      <c r="F71" s="4">
        <v>10</v>
      </c>
      <c r="G71" s="4">
        <v>233</v>
      </c>
      <c r="H71" s="4">
        <v>7</v>
      </c>
      <c r="I71" s="7">
        <v>46076</v>
      </c>
      <c r="J71" s="7">
        <v>46077</v>
      </c>
      <c r="K71" s="4" t="s">
        <v>49</v>
      </c>
      <c r="L71" s="4" t="str">
        <f t="shared" si="1"/>
        <v>Not Eligible</v>
      </c>
    </row>
    <row r="72" spans="1:12" x14ac:dyDescent="0.3">
      <c r="A72" s="9">
        <v>1071</v>
      </c>
      <c r="B72" s="9" t="s">
        <v>56</v>
      </c>
      <c r="C72" s="4" t="s">
        <v>26</v>
      </c>
      <c r="D72" s="4" t="s">
        <v>34</v>
      </c>
      <c r="E72" s="4" t="s">
        <v>12</v>
      </c>
      <c r="F72" s="4">
        <v>18</v>
      </c>
      <c r="G72" s="4">
        <v>32197</v>
      </c>
      <c r="H72" s="4">
        <v>5</v>
      </c>
      <c r="I72" s="7">
        <v>46129</v>
      </c>
      <c r="J72" s="7">
        <v>46137</v>
      </c>
      <c r="K72" s="4" t="s">
        <v>79</v>
      </c>
      <c r="L72" s="4" t="str">
        <f t="shared" si="1"/>
        <v>Not Eligible</v>
      </c>
    </row>
    <row r="73" spans="1:12" x14ac:dyDescent="0.3">
      <c r="A73" s="9">
        <v>1072</v>
      </c>
      <c r="B73" s="9" t="s">
        <v>22</v>
      </c>
      <c r="C73" s="4" t="s">
        <v>27</v>
      </c>
      <c r="D73" s="4" t="s">
        <v>34</v>
      </c>
      <c r="E73" s="4" t="s">
        <v>12</v>
      </c>
      <c r="F73" s="4">
        <v>20</v>
      </c>
      <c r="G73" s="4">
        <v>58779</v>
      </c>
      <c r="H73" s="4">
        <v>0</v>
      </c>
      <c r="I73" s="7">
        <v>46035</v>
      </c>
      <c r="J73" s="7">
        <v>46036</v>
      </c>
      <c r="K73" s="4" t="s">
        <v>80</v>
      </c>
      <c r="L73" s="4" t="str">
        <f t="shared" si="1"/>
        <v>Not Eligible</v>
      </c>
    </row>
    <row r="74" spans="1:12" x14ac:dyDescent="0.3">
      <c r="A74" s="9">
        <v>1073</v>
      </c>
      <c r="B74" s="9" t="s">
        <v>55</v>
      </c>
      <c r="C74" s="4" t="s">
        <v>23</v>
      </c>
      <c r="D74" s="4" t="s">
        <v>24</v>
      </c>
      <c r="E74" s="4" t="s">
        <v>11</v>
      </c>
      <c r="F74" s="4">
        <v>4</v>
      </c>
      <c r="G74" s="4">
        <v>2453</v>
      </c>
      <c r="H74" s="4">
        <v>7</v>
      </c>
      <c r="I74" s="7">
        <v>46126</v>
      </c>
      <c r="J74" s="7">
        <v>46129</v>
      </c>
      <c r="K74" s="4" t="s">
        <v>81</v>
      </c>
      <c r="L74" s="4" t="str">
        <f t="shared" si="1"/>
        <v>Not Eligible</v>
      </c>
    </row>
    <row r="75" spans="1:12" x14ac:dyDescent="0.3">
      <c r="A75" s="9">
        <v>1074</v>
      </c>
      <c r="B75" s="9" t="s">
        <v>28</v>
      </c>
      <c r="C75" s="4" t="s">
        <v>31</v>
      </c>
      <c r="D75" s="4" t="s">
        <v>20</v>
      </c>
      <c r="E75" s="4" t="s">
        <v>48</v>
      </c>
      <c r="F75" s="4">
        <v>11</v>
      </c>
      <c r="G75" s="4">
        <v>390</v>
      </c>
      <c r="H75" s="4">
        <v>15</v>
      </c>
      <c r="I75" s="7">
        <v>46114</v>
      </c>
      <c r="J75" s="7">
        <v>46123</v>
      </c>
      <c r="K75" s="4" t="s">
        <v>49</v>
      </c>
      <c r="L75" s="4" t="str">
        <f t="shared" si="1"/>
        <v>Not Eligible</v>
      </c>
    </row>
    <row r="76" spans="1:12" x14ac:dyDescent="0.3">
      <c r="A76" s="9">
        <v>1075</v>
      </c>
      <c r="B76" s="9" t="s">
        <v>41</v>
      </c>
      <c r="C76" s="4" t="s">
        <v>42</v>
      </c>
      <c r="D76" s="4" t="s">
        <v>34</v>
      </c>
      <c r="E76" s="4" t="s">
        <v>12</v>
      </c>
      <c r="F76" s="4">
        <v>4</v>
      </c>
      <c r="G76" s="4">
        <v>64773</v>
      </c>
      <c r="H76" s="4">
        <v>10</v>
      </c>
      <c r="I76" s="7">
        <v>46185</v>
      </c>
      <c r="J76" s="7">
        <v>46186</v>
      </c>
      <c r="K76" s="4" t="s">
        <v>81</v>
      </c>
      <c r="L76" s="4" t="str">
        <f t="shared" si="1"/>
        <v>Eligible</v>
      </c>
    </row>
    <row r="77" spans="1:12" x14ac:dyDescent="0.3">
      <c r="A77" s="9">
        <v>1076</v>
      </c>
      <c r="B77" s="9" t="s">
        <v>49</v>
      </c>
      <c r="C77" s="4" t="s">
        <v>23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7">
        <v>46045</v>
      </c>
      <c r="J77" s="7">
        <v>46055</v>
      </c>
      <c r="K77" s="4" t="s">
        <v>49</v>
      </c>
      <c r="L77" s="4" t="str">
        <f t="shared" si="1"/>
        <v>Not Eligible</v>
      </c>
    </row>
    <row r="78" spans="1:12" x14ac:dyDescent="0.3">
      <c r="A78" s="9">
        <v>1077</v>
      </c>
      <c r="B78" s="9" t="s">
        <v>53</v>
      </c>
      <c r="C78" s="4" t="s">
        <v>27</v>
      </c>
      <c r="D78" s="4" t="s">
        <v>20</v>
      </c>
      <c r="E78" s="4" t="s">
        <v>21</v>
      </c>
      <c r="F78" s="4">
        <v>1</v>
      </c>
      <c r="G78" s="4">
        <v>123</v>
      </c>
      <c r="H78" s="4">
        <v>10</v>
      </c>
      <c r="I78" s="7">
        <v>46113</v>
      </c>
      <c r="J78" s="7">
        <v>46121</v>
      </c>
      <c r="K78" s="4" t="s">
        <v>81</v>
      </c>
      <c r="L78" s="4" t="str">
        <f t="shared" si="1"/>
        <v>Not Eligible</v>
      </c>
    </row>
    <row r="79" spans="1:12" x14ac:dyDescent="0.3">
      <c r="A79" s="9">
        <v>1078</v>
      </c>
      <c r="B79" s="9" t="s">
        <v>50</v>
      </c>
      <c r="C79" s="4" t="s">
        <v>23</v>
      </c>
      <c r="D79" s="4" t="s">
        <v>34</v>
      </c>
      <c r="E79" s="4" t="s">
        <v>5</v>
      </c>
      <c r="F79" s="4">
        <v>11</v>
      </c>
      <c r="G79" s="4">
        <v>24278</v>
      </c>
      <c r="H79" s="4">
        <v>12</v>
      </c>
      <c r="I79" s="7">
        <v>46084</v>
      </c>
      <c r="J79" s="7">
        <v>46090</v>
      </c>
      <c r="K79" s="4" t="s">
        <v>49</v>
      </c>
      <c r="L79" s="4" t="str">
        <f t="shared" si="1"/>
        <v>Eligible</v>
      </c>
    </row>
    <row r="80" spans="1:12" x14ac:dyDescent="0.3">
      <c r="A80" s="9">
        <v>1079</v>
      </c>
      <c r="B80" s="9" t="s">
        <v>28</v>
      </c>
      <c r="C80" s="4" t="s">
        <v>38</v>
      </c>
      <c r="D80" s="4" t="s">
        <v>34</v>
      </c>
      <c r="E80" s="4" t="s">
        <v>40</v>
      </c>
      <c r="F80" s="4">
        <v>19</v>
      </c>
      <c r="G80" s="4">
        <v>48956</v>
      </c>
      <c r="H80" s="4">
        <v>12</v>
      </c>
      <c r="I80" s="7">
        <v>46170</v>
      </c>
      <c r="J80" s="7">
        <v>46177</v>
      </c>
      <c r="K80" s="4" t="s">
        <v>81</v>
      </c>
      <c r="L80" s="4" t="str">
        <f t="shared" si="1"/>
        <v>Eligible</v>
      </c>
    </row>
    <row r="81" spans="1:12" x14ac:dyDescent="0.3">
      <c r="A81" s="9">
        <v>1080</v>
      </c>
      <c r="B81" s="9" t="s">
        <v>25</v>
      </c>
      <c r="C81" s="4" t="s">
        <v>26</v>
      </c>
      <c r="D81" s="4" t="s">
        <v>34</v>
      </c>
      <c r="E81" s="4" t="s">
        <v>40</v>
      </c>
      <c r="F81" s="4">
        <v>12</v>
      </c>
      <c r="G81" s="4">
        <v>54161</v>
      </c>
      <c r="H81" s="4">
        <v>15</v>
      </c>
      <c r="I81" s="7">
        <v>46133</v>
      </c>
      <c r="J81" s="7">
        <v>46143</v>
      </c>
      <c r="K81" s="4" t="s">
        <v>80</v>
      </c>
      <c r="L81" s="4" t="str">
        <f t="shared" si="1"/>
        <v>Eligible</v>
      </c>
    </row>
    <row r="82" spans="1:12" x14ac:dyDescent="0.3">
      <c r="A82" s="9">
        <v>1081</v>
      </c>
      <c r="B82" s="9" t="s">
        <v>45</v>
      </c>
      <c r="C82" s="4" t="s">
        <v>19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7">
        <v>46058</v>
      </c>
      <c r="J82" s="7">
        <v>46060</v>
      </c>
      <c r="K82" s="4" t="s">
        <v>81</v>
      </c>
      <c r="L82" s="4" t="str">
        <f t="shared" si="1"/>
        <v>Not Eligible</v>
      </c>
    </row>
    <row r="83" spans="1:12" x14ac:dyDescent="0.3">
      <c r="A83" s="9">
        <v>1082</v>
      </c>
      <c r="B83" s="9" t="s">
        <v>25</v>
      </c>
      <c r="C83" s="4" t="s">
        <v>19</v>
      </c>
      <c r="D83" s="4" t="s">
        <v>20</v>
      </c>
      <c r="E83" s="4" t="s">
        <v>21</v>
      </c>
      <c r="F83" s="4">
        <v>7</v>
      </c>
      <c r="G83" s="4">
        <v>133</v>
      </c>
      <c r="H83" s="4">
        <v>10</v>
      </c>
      <c r="I83" s="7">
        <v>46075</v>
      </c>
      <c r="J83" s="7">
        <v>46085</v>
      </c>
      <c r="K83" s="4" t="s">
        <v>81</v>
      </c>
      <c r="L83" s="4" t="str">
        <f t="shared" si="1"/>
        <v>Not Eligible</v>
      </c>
    </row>
    <row r="84" spans="1:12" x14ac:dyDescent="0.3">
      <c r="A84" s="9">
        <v>1083</v>
      </c>
      <c r="B84" s="9" t="s">
        <v>53</v>
      </c>
      <c r="C84" s="4" t="s">
        <v>33</v>
      </c>
      <c r="D84" s="4" t="s">
        <v>20</v>
      </c>
      <c r="E84" s="4" t="s">
        <v>51</v>
      </c>
      <c r="F84" s="4">
        <v>4</v>
      </c>
      <c r="G84" s="4">
        <v>397</v>
      </c>
      <c r="H84" s="4">
        <v>7</v>
      </c>
      <c r="I84" s="7">
        <v>46185</v>
      </c>
      <c r="J84" s="7">
        <v>46193</v>
      </c>
      <c r="K84" s="4" t="s">
        <v>78</v>
      </c>
      <c r="L84" s="4" t="str">
        <f t="shared" si="1"/>
        <v>Not Eligible</v>
      </c>
    </row>
    <row r="85" spans="1:12" x14ac:dyDescent="0.3">
      <c r="A85" s="9">
        <v>1084</v>
      </c>
      <c r="B85" s="9" t="s">
        <v>47</v>
      </c>
      <c r="C85" s="4" t="s">
        <v>31</v>
      </c>
      <c r="D85" s="4" t="s">
        <v>24</v>
      </c>
      <c r="E85" s="4" t="s">
        <v>8</v>
      </c>
      <c r="F85" s="4">
        <v>4</v>
      </c>
      <c r="G85" s="4">
        <v>6901</v>
      </c>
      <c r="H85" s="4">
        <v>10</v>
      </c>
      <c r="I85" s="7">
        <v>46047</v>
      </c>
      <c r="J85" s="7">
        <v>46057</v>
      </c>
      <c r="K85" s="4" t="s">
        <v>79</v>
      </c>
      <c r="L85" s="4" t="str">
        <f t="shared" si="1"/>
        <v>Not Eligible</v>
      </c>
    </row>
    <row r="86" spans="1:12" x14ac:dyDescent="0.3">
      <c r="A86" s="9">
        <v>1085</v>
      </c>
      <c r="B86" s="9" t="s">
        <v>32</v>
      </c>
      <c r="C86" s="4" t="s">
        <v>38</v>
      </c>
      <c r="D86" s="4" t="s">
        <v>34</v>
      </c>
      <c r="E86" s="4" t="s">
        <v>9</v>
      </c>
      <c r="F86" s="4">
        <v>19</v>
      </c>
      <c r="G86" s="4">
        <v>45307</v>
      </c>
      <c r="H86" s="4">
        <v>12</v>
      </c>
      <c r="I86" s="7">
        <v>46146</v>
      </c>
      <c r="J86" s="7">
        <v>46150</v>
      </c>
      <c r="K86" s="4" t="s">
        <v>80</v>
      </c>
      <c r="L86" s="4" t="str">
        <f t="shared" si="1"/>
        <v>Eligible</v>
      </c>
    </row>
    <row r="87" spans="1:12" x14ac:dyDescent="0.3">
      <c r="A87" s="9">
        <v>1086</v>
      </c>
      <c r="B87" s="9" t="s">
        <v>32</v>
      </c>
      <c r="C87" s="4" t="s">
        <v>19</v>
      </c>
      <c r="D87" s="4" t="s">
        <v>20</v>
      </c>
      <c r="E87" s="4" t="s">
        <v>51</v>
      </c>
      <c r="F87" s="4">
        <v>15</v>
      </c>
      <c r="G87" s="4">
        <v>40</v>
      </c>
      <c r="H87" s="4">
        <v>10</v>
      </c>
      <c r="I87" s="7">
        <v>46045</v>
      </c>
      <c r="J87" s="7">
        <v>46049</v>
      </c>
      <c r="K87" s="4" t="s">
        <v>80</v>
      </c>
      <c r="L87" s="4" t="str">
        <f t="shared" si="1"/>
        <v>Not Eligible</v>
      </c>
    </row>
    <row r="88" spans="1:12" x14ac:dyDescent="0.3">
      <c r="A88" s="9">
        <v>1087</v>
      </c>
      <c r="B88" s="9" t="s">
        <v>18</v>
      </c>
      <c r="C88" s="4" t="s">
        <v>31</v>
      </c>
      <c r="D88" s="4" t="s">
        <v>20</v>
      </c>
      <c r="E88" s="4" t="s">
        <v>37</v>
      </c>
      <c r="F88" s="4">
        <v>13</v>
      </c>
      <c r="G88" s="4">
        <v>387</v>
      </c>
      <c r="H88" s="4">
        <v>7</v>
      </c>
      <c r="I88" s="7">
        <v>46171</v>
      </c>
      <c r="J88" s="7">
        <v>46176</v>
      </c>
      <c r="K88" s="4" t="s">
        <v>80</v>
      </c>
      <c r="L88" s="4" t="str">
        <f t="shared" si="1"/>
        <v>Not Eligible</v>
      </c>
    </row>
    <row r="89" spans="1:12" x14ac:dyDescent="0.3">
      <c r="A89" s="9">
        <v>1088</v>
      </c>
      <c r="B89" s="9" t="s">
        <v>39</v>
      </c>
      <c r="C89" s="4" t="s">
        <v>33</v>
      </c>
      <c r="D89" s="4" t="s">
        <v>34</v>
      </c>
      <c r="E89" s="4" t="s">
        <v>40</v>
      </c>
      <c r="F89" s="4">
        <v>20</v>
      </c>
      <c r="G89" s="4">
        <v>41165</v>
      </c>
      <c r="H89" s="4">
        <v>0</v>
      </c>
      <c r="I89" s="7">
        <v>46068</v>
      </c>
      <c r="J89" s="7">
        <v>46069</v>
      </c>
      <c r="K89" s="4" t="s">
        <v>79</v>
      </c>
      <c r="L89" s="4" t="str">
        <f t="shared" si="1"/>
        <v>Not Eligible</v>
      </c>
    </row>
    <row r="90" spans="1:12" x14ac:dyDescent="0.3">
      <c r="A90" s="9">
        <v>1089</v>
      </c>
      <c r="B90" s="9" t="s">
        <v>44</v>
      </c>
      <c r="C90" s="4" t="s">
        <v>19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7">
        <v>46066</v>
      </c>
      <c r="J90" s="7">
        <v>46071</v>
      </c>
      <c r="K90" s="4" t="s">
        <v>80</v>
      </c>
      <c r="L90" s="4" t="str">
        <f t="shared" si="1"/>
        <v>Not Eligible</v>
      </c>
    </row>
    <row r="91" spans="1:12" x14ac:dyDescent="0.3">
      <c r="A91" s="9">
        <v>1090</v>
      </c>
      <c r="B91" s="9" t="s">
        <v>47</v>
      </c>
      <c r="C91" s="4" t="s">
        <v>31</v>
      </c>
      <c r="D91" s="4" t="s">
        <v>34</v>
      </c>
      <c r="E91" s="4" t="s">
        <v>6</v>
      </c>
      <c r="F91" s="4">
        <v>19</v>
      </c>
      <c r="G91" s="4">
        <v>66139</v>
      </c>
      <c r="H91" s="4">
        <v>5</v>
      </c>
      <c r="I91" s="7">
        <v>46088</v>
      </c>
      <c r="J91" s="7">
        <v>46095</v>
      </c>
      <c r="K91" s="4" t="s">
        <v>80</v>
      </c>
      <c r="L91" s="4" t="str">
        <f t="shared" si="1"/>
        <v>Not Eligible</v>
      </c>
    </row>
    <row r="92" spans="1:12" x14ac:dyDescent="0.3">
      <c r="A92" s="9">
        <v>1091</v>
      </c>
      <c r="B92" s="9" t="s">
        <v>53</v>
      </c>
      <c r="C92" s="4" t="s">
        <v>23</v>
      </c>
      <c r="D92" s="4" t="s">
        <v>20</v>
      </c>
      <c r="E92" s="4" t="s">
        <v>51</v>
      </c>
      <c r="F92" s="4">
        <v>2</v>
      </c>
      <c r="G92" s="4">
        <v>305</v>
      </c>
      <c r="H92" s="4">
        <v>0</v>
      </c>
      <c r="I92" s="7">
        <v>46136</v>
      </c>
      <c r="J92" s="7">
        <v>46144</v>
      </c>
      <c r="K92" s="4" t="s">
        <v>78</v>
      </c>
      <c r="L92" s="4" t="str">
        <f t="shared" si="1"/>
        <v>Not Eligible</v>
      </c>
    </row>
    <row r="93" spans="1:12" x14ac:dyDescent="0.3">
      <c r="A93" s="9">
        <v>1092</v>
      </c>
      <c r="B93" s="9" t="s">
        <v>25</v>
      </c>
      <c r="C93" s="4" t="s">
        <v>26</v>
      </c>
      <c r="D93" s="4" t="s">
        <v>34</v>
      </c>
      <c r="E93" s="4" t="s">
        <v>40</v>
      </c>
      <c r="F93" s="4">
        <v>9</v>
      </c>
      <c r="G93" s="4">
        <v>23438</v>
      </c>
      <c r="H93" s="4">
        <v>2</v>
      </c>
      <c r="I93" s="7">
        <v>46049</v>
      </c>
      <c r="J93" s="7">
        <v>46055</v>
      </c>
      <c r="K93" s="4" t="s">
        <v>49</v>
      </c>
      <c r="L93" s="4" t="str">
        <f t="shared" si="1"/>
        <v>Not Eligible</v>
      </c>
    </row>
    <row r="94" spans="1:12" x14ac:dyDescent="0.3">
      <c r="A94" s="9">
        <v>1093</v>
      </c>
      <c r="B94" s="9" t="s">
        <v>45</v>
      </c>
      <c r="C94" s="4" t="s">
        <v>27</v>
      </c>
      <c r="D94" s="4" t="s">
        <v>24</v>
      </c>
      <c r="E94" s="4" t="s">
        <v>10</v>
      </c>
      <c r="F94" s="4">
        <v>6</v>
      </c>
      <c r="G94" s="4">
        <v>8224</v>
      </c>
      <c r="H94" s="4">
        <v>15</v>
      </c>
      <c r="I94" s="7">
        <v>46175</v>
      </c>
      <c r="J94" s="7">
        <v>46185</v>
      </c>
      <c r="K94" s="4" t="s">
        <v>81</v>
      </c>
      <c r="L94" s="4" t="str">
        <f t="shared" si="1"/>
        <v>Not Eligible</v>
      </c>
    </row>
    <row r="95" spans="1:12" x14ac:dyDescent="0.3">
      <c r="A95" s="9">
        <v>1094</v>
      </c>
      <c r="B95" s="9" t="s">
        <v>45</v>
      </c>
      <c r="C95" s="4" t="s">
        <v>42</v>
      </c>
      <c r="D95" s="4" t="s">
        <v>34</v>
      </c>
      <c r="E95" s="4" t="s">
        <v>12</v>
      </c>
      <c r="F95" s="4">
        <v>4</v>
      </c>
      <c r="G95" s="4">
        <v>7073</v>
      </c>
      <c r="H95" s="4">
        <v>0</v>
      </c>
      <c r="I95" s="7">
        <v>46101</v>
      </c>
      <c r="J95" s="7">
        <v>46105</v>
      </c>
      <c r="K95" s="4" t="s">
        <v>49</v>
      </c>
      <c r="L95" s="4" t="str">
        <f t="shared" si="1"/>
        <v>Not Eligible</v>
      </c>
    </row>
    <row r="96" spans="1:12" x14ac:dyDescent="0.3">
      <c r="A96" s="9">
        <v>1095</v>
      </c>
      <c r="B96" s="9" t="s">
        <v>45</v>
      </c>
      <c r="C96" s="4" t="s">
        <v>27</v>
      </c>
      <c r="D96" s="4" t="s">
        <v>34</v>
      </c>
      <c r="E96" s="4" t="s">
        <v>40</v>
      </c>
      <c r="F96" s="4">
        <v>18</v>
      </c>
      <c r="G96" s="4">
        <v>587</v>
      </c>
      <c r="H96" s="4">
        <v>2</v>
      </c>
      <c r="I96" s="7">
        <v>46167</v>
      </c>
      <c r="J96" s="7">
        <v>46171</v>
      </c>
      <c r="K96" s="4" t="s">
        <v>79</v>
      </c>
      <c r="L96" s="4" t="str">
        <f t="shared" si="1"/>
        <v>Not Eligible</v>
      </c>
    </row>
    <row r="97" spans="1:12" x14ac:dyDescent="0.3">
      <c r="A97" s="9">
        <v>1096</v>
      </c>
      <c r="B97" s="9" t="s">
        <v>47</v>
      </c>
      <c r="C97" s="4" t="s">
        <v>23</v>
      </c>
      <c r="D97" s="4" t="s">
        <v>24</v>
      </c>
      <c r="E97" s="4" t="s">
        <v>10</v>
      </c>
      <c r="F97" s="4">
        <v>15</v>
      </c>
      <c r="G97" s="4">
        <v>14724</v>
      </c>
      <c r="H97" s="4">
        <v>15</v>
      </c>
      <c r="I97" s="7">
        <v>46054</v>
      </c>
      <c r="J97" s="7">
        <v>46061</v>
      </c>
      <c r="K97" s="4" t="s">
        <v>79</v>
      </c>
      <c r="L97" s="4" t="str">
        <f t="shared" si="1"/>
        <v>Not Eligible</v>
      </c>
    </row>
    <row r="98" spans="1:12" x14ac:dyDescent="0.3">
      <c r="A98" s="9">
        <v>1097</v>
      </c>
      <c r="B98" s="9" t="s">
        <v>50</v>
      </c>
      <c r="C98" s="4" t="s">
        <v>26</v>
      </c>
      <c r="D98" s="4" t="s">
        <v>34</v>
      </c>
      <c r="E98" s="4" t="s">
        <v>12</v>
      </c>
      <c r="F98" s="4">
        <v>10</v>
      </c>
      <c r="G98" s="4">
        <v>28980</v>
      </c>
      <c r="H98" s="4">
        <v>10</v>
      </c>
      <c r="I98" s="7">
        <v>46089</v>
      </c>
      <c r="J98" s="7">
        <v>46094</v>
      </c>
      <c r="K98" s="4" t="s">
        <v>80</v>
      </c>
      <c r="L98" s="4" t="str">
        <f t="shared" si="1"/>
        <v>Eligible</v>
      </c>
    </row>
    <row r="99" spans="1:12" x14ac:dyDescent="0.3">
      <c r="A99" s="9">
        <v>1098</v>
      </c>
      <c r="B99" s="9" t="s">
        <v>28</v>
      </c>
      <c r="C99" s="4" t="s">
        <v>27</v>
      </c>
      <c r="D99" s="4" t="s">
        <v>20</v>
      </c>
      <c r="E99" s="4" t="s">
        <v>51</v>
      </c>
      <c r="F99" s="4">
        <v>17</v>
      </c>
      <c r="G99" s="4">
        <v>345</v>
      </c>
      <c r="H99" s="4">
        <v>2</v>
      </c>
      <c r="I99" s="7">
        <v>46126</v>
      </c>
      <c r="J99" s="7">
        <v>46127</v>
      </c>
      <c r="K99" s="4" t="s">
        <v>81</v>
      </c>
      <c r="L99" s="4" t="str">
        <f t="shared" si="1"/>
        <v>Not Eligible</v>
      </c>
    </row>
    <row r="100" spans="1:12" x14ac:dyDescent="0.3">
      <c r="A100" s="9">
        <v>1099</v>
      </c>
      <c r="B100" s="9" t="s">
        <v>28</v>
      </c>
      <c r="C100" s="4" t="s">
        <v>31</v>
      </c>
      <c r="D100" s="4" t="s">
        <v>24</v>
      </c>
      <c r="E100" s="4" t="s">
        <v>7</v>
      </c>
      <c r="F100" s="4">
        <v>1</v>
      </c>
      <c r="G100" s="4">
        <v>5165</v>
      </c>
      <c r="H100" s="4">
        <v>2</v>
      </c>
      <c r="I100" s="7">
        <v>46058</v>
      </c>
      <c r="J100" s="7">
        <v>46060</v>
      </c>
      <c r="K100" s="4" t="s">
        <v>78</v>
      </c>
      <c r="L100" s="4" t="str">
        <f t="shared" si="1"/>
        <v>Not Eligible</v>
      </c>
    </row>
    <row r="101" spans="1:12" x14ac:dyDescent="0.3">
      <c r="A101" s="9">
        <v>1100</v>
      </c>
      <c r="B101" s="9" t="s">
        <v>18</v>
      </c>
      <c r="C101" s="4" t="s">
        <v>31</v>
      </c>
      <c r="D101" s="4" t="s">
        <v>20</v>
      </c>
      <c r="E101" s="4" t="s">
        <v>21</v>
      </c>
      <c r="F101" s="4">
        <v>11</v>
      </c>
      <c r="G101" s="4">
        <v>296</v>
      </c>
      <c r="H101" s="4">
        <v>10</v>
      </c>
      <c r="I101" s="7">
        <v>46027</v>
      </c>
      <c r="J101" s="7">
        <v>46031</v>
      </c>
      <c r="K101" s="4" t="s">
        <v>81</v>
      </c>
      <c r="L101" s="4" t="str">
        <f t="shared" si="1"/>
        <v>Not Eligible</v>
      </c>
    </row>
    <row r="102" spans="1:12" x14ac:dyDescent="0.3">
      <c r="A102" s="9">
        <v>1101</v>
      </c>
      <c r="B102" s="9" t="s">
        <v>29</v>
      </c>
      <c r="C102" s="4" t="s">
        <v>26</v>
      </c>
      <c r="D102" s="4" t="s">
        <v>34</v>
      </c>
      <c r="E102" s="4" t="s">
        <v>12</v>
      </c>
      <c r="F102" s="4">
        <v>9</v>
      </c>
      <c r="G102" s="4">
        <v>37361</v>
      </c>
      <c r="H102" s="4">
        <v>10</v>
      </c>
      <c r="I102" s="7">
        <v>46141</v>
      </c>
      <c r="J102" s="7">
        <v>46142</v>
      </c>
      <c r="K102" s="4" t="s">
        <v>80</v>
      </c>
      <c r="L102" s="4" t="str">
        <f t="shared" si="1"/>
        <v>Eligible</v>
      </c>
    </row>
    <row r="103" spans="1:12" x14ac:dyDescent="0.3">
      <c r="A103" s="9">
        <v>1102</v>
      </c>
      <c r="B103" s="9" t="s">
        <v>52</v>
      </c>
      <c r="C103" s="4" t="s">
        <v>27</v>
      </c>
      <c r="D103" s="4" t="s">
        <v>34</v>
      </c>
      <c r="E103" s="4" t="s">
        <v>6</v>
      </c>
      <c r="F103" s="4">
        <v>12</v>
      </c>
      <c r="G103" s="4">
        <v>63402</v>
      </c>
      <c r="H103" s="4">
        <v>7</v>
      </c>
      <c r="I103" s="7">
        <v>46106</v>
      </c>
      <c r="J103" s="7">
        <v>46113</v>
      </c>
      <c r="K103" s="4" t="s">
        <v>81</v>
      </c>
      <c r="L103" s="4" t="str">
        <f t="shared" si="1"/>
        <v>Not Eligible</v>
      </c>
    </row>
    <row r="104" spans="1:12" x14ac:dyDescent="0.3">
      <c r="A104" s="9">
        <v>1103</v>
      </c>
      <c r="B104" s="9" t="s">
        <v>22</v>
      </c>
      <c r="C104" s="4" t="s">
        <v>19</v>
      </c>
      <c r="D104" s="4" t="s">
        <v>24</v>
      </c>
      <c r="E104" s="4" t="s">
        <v>10</v>
      </c>
      <c r="F104" s="4">
        <v>7</v>
      </c>
      <c r="G104" s="4">
        <v>11925</v>
      </c>
      <c r="H104" s="4">
        <v>5</v>
      </c>
      <c r="I104" s="7">
        <v>46040</v>
      </c>
      <c r="J104" s="7">
        <v>46041</v>
      </c>
      <c r="K104" s="4" t="s">
        <v>49</v>
      </c>
      <c r="L104" s="4" t="str">
        <f t="shared" si="1"/>
        <v>Not Eligible</v>
      </c>
    </row>
    <row r="105" spans="1:12" x14ac:dyDescent="0.3">
      <c r="A105" s="9">
        <v>1104</v>
      </c>
      <c r="B105" s="9" t="s">
        <v>22</v>
      </c>
      <c r="C105" s="4" t="s">
        <v>42</v>
      </c>
      <c r="D105" s="4" t="s">
        <v>24</v>
      </c>
      <c r="E105" s="4" t="s">
        <v>7</v>
      </c>
      <c r="F105" s="4">
        <v>10</v>
      </c>
      <c r="G105" s="4">
        <v>12848</v>
      </c>
      <c r="H105" s="4">
        <v>15</v>
      </c>
      <c r="I105" s="7">
        <v>46060</v>
      </c>
      <c r="J105" s="7">
        <v>46064</v>
      </c>
      <c r="K105" s="4" t="s">
        <v>49</v>
      </c>
      <c r="L105" s="4" t="str">
        <f t="shared" si="1"/>
        <v>Not Eligible</v>
      </c>
    </row>
    <row r="106" spans="1:12" x14ac:dyDescent="0.3">
      <c r="A106" s="9">
        <v>1105</v>
      </c>
      <c r="B106" s="9" t="s">
        <v>56</v>
      </c>
      <c r="C106" s="4" t="s">
        <v>27</v>
      </c>
      <c r="D106" s="4" t="s">
        <v>20</v>
      </c>
      <c r="E106" s="4" t="s">
        <v>48</v>
      </c>
      <c r="F106" s="4">
        <v>2</v>
      </c>
      <c r="G106" s="4">
        <v>493</v>
      </c>
      <c r="H106" s="4">
        <v>12</v>
      </c>
      <c r="I106" s="7">
        <v>46057</v>
      </c>
      <c r="J106" s="7">
        <v>46066</v>
      </c>
      <c r="K106" s="4" t="s">
        <v>81</v>
      </c>
      <c r="L106" s="4" t="str">
        <f t="shared" si="1"/>
        <v>Not Eligible</v>
      </c>
    </row>
    <row r="107" spans="1:12" x14ac:dyDescent="0.3">
      <c r="A107" s="9">
        <v>1106</v>
      </c>
      <c r="B107" s="9" t="s">
        <v>29</v>
      </c>
      <c r="C107" s="4" t="s">
        <v>42</v>
      </c>
      <c r="D107" s="4" t="s">
        <v>24</v>
      </c>
      <c r="E107" s="4" t="s">
        <v>10</v>
      </c>
      <c r="F107" s="4">
        <v>20</v>
      </c>
      <c r="G107" s="4">
        <v>2141</v>
      </c>
      <c r="H107" s="4">
        <v>2</v>
      </c>
      <c r="I107" s="7">
        <v>46091</v>
      </c>
      <c r="J107" s="7">
        <v>46097</v>
      </c>
      <c r="K107" s="4" t="s">
        <v>49</v>
      </c>
      <c r="L107" s="4" t="str">
        <f t="shared" si="1"/>
        <v>Not Eligible</v>
      </c>
    </row>
    <row r="108" spans="1:12" x14ac:dyDescent="0.3">
      <c r="A108" s="9">
        <v>1107</v>
      </c>
      <c r="B108" s="9" t="s">
        <v>50</v>
      </c>
      <c r="C108" s="4" t="s">
        <v>23</v>
      </c>
      <c r="D108" s="4" t="s">
        <v>34</v>
      </c>
      <c r="E108" s="4" t="s">
        <v>9</v>
      </c>
      <c r="F108" s="4">
        <v>4</v>
      </c>
      <c r="G108" s="4">
        <v>14291</v>
      </c>
      <c r="H108" s="4">
        <v>2</v>
      </c>
      <c r="I108" s="7">
        <v>46076</v>
      </c>
      <c r="J108" s="7">
        <v>46078</v>
      </c>
      <c r="K108" s="4" t="s">
        <v>78</v>
      </c>
      <c r="L108" s="4" t="str">
        <f t="shared" si="1"/>
        <v>Not Eligible</v>
      </c>
    </row>
    <row r="109" spans="1:12" x14ac:dyDescent="0.3">
      <c r="A109" s="9">
        <v>1108</v>
      </c>
      <c r="B109" s="9" t="s">
        <v>41</v>
      </c>
      <c r="C109" s="4" t="s">
        <v>33</v>
      </c>
      <c r="D109" s="4" t="s">
        <v>24</v>
      </c>
      <c r="E109" s="4" t="s">
        <v>8</v>
      </c>
      <c r="F109" s="4">
        <v>15</v>
      </c>
      <c r="G109" s="4">
        <v>13843</v>
      </c>
      <c r="H109" s="4">
        <v>7</v>
      </c>
      <c r="I109" s="7">
        <v>46119</v>
      </c>
      <c r="J109" s="7">
        <v>46127</v>
      </c>
      <c r="K109" s="4" t="s">
        <v>79</v>
      </c>
      <c r="L109" s="4" t="str">
        <f t="shared" si="1"/>
        <v>Not Eligible</v>
      </c>
    </row>
    <row r="110" spans="1:12" x14ac:dyDescent="0.3">
      <c r="A110" s="9">
        <v>1109</v>
      </c>
      <c r="B110" s="9" t="s">
        <v>25</v>
      </c>
      <c r="C110" s="4" t="s">
        <v>31</v>
      </c>
      <c r="D110" s="4" t="s">
        <v>24</v>
      </c>
      <c r="E110" s="4" t="s">
        <v>43</v>
      </c>
      <c r="F110" s="4">
        <v>19</v>
      </c>
      <c r="G110" s="4">
        <v>6512</v>
      </c>
      <c r="H110" s="4">
        <v>10</v>
      </c>
      <c r="I110" s="7">
        <v>46033</v>
      </c>
      <c r="J110" s="7">
        <v>46037</v>
      </c>
      <c r="K110" s="4" t="s">
        <v>79</v>
      </c>
      <c r="L110" s="4" t="str">
        <f t="shared" si="1"/>
        <v>Not Eligible</v>
      </c>
    </row>
    <row r="111" spans="1:12" x14ac:dyDescent="0.3">
      <c r="A111" s="9">
        <v>1110</v>
      </c>
      <c r="B111" s="9" t="s">
        <v>47</v>
      </c>
      <c r="C111" s="4" t="s">
        <v>38</v>
      </c>
      <c r="D111" s="4" t="s">
        <v>24</v>
      </c>
      <c r="E111" s="4" t="s">
        <v>10</v>
      </c>
      <c r="F111" s="4">
        <v>14</v>
      </c>
      <c r="G111" s="4">
        <v>6793</v>
      </c>
      <c r="H111" s="4">
        <v>7</v>
      </c>
      <c r="I111" s="7">
        <v>46077</v>
      </c>
      <c r="J111" s="7">
        <v>46082</v>
      </c>
      <c r="K111" s="4" t="s">
        <v>49</v>
      </c>
      <c r="L111" s="4" t="str">
        <f t="shared" si="1"/>
        <v>Not Eligible</v>
      </c>
    </row>
    <row r="112" spans="1:12" x14ac:dyDescent="0.3">
      <c r="A112" s="9">
        <v>1111</v>
      </c>
      <c r="B112" s="9" t="s">
        <v>45</v>
      </c>
      <c r="C112" s="4" t="s">
        <v>23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7">
        <v>46133</v>
      </c>
      <c r="J112" s="7">
        <v>46141</v>
      </c>
      <c r="K112" s="4" t="s">
        <v>49</v>
      </c>
      <c r="L112" s="4" t="str">
        <f t="shared" si="1"/>
        <v>Eligible</v>
      </c>
    </row>
    <row r="113" spans="1:12" x14ac:dyDescent="0.3">
      <c r="A113" s="9">
        <v>1112</v>
      </c>
      <c r="B113" s="9" t="s">
        <v>25</v>
      </c>
      <c r="C113" s="4" t="s">
        <v>42</v>
      </c>
      <c r="D113" s="4" t="s">
        <v>24</v>
      </c>
      <c r="E113" s="4" t="s">
        <v>43</v>
      </c>
      <c r="F113" s="4">
        <v>7</v>
      </c>
      <c r="G113" s="4">
        <v>1959</v>
      </c>
      <c r="H113" s="4">
        <v>15</v>
      </c>
      <c r="I113" s="7">
        <v>46090</v>
      </c>
      <c r="J113" s="7">
        <v>46100</v>
      </c>
      <c r="K113" s="4" t="s">
        <v>78</v>
      </c>
      <c r="L113" s="4" t="str">
        <f t="shared" si="1"/>
        <v>Not Eligible</v>
      </c>
    </row>
    <row r="114" spans="1:12" x14ac:dyDescent="0.3">
      <c r="A114" s="9">
        <v>1113</v>
      </c>
      <c r="B114" s="9" t="s">
        <v>28</v>
      </c>
      <c r="C114" s="4" t="s">
        <v>42</v>
      </c>
      <c r="D114" s="4" t="s">
        <v>24</v>
      </c>
      <c r="E114" s="4" t="s">
        <v>11</v>
      </c>
      <c r="F114" s="4">
        <v>13</v>
      </c>
      <c r="G114" s="4">
        <v>6719</v>
      </c>
      <c r="H114" s="4">
        <v>15</v>
      </c>
      <c r="I114" s="7">
        <v>46076</v>
      </c>
      <c r="J114" s="7">
        <v>46081</v>
      </c>
      <c r="K114" s="4" t="s">
        <v>80</v>
      </c>
      <c r="L114" s="4" t="str">
        <f t="shared" si="1"/>
        <v>Not Eligible</v>
      </c>
    </row>
    <row r="115" spans="1:12" x14ac:dyDescent="0.3">
      <c r="A115" s="9">
        <v>1114</v>
      </c>
      <c r="B115" s="9" t="s">
        <v>22</v>
      </c>
      <c r="C115" s="4" t="s">
        <v>27</v>
      </c>
      <c r="D115" s="4" t="s">
        <v>20</v>
      </c>
      <c r="E115" s="4" t="s">
        <v>48</v>
      </c>
      <c r="F115" s="4">
        <v>13</v>
      </c>
      <c r="G115" s="4">
        <v>32</v>
      </c>
      <c r="H115" s="4">
        <v>15</v>
      </c>
      <c r="I115" s="7">
        <v>46066</v>
      </c>
      <c r="J115" s="7">
        <v>46069</v>
      </c>
      <c r="K115" s="4" t="s">
        <v>78</v>
      </c>
      <c r="L115" s="4" t="str">
        <f t="shared" si="1"/>
        <v>Not Eligible</v>
      </c>
    </row>
    <row r="116" spans="1:12" x14ac:dyDescent="0.3">
      <c r="A116" s="9">
        <v>1115</v>
      </c>
      <c r="B116" s="9" t="s">
        <v>56</v>
      </c>
      <c r="C116" s="4" t="s">
        <v>42</v>
      </c>
      <c r="D116" s="4" t="s">
        <v>20</v>
      </c>
      <c r="E116" s="4" t="s">
        <v>48</v>
      </c>
      <c r="F116" s="4">
        <v>9</v>
      </c>
      <c r="G116" s="4">
        <v>303</v>
      </c>
      <c r="H116" s="4">
        <v>10</v>
      </c>
      <c r="I116" s="7">
        <v>46149</v>
      </c>
      <c r="J116" s="7">
        <v>46157</v>
      </c>
      <c r="K116" s="4" t="s">
        <v>49</v>
      </c>
      <c r="L116" s="4" t="str">
        <f t="shared" si="1"/>
        <v>Not Eligible</v>
      </c>
    </row>
    <row r="117" spans="1:12" x14ac:dyDescent="0.3">
      <c r="A117" s="9">
        <v>1116</v>
      </c>
      <c r="B117" s="9" t="s">
        <v>22</v>
      </c>
      <c r="C117" s="4" t="s">
        <v>27</v>
      </c>
      <c r="D117" s="4" t="s">
        <v>24</v>
      </c>
      <c r="E117" s="4" t="s">
        <v>11</v>
      </c>
      <c r="F117" s="4">
        <v>2</v>
      </c>
      <c r="G117" s="4">
        <v>12692</v>
      </c>
      <c r="H117" s="4">
        <v>15</v>
      </c>
      <c r="I117" s="7">
        <v>46049</v>
      </c>
      <c r="J117" s="7">
        <v>46051</v>
      </c>
      <c r="K117" s="4" t="s">
        <v>78</v>
      </c>
      <c r="L117" s="4" t="str">
        <f t="shared" si="1"/>
        <v>Not Eligible</v>
      </c>
    </row>
    <row r="118" spans="1:12" x14ac:dyDescent="0.3">
      <c r="A118" s="9">
        <v>1117</v>
      </c>
      <c r="B118" s="9" t="s">
        <v>53</v>
      </c>
      <c r="C118" s="4" t="s">
        <v>42</v>
      </c>
      <c r="D118" s="4" t="s">
        <v>34</v>
      </c>
      <c r="E118" s="4" t="s">
        <v>5</v>
      </c>
      <c r="F118" s="4">
        <v>16</v>
      </c>
      <c r="G118" s="4">
        <v>33162</v>
      </c>
      <c r="H118" s="4">
        <v>7</v>
      </c>
      <c r="I118" s="7">
        <v>46147</v>
      </c>
      <c r="J118" s="7">
        <v>46155</v>
      </c>
      <c r="K118" s="4" t="s">
        <v>49</v>
      </c>
      <c r="L118" s="4" t="str">
        <f t="shared" si="1"/>
        <v>Not Eligible</v>
      </c>
    </row>
    <row r="119" spans="1:12" x14ac:dyDescent="0.3">
      <c r="A119" s="9">
        <v>1118</v>
      </c>
      <c r="B119" s="9" t="s">
        <v>25</v>
      </c>
      <c r="C119" s="4" t="s">
        <v>26</v>
      </c>
      <c r="D119" s="4" t="s">
        <v>24</v>
      </c>
      <c r="E119" s="4" t="s">
        <v>10</v>
      </c>
      <c r="F119" s="4">
        <v>18</v>
      </c>
      <c r="G119" s="4">
        <v>9118</v>
      </c>
      <c r="H119" s="4">
        <v>5</v>
      </c>
      <c r="I119" s="7">
        <v>46178</v>
      </c>
      <c r="J119" s="7">
        <v>46187</v>
      </c>
      <c r="K119" s="4" t="s">
        <v>49</v>
      </c>
      <c r="L119" s="4" t="str">
        <f t="shared" si="1"/>
        <v>Not Eligible</v>
      </c>
    </row>
    <row r="120" spans="1:12" x14ac:dyDescent="0.3">
      <c r="A120" s="9">
        <v>1119</v>
      </c>
      <c r="B120" s="9" t="s">
        <v>30</v>
      </c>
      <c r="C120" s="4" t="s">
        <v>42</v>
      </c>
      <c r="D120" s="4" t="s">
        <v>24</v>
      </c>
      <c r="E120" s="4" t="s">
        <v>8</v>
      </c>
      <c r="F120" s="4">
        <v>2</v>
      </c>
      <c r="G120" s="4">
        <v>3706</v>
      </c>
      <c r="H120" s="4">
        <v>5</v>
      </c>
      <c r="I120" s="7">
        <v>46184</v>
      </c>
      <c r="J120" s="7">
        <v>46192</v>
      </c>
      <c r="K120" s="4" t="s">
        <v>81</v>
      </c>
      <c r="L120" s="4" t="str">
        <f t="shared" si="1"/>
        <v>Not Eligible</v>
      </c>
    </row>
    <row r="121" spans="1:12" x14ac:dyDescent="0.3">
      <c r="A121" s="9">
        <v>1120</v>
      </c>
      <c r="B121" s="9" t="s">
        <v>32</v>
      </c>
      <c r="C121" s="4" t="s">
        <v>38</v>
      </c>
      <c r="D121" s="4" t="s">
        <v>20</v>
      </c>
      <c r="E121" s="4" t="s">
        <v>36</v>
      </c>
      <c r="F121" s="4">
        <v>10</v>
      </c>
      <c r="G121" s="4">
        <v>438</v>
      </c>
      <c r="H121" s="4">
        <v>10</v>
      </c>
      <c r="I121" s="7">
        <v>46061</v>
      </c>
      <c r="J121" s="7">
        <v>46065</v>
      </c>
      <c r="K121" s="4" t="s">
        <v>81</v>
      </c>
      <c r="L121" s="4" t="str">
        <f t="shared" si="1"/>
        <v>Not Eligible</v>
      </c>
    </row>
    <row r="122" spans="1:12" x14ac:dyDescent="0.3">
      <c r="A122" s="9">
        <v>1121</v>
      </c>
      <c r="B122" s="9" t="s">
        <v>49</v>
      </c>
      <c r="C122" s="4" t="s">
        <v>19</v>
      </c>
      <c r="D122" s="4" t="s">
        <v>34</v>
      </c>
      <c r="E122" s="4" t="s">
        <v>5</v>
      </c>
      <c r="F122" s="4">
        <v>4</v>
      </c>
      <c r="G122" s="4">
        <v>55809</v>
      </c>
      <c r="H122" s="4">
        <v>2</v>
      </c>
      <c r="I122" s="7">
        <v>46103</v>
      </c>
      <c r="J122" s="7">
        <v>46108</v>
      </c>
      <c r="K122" s="4" t="s">
        <v>49</v>
      </c>
      <c r="L122" s="4" t="str">
        <f t="shared" si="1"/>
        <v>Not Eligible</v>
      </c>
    </row>
    <row r="123" spans="1:12" x14ac:dyDescent="0.3">
      <c r="A123" s="9">
        <v>1122</v>
      </c>
      <c r="B123" s="9" t="s">
        <v>39</v>
      </c>
      <c r="C123" s="4" t="s">
        <v>26</v>
      </c>
      <c r="D123" s="4" t="s">
        <v>34</v>
      </c>
      <c r="E123" s="4" t="s">
        <v>5</v>
      </c>
      <c r="F123" s="4">
        <v>14</v>
      </c>
      <c r="G123" s="4">
        <v>49990</v>
      </c>
      <c r="H123" s="4">
        <v>10</v>
      </c>
      <c r="I123" s="7">
        <v>46132</v>
      </c>
      <c r="J123" s="7">
        <v>46135</v>
      </c>
      <c r="K123" s="4" t="s">
        <v>49</v>
      </c>
      <c r="L123" s="4" t="str">
        <f t="shared" si="1"/>
        <v>Eligible</v>
      </c>
    </row>
    <row r="124" spans="1:12" x14ac:dyDescent="0.3">
      <c r="A124" s="9">
        <v>1123</v>
      </c>
      <c r="B124" s="9" t="s">
        <v>32</v>
      </c>
      <c r="C124" s="4" t="s">
        <v>31</v>
      </c>
      <c r="D124" s="4" t="s">
        <v>34</v>
      </c>
      <c r="E124" s="4" t="s">
        <v>6</v>
      </c>
      <c r="F124" s="4">
        <v>16</v>
      </c>
      <c r="G124" s="4">
        <v>1332</v>
      </c>
      <c r="H124" s="4">
        <v>7</v>
      </c>
      <c r="I124" s="7">
        <v>46107</v>
      </c>
      <c r="J124" s="7">
        <v>46109</v>
      </c>
      <c r="K124" s="4" t="s">
        <v>49</v>
      </c>
      <c r="L124" s="4" t="str">
        <f t="shared" si="1"/>
        <v>Not Eligible</v>
      </c>
    </row>
    <row r="125" spans="1:12" x14ac:dyDescent="0.3">
      <c r="A125" s="9">
        <v>1124</v>
      </c>
      <c r="B125" s="9" t="s">
        <v>29</v>
      </c>
      <c r="C125" s="4" t="s">
        <v>38</v>
      </c>
      <c r="D125" s="4" t="s">
        <v>24</v>
      </c>
      <c r="E125" s="4" t="s">
        <v>11</v>
      </c>
      <c r="F125" s="4">
        <v>4</v>
      </c>
      <c r="G125" s="4">
        <v>14195</v>
      </c>
      <c r="H125" s="4">
        <v>15</v>
      </c>
      <c r="I125" s="7">
        <v>46182</v>
      </c>
      <c r="J125" s="7">
        <v>46189</v>
      </c>
      <c r="K125" s="4" t="s">
        <v>81</v>
      </c>
      <c r="L125" s="4" t="str">
        <f t="shared" si="1"/>
        <v>Not Eligible</v>
      </c>
    </row>
    <row r="126" spans="1:12" x14ac:dyDescent="0.3">
      <c r="A126" s="9">
        <v>1125</v>
      </c>
      <c r="B126" s="9" t="s">
        <v>47</v>
      </c>
      <c r="C126" s="4" t="s">
        <v>33</v>
      </c>
      <c r="D126" s="4" t="s">
        <v>20</v>
      </c>
      <c r="E126" s="4" t="s">
        <v>21</v>
      </c>
      <c r="F126" s="4">
        <v>6</v>
      </c>
      <c r="G126" s="4">
        <v>30</v>
      </c>
      <c r="H126" s="4">
        <v>2</v>
      </c>
      <c r="I126" s="7">
        <v>46133</v>
      </c>
      <c r="J126" s="7">
        <v>46138</v>
      </c>
      <c r="K126" s="4" t="s">
        <v>80</v>
      </c>
      <c r="L126" s="4" t="str">
        <f t="shared" si="1"/>
        <v>Not Eligible</v>
      </c>
    </row>
    <row r="127" spans="1:12" x14ac:dyDescent="0.3">
      <c r="A127" s="9">
        <v>1126</v>
      </c>
      <c r="B127" s="9" t="s">
        <v>44</v>
      </c>
      <c r="C127" s="4" t="s">
        <v>26</v>
      </c>
      <c r="D127" s="4" t="s">
        <v>34</v>
      </c>
      <c r="E127" s="4" t="s">
        <v>5</v>
      </c>
      <c r="F127" s="4">
        <v>17</v>
      </c>
      <c r="G127" s="4">
        <v>19390</v>
      </c>
      <c r="H127" s="4">
        <v>12</v>
      </c>
      <c r="I127" s="7">
        <v>46201</v>
      </c>
      <c r="J127" s="7">
        <v>46206</v>
      </c>
      <c r="K127" s="4" t="s">
        <v>49</v>
      </c>
      <c r="L127" s="4" t="str">
        <f t="shared" si="1"/>
        <v>Eligible</v>
      </c>
    </row>
    <row r="128" spans="1:12" x14ac:dyDescent="0.3">
      <c r="A128" s="9">
        <v>1127</v>
      </c>
      <c r="B128" s="9" t="s">
        <v>28</v>
      </c>
      <c r="C128" s="4" t="s">
        <v>33</v>
      </c>
      <c r="D128" s="4" t="s">
        <v>24</v>
      </c>
      <c r="E128" s="4" t="s">
        <v>8</v>
      </c>
      <c r="F128" s="4">
        <v>15</v>
      </c>
      <c r="G128" s="4">
        <v>11694</v>
      </c>
      <c r="H128" s="4">
        <v>12</v>
      </c>
      <c r="I128" s="7">
        <v>46170</v>
      </c>
      <c r="J128" s="7">
        <v>46179</v>
      </c>
      <c r="K128" s="4" t="s">
        <v>49</v>
      </c>
      <c r="L128" s="4" t="str">
        <f t="shared" si="1"/>
        <v>Not Eligible</v>
      </c>
    </row>
    <row r="129" spans="1:12" x14ac:dyDescent="0.3">
      <c r="A129" s="9">
        <v>1128</v>
      </c>
      <c r="B129" s="9" t="s">
        <v>30</v>
      </c>
      <c r="C129" s="4" t="s">
        <v>26</v>
      </c>
      <c r="D129" s="4" t="s">
        <v>34</v>
      </c>
      <c r="E129" s="4" t="s">
        <v>12</v>
      </c>
      <c r="F129" s="4">
        <v>6</v>
      </c>
      <c r="G129" s="4">
        <v>5001</v>
      </c>
      <c r="H129" s="4">
        <v>7</v>
      </c>
      <c r="I129" s="7">
        <v>46044</v>
      </c>
      <c r="J129" s="7">
        <v>46050</v>
      </c>
      <c r="K129" s="4" t="s">
        <v>49</v>
      </c>
      <c r="L129" s="4" t="str">
        <f t="shared" si="1"/>
        <v>Not Eligible</v>
      </c>
    </row>
    <row r="130" spans="1:12" x14ac:dyDescent="0.3">
      <c r="A130" s="9">
        <v>1129</v>
      </c>
      <c r="B130" s="9" t="s">
        <v>55</v>
      </c>
      <c r="C130" s="4" t="s">
        <v>23</v>
      </c>
      <c r="D130" s="4" t="s">
        <v>20</v>
      </c>
      <c r="E130" s="4" t="s">
        <v>48</v>
      </c>
      <c r="F130" s="4">
        <v>15</v>
      </c>
      <c r="G130" s="4">
        <v>75</v>
      </c>
      <c r="H130" s="4">
        <v>7</v>
      </c>
      <c r="I130" s="7">
        <v>46160</v>
      </c>
      <c r="J130" s="7">
        <v>46164</v>
      </c>
      <c r="K130" s="4" t="s">
        <v>49</v>
      </c>
      <c r="L130" s="4" t="str">
        <f t="shared" si="1"/>
        <v>Not Eligible</v>
      </c>
    </row>
    <row r="131" spans="1:12" x14ac:dyDescent="0.3">
      <c r="A131" s="9">
        <v>1130</v>
      </c>
      <c r="B131" s="9" t="s">
        <v>46</v>
      </c>
      <c r="C131" s="4" t="s">
        <v>33</v>
      </c>
      <c r="D131" s="4" t="s">
        <v>20</v>
      </c>
      <c r="E131" s="4" t="s">
        <v>21</v>
      </c>
      <c r="F131" s="4">
        <v>12</v>
      </c>
      <c r="G131" s="4">
        <v>50</v>
      </c>
      <c r="H131" s="4">
        <v>2</v>
      </c>
      <c r="I131" s="7">
        <v>46125</v>
      </c>
      <c r="J131" s="7">
        <v>46131</v>
      </c>
      <c r="K131" s="4" t="s">
        <v>80</v>
      </c>
      <c r="L131" s="4" t="str">
        <f t="shared" ref="L131:L194" si="2">IF(AND(D131="Electronics", H131&gt;=10), "Eligible", "Not Eligible")</f>
        <v>Not Eligible</v>
      </c>
    </row>
    <row r="132" spans="1:12" x14ac:dyDescent="0.3">
      <c r="A132" s="9">
        <v>1131</v>
      </c>
      <c r="B132" s="9" t="s">
        <v>25</v>
      </c>
      <c r="C132" s="4" t="s">
        <v>31</v>
      </c>
      <c r="D132" s="4" t="s">
        <v>24</v>
      </c>
      <c r="E132" s="4" t="s">
        <v>10</v>
      </c>
      <c r="F132" s="4">
        <v>13</v>
      </c>
      <c r="G132" s="4">
        <v>3083</v>
      </c>
      <c r="H132" s="4">
        <v>7</v>
      </c>
      <c r="I132" s="7">
        <v>46168</v>
      </c>
      <c r="J132" s="7">
        <v>46173</v>
      </c>
      <c r="K132" s="4" t="s">
        <v>81</v>
      </c>
      <c r="L132" s="4" t="str">
        <f t="shared" si="2"/>
        <v>Not Eligible</v>
      </c>
    </row>
    <row r="133" spans="1:12" x14ac:dyDescent="0.3">
      <c r="A133" s="9">
        <v>1132</v>
      </c>
      <c r="B133" s="9" t="s">
        <v>18</v>
      </c>
      <c r="C133" s="4" t="s">
        <v>31</v>
      </c>
      <c r="D133" s="4" t="s">
        <v>20</v>
      </c>
      <c r="E133" s="4" t="s">
        <v>48</v>
      </c>
      <c r="F133" s="4">
        <v>10</v>
      </c>
      <c r="G133" s="4">
        <v>270</v>
      </c>
      <c r="H133" s="4">
        <v>7</v>
      </c>
      <c r="I133" s="7">
        <v>46024</v>
      </c>
      <c r="J133" s="7">
        <v>46034</v>
      </c>
      <c r="K133" s="4" t="s">
        <v>80</v>
      </c>
      <c r="L133" s="4" t="str">
        <f t="shared" si="2"/>
        <v>Not Eligible</v>
      </c>
    </row>
    <row r="134" spans="1:12" x14ac:dyDescent="0.3">
      <c r="A134" s="9">
        <v>1133</v>
      </c>
      <c r="B134" s="9" t="s">
        <v>18</v>
      </c>
      <c r="C134" s="4" t="s">
        <v>19</v>
      </c>
      <c r="D134" s="4" t="s">
        <v>24</v>
      </c>
      <c r="E134" s="4" t="s">
        <v>11</v>
      </c>
      <c r="F134" s="4">
        <v>6</v>
      </c>
      <c r="G134" s="4">
        <v>9037</v>
      </c>
      <c r="H134" s="4">
        <v>2</v>
      </c>
      <c r="I134" s="7">
        <v>46112</v>
      </c>
      <c r="J134" s="7">
        <v>46121</v>
      </c>
      <c r="K134" s="4" t="s">
        <v>81</v>
      </c>
      <c r="L134" s="4" t="str">
        <f t="shared" si="2"/>
        <v>Not Eligible</v>
      </c>
    </row>
    <row r="135" spans="1:12" x14ac:dyDescent="0.3">
      <c r="A135" s="9">
        <v>1134</v>
      </c>
      <c r="B135" s="9" t="s">
        <v>54</v>
      </c>
      <c r="C135" s="4" t="s">
        <v>31</v>
      </c>
      <c r="D135" s="4" t="s">
        <v>34</v>
      </c>
      <c r="E135" s="4" t="s">
        <v>12</v>
      </c>
      <c r="F135" s="4">
        <v>10</v>
      </c>
      <c r="G135" s="4">
        <v>29217</v>
      </c>
      <c r="H135" s="4">
        <v>15</v>
      </c>
      <c r="I135" s="7">
        <v>46148</v>
      </c>
      <c r="J135" s="7">
        <v>46150</v>
      </c>
      <c r="K135" s="4" t="s">
        <v>80</v>
      </c>
      <c r="L135" s="4" t="str">
        <f t="shared" si="2"/>
        <v>Eligible</v>
      </c>
    </row>
    <row r="136" spans="1:12" x14ac:dyDescent="0.3">
      <c r="A136" s="9">
        <v>1135</v>
      </c>
      <c r="B136" s="9" t="s">
        <v>47</v>
      </c>
      <c r="C136" s="4" t="s">
        <v>42</v>
      </c>
      <c r="D136" s="4" t="s">
        <v>34</v>
      </c>
      <c r="E136" s="4" t="s">
        <v>5</v>
      </c>
      <c r="F136" s="4">
        <v>14</v>
      </c>
      <c r="G136" s="4">
        <v>68534</v>
      </c>
      <c r="H136" s="4">
        <v>0</v>
      </c>
      <c r="I136" s="7">
        <v>46041</v>
      </c>
      <c r="J136" s="7">
        <v>46042</v>
      </c>
      <c r="K136" s="4" t="s">
        <v>78</v>
      </c>
      <c r="L136" s="4" t="str">
        <f t="shared" si="2"/>
        <v>Not Eligible</v>
      </c>
    </row>
    <row r="137" spans="1:12" x14ac:dyDescent="0.3">
      <c r="A137" s="9">
        <v>1136</v>
      </c>
      <c r="B137" s="9" t="s">
        <v>29</v>
      </c>
      <c r="C137" s="4" t="s">
        <v>42</v>
      </c>
      <c r="D137" s="4" t="s">
        <v>24</v>
      </c>
      <c r="E137" s="4" t="s">
        <v>11</v>
      </c>
      <c r="F137" s="4">
        <v>19</v>
      </c>
      <c r="G137" s="4">
        <v>14528</v>
      </c>
      <c r="H137" s="4">
        <v>12</v>
      </c>
      <c r="I137" s="7">
        <v>46056</v>
      </c>
      <c r="J137" s="7">
        <v>46062</v>
      </c>
      <c r="K137" s="4" t="s">
        <v>80</v>
      </c>
      <c r="L137" s="4" t="str">
        <f t="shared" si="2"/>
        <v>Not Eligible</v>
      </c>
    </row>
    <row r="138" spans="1:12" x14ac:dyDescent="0.3">
      <c r="A138" s="9">
        <v>1137</v>
      </c>
      <c r="B138" s="9" t="s">
        <v>50</v>
      </c>
      <c r="C138" s="4" t="s">
        <v>19</v>
      </c>
      <c r="D138" s="4" t="s">
        <v>20</v>
      </c>
      <c r="E138" s="4" t="s">
        <v>37</v>
      </c>
      <c r="F138" s="4">
        <v>16</v>
      </c>
      <c r="G138" s="4">
        <v>270</v>
      </c>
      <c r="H138" s="4">
        <v>10</v>
      </c>
      <c r="I138" s="7">
        <v>46184</v>
      </c>
      <c r="J138" s="7">
        <v>46190</v>
      </c>
      <c r="K138" s="4" t="s">
        <v>49</v>
      </c>
      <c r="L138" s="4" t="str">
        <f t="shared" si="2"/>
        <v>Not Eligible</v>
      </c>
    </row>
    <row r="139" spans="1:12" x14ac:dyDescent="0.3">
      <c r="A139" s="9">
        <v>1138</v>
      </c>
      <c r="B139" s="9" t="s">
        <v>53</v>
      </c>
      <c r="C139" s="4" t="s">
        <v>42</v>
      </c>
      <c r="D139" s="4" t="s">
        <v>24</v>
      </c>
      <c r="E139" s="4" t="s">
        <v>7</v>
      </c>
      <c r="F139" s="4">
        <v>5</v>
      </c>
      <c r="G139" s="4">
        <v>14466</v>
      </c>
      <c r="H139" s="4">
        <v>2</v>
      </c>
      <c r="I139" s="7">
        <v>46084</v>
      </c>
      <c r="J139" s="7">
        <v>46092</v>
      </c>
      <c r="K139" s="4" t="s">
        <v>81</v>
      </c>
      <c r="L139" s="4" t="str">
        <f t="shared" si="2"/>
        <v>Not Eligible</v>
      </c>
    </row>
    <row r="140" spans="1:12" x14ac:dyDescent="0.3">
      <c r="A140" s="9">
        <v>1139</v>
      </c>
      <c r="B140" s="9" t="s">
        <v>53</v>
      </c>
      <c r="C140" s="4" t="s">
        <v>33</v>
      </c>
      <c r="D140" s="4" t="s">
        <v>34</v>
      </c>
      <c r="E140" s="4" t="s">
        <v>12</v>
      </c>
      <c r="F140" s="4">
        <v>17</v>
      </c>
      <c r="G140" s="4">
        <v>28839</v>
      </c>
      <c r="H140" s="4">
        <v>10</v>
      </c>
      <c r="I140" s="7">
        <v>46093</v>
      </c>
      <c r="J140" s="7">
        <v>46099</v>
      </c>
      <c r="K140" s="4" t="s">
        <v>78</v>
      </c>
      <c r="L140" s="4" t="str">
        <f t="shared" si="2"/>
        <v>Eligible</v>
      </c>
    </row>
    <row r="141" spans="1:12" x14ac:dyDescent="0.3">
      <c r="A141" s="9">
        <v>1140</v>
      </c>
      <c r="B141" s="9" t="s">
        <v>54</v>
      </c>
      <c r="C141" s="4" t="s">
        <v>38</v>
      </c>
      <c r="D141" s="4" t="s">
        <v>34</v>
      </c>
      <c r="E141" s="4" t="s">
        <v>40</v>
      </c>
      <c r="F141" s="4">
        <v>5</v>
      </c>
      <c r="G141" s="4">
        <v>68012</v>
      </c>
      <c r="H141" s="4">
        <v>5</v>
      </c>
      <c r="I141" s="7">
        <v>46061</v>
      </c>
      <c r="J141" s="7">
        <v>46065</v>
      </c>
      <c r="K141" s="4" t="s">
        <v>78</v>
      </c>
      <c r="L141" s="4" t="str">
        <f t="shared" si="2"/>
        <v>Not Eligible</v>
      </c>
    </row>
    <row r="142" spans="1:12" x14ac:dyDescent="0.3">
      <c r="A142" s="9">
        <v>1141</v>
      </c>
      <c r="B142" s="9" t="s">
        <v>18</v>
      </c>
      <c r="C142" s="4" t="s">
        <v>23</v>
      </c>
      <c r="D142" s="4" t="s">
        <v>24</v>
      </c>
      <c r="E142" s="4" t="s">
        <v>43</v>
      </c>
      <c r="F142" s="4">
        <v>20</v>
      </c>
      <c r="G142" s="4">
        <v>6835</v>
      </c>
      <c r="H142" s="4">
        <v>2</v>
      </c>
      <c r="I142" s="7">
        <v>46043</v>
      </c>
      <c r="J142" s="7">
        <v>46053</v>
      </c>
      <c r="K142" s="4" t="s">
        <v>78</v>
      </c>
      <c r="L142" s="4" t="str">
        <f t="shared" si="2"/>
        <v>Not Eligible</v>
      </c>
    </row>
    <row r="143" spans="1:12" x14ac:dyDescent="0.3">
      <c r="A143" s="9">
        <v>1142</v>
      </c>
      <c r="B143" s="9" t="s">
        <v>39</v>
      </c>
      <c r="C143" s="4" t="s">
        <v>27</v>
      </c>
      <c r="D143" s="4" t="s">
        <v>34</v>
      </c>
      <c r="E143" s="4" t="s">
        <v>9</v>
      </c>
      <c r="F143" s="4">
        <v>9</v>
      </c>
      <c r="G143" s="4">
        <v>59788</v>
      </c>
      <c r="H143" s="4">
        <v>7</v>
      </c>
      <c r="I143" s="7">
        <v>46064</v>
      </c>
      <c r="J143" s="7">
        <v>46071</v>
      </c>
      <c r="K143" s="4" t="s">
        <v>49</v>
      </c>
      <c r="L143" s="4" t="str">
        <f t="shared" si="2"/>
        <v>Not Eligible</v>
      </c>
    </row>
    <row r="144" spans="1:12" x14ac:dyDescent="0.3">
      <c r="A144" s="9">
        <v>1143</v>
      </c>
      <c r="B144" s="9" t="s">
        <v>49</v>
      </c>
      <c r="C144" s="4" t="s">
        <v>23</v>
      </c>
      <c r="D144" s="4" t="s">
        <v>20</v>
      </c>
      <c r="E144" s="4" t="s">
        <v>37</v>
      </c>
      <c r="F144" s="4">
        <v>13</v>
      </c>
      <c r="G144" s="4">
        <v>456</v>
      </c>
      <c r="H144" s="4">
        <v>2</v>
      </c>
      <c r="I144" s="7">
        <v>46160</v>
      </c>
      <c r="J144" s="7">
        <v>46167</v>
      </c>
      <c r="K144" s="4" t="s">
        <v>80</v>
      </c>
      <c r="L144" s="4" t="str">
        <f t="shared" si="2"/>
        <v>Not Eligible</v>
      </c>
    </row>
    <row r="145" spans="1:12" x14ac:dyDescent="0.3">
      <c r="A145" s="9">
        <v>1144</v>
      </c>
      <c r="B145" s="9" t="s">
        <v>41</v>
      </c>
      <c r="C145" s="4" t="s">
        <v>27</v>
      </c>
      <c r="D145" s="4" t="s">
        <v>20</v>
      </c>
      <c r="E145" s="4" t="s">
        <v>21</v>
      </c>
      <c r="F145" s="4">
        <v>16</v>
      </c>
      <c r="G145" s="4">
        <v>219</v>
      </c>
      <c r="H145" s="4">
        <v>7</v>
      </c>
      <c r="I145" s="7">
        <v>46138</v>
      </c>
      <c r="J145" s="7">
        <v>46140</v>
      </c>
      <c r="K145" s="4" t="s">
        <v>79</v>
      </c>
      <c r="L145" s="4" t="str">
        <f t="shared" si="2"/>
        <v>Not Eligible</v>
      </c>
    </row>
    <row r="146" spans="1:12" x14ac:dyDescent="0.3">
      <c r="A146" s="9">
        <v>1145</v>
      </c>
      <c r="B146" s="9" t="s">
        <v>41</v>
      </c>
      <c r="C146" s="4" t="s">
        <v>33</v>
      </c>
      <c r="D146" s="4" t="s">
        <v>34</v>
      </c>
      <c r="E146" s="4" t="s">
        <v>5</v>
      </c>
      <c r="F146" s="4">
        <v>2</v>
      </c>
      <c r="G146" s="4">
        <v>34429</v>
      </c>
      <c r="H146" s="4">
        <v>12</v>
      </c>
      <c r="I146" s="7">
        <v>46102</v>
      </c>
      <c r="J146" s="7">
        <v>46112</v>
      </c>
      <c r="K146" s="4" t="s">
        <v>80</v>
      </c>
      <c r="L146" s="4" t="str">
        <f t="shared" si="2"/>
        <v>Eligible</v>
      </c>
    </row>
    <row r="147" spans="1:12" x14ac:dyDescent="0.3">
      <c r="A147" s="9">
        <v>1146</v>
      </c>
      <c r="B147" s="9" t="s">
        <v>22</v>
      </c>
      <c r="C147" s="4" t="s">
        <v>42</v>
      </c>
      <c r="D147" s="4" t="s">
        <v>34</v>
      </c>
      <c r="E147" s="4" t="s">
        <v>6</v>
      </c>
      <c r="F147" s="4">
        <v>7</v>
      </c>
      <c r="G147" s="4">
        <v>68217</v>
      </c>
      <c r="H147" s="4">
        <v>0</v>
      </c>
      <c r="I147" s="7">
        <v>46190</v>
      </c>
      <c r="J147" s="7">
        <v>46197</v>
      </c>
      <c r="K147" s="4" t="s">
        <v>49</v>
      </c>
      <c r="L147" s="4" t="str">
        <f t="shared" si="2"/>
        <v>Not Eligible</v>
      </c>
    </row>
    <row r="148" spans="1:12" x14ac:dyDescent="0.3">
      <c r="A148" s="9">
        <v>1147</v>
      </c>
      <c r="B148" s="9" t="s">
        <v>18</v>
      </c>
      <c r="C148" s="4" t="s">
        <v>26</v>
      </c>
      <c r="D148" s="4" t="s">
        <v>24</v>
      </c>
      <c r="E148" s="4" t="s">
        <v>8</v>
      </c>
      <c r="F148" s="4">
        <v>7</v>
      </c>
      <c r="G148" s="4">
        <v>9581</v>
      </c>
      <c r="H148" s="4">
        <v>5</v>
      </c>
      <c r="I148" s="7">
        <v>46154</v>
      </c>
      <c r="J148" s="7">
        <v>46155</v>
      </c>
      <c r="K148" s="4" t="s">
        <v>79</v>
      </c>
      <c r="L148" s="4" t="str">
        <f t="shared" si="2"/>
        <v>Not Eligible</v>
      </c>
    </row>
    <row r="149" spans="1:12" x14ac:dyDescent="0.3">
      <c r="A149" s="9">
        <v>1148</v>
      </c>
      <c r="B149" s="9" t="s">
        <v>56</v>
      </c>
      <c r="C149" s="4" t="s">
        <v>33</v>
      </c>
      <c r="D149" s="4" t="s">
        <v>24</v>
      </c>
      <c r="E149" s="4" t="s">
        <v>8</v>
      </c>
      <c r="F149" s="4">
        <v>11</v>
      </c>
      <c r="G149" s="4">
        <v>3023</v>
      </c>
      <c r="H149" s="4">
        <v>7</v>
      </c>
      <c r="I149" s="7">
        <v>46030</v>
      </c>
      <c r="J149" s="7">
        <v>46032</v>
      </c>
      <c r="K149" s="4" t="s">
        <v>80</v>
      </c>
      <c r="L149" s="4" t="str">
        <f t="shared" si="2"/>
        <v>Not Eligible</v>
      </c>
    </row>
    <row r="150" spans="1:12" x14ac:dyDescent="0.3">
      <c r="A150" s="9">
        <v>1149</v>
      </c>
      <c r="B150" s="9" t="s">
        <v>28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7">
        <v>46053</v>
      </c>
      <c r="J150" s="7">
        <v>46054</v>
      </c>
      <c r="K150" s="4" t="s">
        <v>49</v>
      </c>
      <c r="L150" s="4" t="str">
        <f t="shared" si="2"/>
        <v>Not Eligible</v>
      </c>
    </row>
    <row r="151" spans="1:12" x14ac:dyDescent="0.3">
      <c r="A151" s="9">
        <v>1150</v>
      </c>
      <c r="B151" s="9" t="s">
        <v>41</v>
      </c>
      <c r="C151" s="4" t="s">
        <v>19</v>
      </c>
      <c r="D151" s="4" t="s">
        <v>24</v>
      </c>
      <c r="E151" s="4" t="s">
        <v>11</v>
      </c>
      <c r="F151" s="4">
        <v>10</v>
      </c>
      <c r="G151" s="4">
        <v>5323</v>
      </c>
      <c r="H151" s="4">
        <v>7</v>
      </c>
      <c r="I151" s="7">
        <v>46143</v>
      </c>
      <c r="J151" s="7">
        <v>46153</v>
      </c>
      <c r="K151" s="4" t="s">
        <v>80</v>
      </c>
      <c r="L151" s="4" t="str">
        <f t="shared" si="2"/>
        <v>Not Eligible</v>
      </c>
    </row>
    <row r="152" spans="1:12" x14ac:dyDescent="0.3">
      <c r="A152" s="9">
        <v>1151</v>
      </c>
      <c r="B152" s="9" t="s">
        <v>44</v>
      </c>
      <c r="C152" s="4" t="s">
        <v>42</v>
      </c>
      <c r="D152" s="4" t="s">
        <v>20</v>
      </c>
      <c r="E152" s="4" t="s">
        <v>48</v>
      </c>
      <c r="F152" s="4">
        <v>20</v>
      </c>
      <c r="G152" s="4">
        <v>272</v>
      </c>
      <c r="H152" s="4">
        <v>15</v>
      </c>
      <c r="I152" s="7">
        <v>46024</v>
      </c>
      <c r="J152" s="7">
        <v>46029</v>
      </c>
      <c r="K152" s="4" t="s">
        <v>81</v>
      </c>
      <c r="L152" s="4" t="str">
        <f t="shared" si="2"/>
        <v>Not Eligible</v>
      </c>
    </row>
    <row r="153" spans="1:12" x14ac:dyDescent="0.3">
      <c r="A153" s="9">
        <v>1152</v>
      </c>
      <c r="B153" s="9" t="s">
        <v>29</v>
      </c>
      <c r="C153" s="4" t="s">
        <v>31</v>
      </c>
      <c r="D153" s="4" t="s">
        <v>34</v>
      </c>
      <c r="E153" s="4" t="s">
        <v>12</v>
      </c>
      <c r="F153" s="4">
        <v>14</v>
      </c>
      <c r="G153" s="4">
        <v>8150</v>
      </c>
      <c r="H153" s="4">
        <v>10</v>
      </c>
      <c r="I153" s="7">
        <v>46062</v>
      </c>
      <c r="J153" s="7">
        <v>46070</v>
      </c>
      <c r="K153" s="4" t="s">
        <v>78</v>
      </c>
      <c r="L153" s="4" t="str">
        <f t="shared" si="2"/>
        <v>Eligible</v>
      </c>
    </row>
    <row r="154" spans="1:12" x14ac:dyDescent="0.3">
      <c r="A154" s="9">
        <v>1153</v>
      </c>
      <c r="B154" s="9" t="s">
        <v>41</v>
      </c>
      <c r="C154" s="4" t="s">
        <v>27</v>
      </c>
      <c r="D154" s="4" t="s">
        <v>24</v>
      </c>
      <c r="E154" s="4" t="s">
        <v>10</v>
      </c>
      <c r="F154" s="4">
        <v>19</v>
      </c>
      <c r="G154" s="4">
        <v>10273</v>
      </c>
      <c r="H154" s="4">
        <v>12</v>
      </c>
      <c r="I154" s="7">
        <v>46069</v>
      </c>
      <c r="J154" s="7">
        <v>46072</v>
      </c>
      <c r="K154" s="4" t="s">
        <v>49</v>
      </c>
      <c r="L154" s="4" t="str">
        <f t="shared" si="2"/>
        <v>Not Eligible</v>
      </c>
    </row>
    <row r="155" spans="1:12" x14ac:dyDescent="0.3">
      <c r="A155" s="9">
        <v>1154</v>
      </c>
      <c r="B155" s="9" t="s">
        <v>32</v>
      </c>
      <c r="C155" s="4" t="s">
        <v>23</v>
      </c>
      <c r="D155" s="4" t="s">
        <v>24</v>
      </c>
      <c r="E155" s="4" t="s">
        <v>11</v>
      </c>
      <c r="F155" s="4">
        <v>15</v>
      </c>
      <c r="G155" s="4">
        <v>6101</v>
      </c>
      <c r="H155" s="4">
        <v>0</v>
      </c>
      <c r="I155" s="7">
        <v>46178</v>
      </c>
      <c r="J155" s="7">
        <v>46183</v>
      </c>
      <c r="K155" s="4" t="s">
        <v>81</v>
      </c>
      <c r="L155" s="4" t="str">
        <f t="shared" si="2"/>
        <v>Not Eligible</v>
      </c>
    </row>
    <row r="156" spans="1:12" x14ac:dyDescent="0.3">
      <c r="A156" s="9">
        <v>1155</v>
      </c>
      <c r="B156" s="9" t="s">
        <v>18</v>
      </c>
      <c r="C156" s="4" t="s">
        <v>31</v>
      </c>
      <c r="D156" s="4" t="s">
        <v>24</v>
      </c>
      <c r="E156" s="4" t="s">
        <v>8</v>
      </c>
      <c r="F156" s="4">
        <v>13</v>
      </c>
      <c r="G156" s="4">
        <v>4341</v>
      </c>
      <c r="H156" s="4">
        <v>15</v>
      </c>
      <c r="I156" s="7">
        <v>46093</v>
      </c>
      <c r="J156" s="7">
        <v>46096</v>
      </c>
      <c r="K156" s="4" t="s">
        <v>80</v>
      </c>
      <c r="L156" s="4" t="str">
        <f t="shared" si="2"/>
        <v>Not Eligible</v>
      </c>
    </row>
    <row r="157" spans="1:12" x14ac:dyDescent="0.3">
      <c r="A157" s="9">
        <v>1156</v>
      </c>
      <c r="B157" s="9" t="s">
        <v>52</v>
      </c>
      <c r="C157" s="4" t="s">
        <v>38</v>
      </c>
      <c r="D157" s="4" t="s">
        <v>20</v>
      </c>
      <c r="E157" s="4" t="s">
        <v>36</v>
      </c>
      <c r="F157" s="4">
        <v>5</v>
      </c>
      <c r="G157" s="4">
        <v>466</v>
      </c>
      <c r="H157" s="4">
        <v>15</v>
      </c>
      <c r="I157" s="7">
        <v>46025</v>
      </c>
      <c r="J157" s="7">
        <v>46029</v>
      </c>
      <c r="K157" s="4" t="s">
        <v>78</v>
      </c>
      <c r="L157" s="4" t="str">
        <f t="shared" si="2"/>
        <v>Not Eligible</v>
      </c>
    </row>
    <row r="158" spans="1:12" x14ac:dyDescent="0.3">
      <c r="A158" s="9">
        <v>1157</v>
      </c>
      <c r="B158" s="9" t="s">
        <v>50</v>
      </c>
      <c r="C158" s="4" t="s">
        <v>33</v>
      </c>
      <c r="D158" s="4" t="s">
        <v>20</v>
      </c>
      <c r="E158" s="4" t="s">
        <v>48</v>
      </c>
      <c r="F158" s="4">
        <v>3</v>
      </c>
      <c r="G158" s="4">
        <v>203</v>
      </c>
      <c r="H158" s="4">
        <v>15</v>
      </c>
      <c r="I158" s="7">
        <v>46076</v>
      </c>
      <c r="J158" s="7">
        <v>46080</v>
      </c>
      <c r="K158" s="4" t="s">
        <v>49</v>
      </c>
      <c r="L158" s="4" t="str">
        <f t="shared" si="2"/>
        <v>Not Eligible</v>
      </c>
    </row>
    <row r="159" spans="1:12" x14ac:dyDescent="0.3">
      <c r="A159" s="9">
        <v>1158</v>
      </c>
      <c r="B159" s="9" t="s">
        <v>28</v>
      </c>
      <c r="C159" s="4" t="s">
        <v>38</v>
      </c>
      <c r="D159" s="4" t="s">
        <v>34</v>
      </c>
      <c r="E159" s="4" t="s">
        <v>40</v>
      </c>
      <c r="F159" s="4">
        <v>13</v>
      </c>
      <c r="G159" s="4">
        <v>12518</v>
      </c>
      <c r="H159" s="4">
        <v>2</v>
      </c>
      <c r="I159" s="7">
        <v>46079</v>
      </c>
      <c r="J159" s="7">
        <v>46082</v>
      </c>
      <c r="K159" s="4" t="s">
        <v>81</v>
      </c>
      <c r="L159" s="4" t="str">
        <f t="shared" si="2"/>
        <v>Not Eligible</v>
      </c>
    </row>
    <row r="160" spans="1:12" x14ac:dyDescent="0.3">
      <c r="A160" s="9">
        <v>1159</v>
      </c>
      <c r="B160" s="9" t="s">
        <v>32</v>
      </c>
      <c r="C160" s="4" t="s">
        <v>42</v>
      </c>
      <c r="D160" s="4" t="s">
        <v>24</v>
      </c>
      <c r="E160" s="4" t="s">
        <v>8</v>
      </c>
      <c r="F160" s="4">
        <v>20</v>
      </c>
      <c r="G160" s="4">
        <v>14000</v>
      </c>
      <c r="H160" s="4">
        <v>15</v>
      </c>
      <c r="I160" s="7">
        <v>46184</v>
      </c>
      <c r="J160" s="7">
        <v>46187</v>
      </c>
      <c r="K160" s="4" t="s">
        <v>78</v>
      </c>
      <c r="L160" s="4" t="str">
        <f t="shared" si="2"/>
        <v>Not Eligible</v>
      </c>
    </row>
    <row r="161" spans="1:12" x14ac:dyDescent="0.3">
      <c r="A161" s="9">
        <v>1160</v>
      </c>
      <c r="B161" s="9" t="s">
        <v>56</v>
      </c>
      <c r="C161" s="4" t="s">
        <v>26</v>
      </c>
      <c r="D161" s="4" t="s">
        <v>34</v>
      </c>
      <c r="E161" s="4" t="s">
        <v>5</v>
      </c>
      <c r="F161" s="4">
        <v>7</v>
      </c>
      <c r="G161" s="4">
        <v>53986</v>
      </c>
      <c r="H161" s="4">
        <v>10</v>
      </c>
      <c r="I161" s="7">
        <v>46142</v>
      </c>
      <c r="J161" s="7">
        <v>46147</v>
      </c>
      <c r="K161" s="4" t="s">
        <v>81</v>
      </c>
      <c r="L161" s="4" t="str">
        <f t="shared" si="2"/>
        <v>Eligible</v>
      </c>
    </row>
    <row r="162" spans="1:12" x14ac:dyDescent="0.3">
      <c r="A162" s="9">
        <v>1161</v>
      </c>
      <c r="B162" s="9" t="s">
        <v>29</v>
      </c>
      <c r="C162" s="4" t="s">
        <v>27</v>
      </c>
      <c r="D162" s="4" t="s">
        <v>34</v>
      </c>
      <c r="E162" s="4" t="s">
        <v>5</v>
      </c>
      <c r="F162" s="4">
        <v>4</v>
      </c>
      <c r="G162" s="4">
        <v>54659</v>
      </c>
      <c r="H162" s="4">
        <v>7</v>
      </c>
      <c r="I162" s="7">
        <v>46105</v>
      </c>
      <c r="J162" s="7">
        <v>46109</v>
      </c>
      <c r="K162" s="4" t="s">
        <v>79</v>
      </c>
      <c r="L162" s="4" t="str">
        <f t="shared" si="2"/>
        <v>Not Eligible</v>
      </c>
    </row>
    <row r="163" spans="1:12" x14ac:dyDescent="0.3">
      <c r="A163" s="9">
        <v>1162</v>
      </c>
      <c r="B163" s="9" t="s">
        <v>54</v>
      </c>
      <c r="C163" s="4" t="s">
        <v>31</v>
      </c>
      <c r="D163" s="4" t="s">
        <v>34</v>
      </c>
      <c r="E163" s="4" t="s">
        <v>6</v>
      </c>
      <c r="F163" s="4">
        <v>2</v>
      </c>
      <c r="G163" s="4">
        <v>28176</v>
      </c>
      <c r="H163" s="4">
        <v>10</v>
      </c>
      <c r="I163" s="7">
        <v>46100</v>
      </c>
      <c r="J163" s="7">
        <v>46101</v>
      </c>
      <c r="K163" s="4" t="s">
        <v>79</v>
      </c>
      <c r="L163" s="4" t="str">
        <f t="shared" si="2"/>
        <v>Eligible</v>
      </c>
    </row>
    <row r="164" spans="1:12" x14ac:dyDescent="0.3">
      <c r="A164" s="9">
        <v>1163</v>
      </c>
      <c r="B164" s="9" t="s">
        <v>49</v>
      </c>
      <c r="C164" s="4" t="s">
        <v>38</v>
      </c>
      <c r="D164" s="4" t="s">
        <v>34</v>
      </c>
      <c r="E164" s="4" t="s">
        <v>5</v>
      </c>
      <c r="F164" s="4">
        <v>9</v>
      </c>
      <c r="G164" s="4">
        <v>62440</v>
      </c>
      <c r="H164" s="4">
        <v>2</v>
      </c>
      <c r="I164" s="7">
        <v>46081</v>
      </c>
      <c r="J164" s="7">
        <v>46086</v>
      </c>
      <c r="K164" s="4" t="s">
        <v>49</v>
      </c>
      <c r="L164" s="4" t="str">
        <f t="shared" si="2"/>
        <v>Not Eligible</v>
      </c>
    </row>
    <row r="165" spans="1:12" x14ac:dyDescent="0.3">
      <c r="A165" s="9">
        <v>1164</v>
      </c>
      <c r="B165" s="9" t="s">
        <v>39</v>
      </c>
      <c r="C165" s="4" t="s">
        <v>42</v>
      </c>
      <c r="D165" s="4" t="s">
        <v>34</v>
      </c>
      <c r="E165" s="4" t="s">
        <v>12</v>
      </c>
      <c r="F165" s="4">
        <v>7</v>
      </c>
      <c r="G165" s="4">
        <v>24615</v>
      </c>
      <c r="H165" s="4">
        <v>12</v>
      </c>
      <c r="I165" s="7">
        <v>46196</v>
      </c>
      <c r="J165" s="7">
        <v>46203</v>
      </c>
      <c r="K165" s="4" t="s">
        <v>81</v>
      </c>
      <c r="L165" s="4" t="str">
        <f t="shared" si="2"/>
        <v>Eligible</v>
      </c>
    </row>
    <row r="166" spans="1:12" x14ac:dyDescent="0.3">
      <c r="A166" s="9">
        <v>1165</v>
      </c>
      <c r="B166" s="9" t="s">
        <v>46</v>
      </c>
      <c r="C166" s="4" t="s">
        <v>27</v>
      </c>
      <c r="D166" s="4" t="s">
        <v>20</v>
      </c>
      <c r="E166" s="4" t="s">
        <v>37</v>
      </c>
      <c r="F166" s="4">
        <v>1</v>
      </c>
      <c r="G166" s="4">
        <v>427</v>
      </c>
      <c r="H166" s="4">
        <v>0</v>
      </c>
      <c r="I166" s="7">
        <v>46042</v>
      </c>
      <c r="J166" s="7">
        <v>46050</v>
      </c>
      <c r="K166" s="4" t="s">
        <v>81</v>
      </c>
      <c r="L166" s="4" t="str">
        <f t="shared" si="2"/>
        <v>Not Eligible</v>
      </c>
    </row>
    <row r="167" spans="1:12" x14ac:dyDescent="0.3">
      <c r="A167" s="9">
        <v>1166</v>
      </c>
      <c r="B167" s="9" t="s">
        <v>32</v>
      </c>
      <c r="C167" s="4" t="s">
        <v>31</v>
      </c>
      <c r="D167" s="4" t="s">
        <v>20</v>
      </c>
      <c r="E167" s="4" t="s">
        <v>37</v>
      </c>
      <c r="F167" s="4">
        <v>1</v>
      </c>
      <c r="G167" s="4">
        <v>396</v>
      </c>
      <c r="H167" s="4">
        <v>5</v>
      </c>
      <c r="I167" s="7">
        <v>46092</v>
      </c>
      <c r="J167" s="7">
        <v>46093</v>
      </c>
      <c r="K167" s="4" t="s">
        <v>79</v>
      </c>
      <c r="L167" s="4" t="str">
        <f t="shared" si="2"/>
        <v>Not Eligible</v>
      </c>
    </row>
    <row r="168" spans="1:12" x14ac:dyDescent="0.3">
      <c r="A168" s="9">
        <v>1167</v>
      </c>
      <c r="B168" s="9" t="s">
        <v>46</v>
      </c>
      <c r="C168" s="4" t="s">
        <v>23</v>
      </c>
      <c r="D168" s="4" t="s">
        <v>20</v>
      </c>
      <c r="E168" s="4" t="s">
        <v>37</v>
      </c>
      <c r="F168" s="4">
        <v>20</v>
      </c>
      <c r="G168" s="4">
        <v>251</v>
      </c>
      <c r="H168" s="4">
        <v>5</v>
      </c>
      <c r="I168" s="7">
        <v>46160</v>
      </c>
      <c r="J168" s="7">
        <v>46170</v>
      </c>
      <c r="K168" s="4" t="s">
        <v>49</v>
      </c>
      <c r="L168" s="4" t="str">
        <f t="shared" si="2"/>
        <v>Not Eligible</v>
      </c>
    </row>
    <row r="169" spans="1:12" x14ac:dyDescent="0.3">
      <c r="A169" s="9">
        <v>1168</v>
      </c>
      <c r="B169" s="9" t="s">
        <v>52</v>
      </c>
      <c r="C169" s="4" t="s">
        <v>19</v>
      </c>
      <c r="D169" s="4" t="s">
        <v>20</v>
      </c>
      <c r="E169" s="4" t="s">
        <v>37</v>
      </c>
      <c r="F169" s="4">
        <v>18</v>
      </c>
      <c r="G169" s="4">
        <v>335</v>
      </c>
      <c r="H169" s="4">
        <v>15</v>
      </c>
      <c r="I169" s="7">
        <v>46130</v>
      </c>
      <c r="J169" s="7">
        <v>46140</v>
      </c>
      <c r="K169" s="4" t="s">
        <v>49</v>
      </c>
      <c r="L169" s="4" t="str">
        <f t="shared" si="2"/>
        <v>Not Eligible</v>
      </c>
    </row>
    <row r="170" spans="1:12" x14ac:dyDescent="0.3">
      <c r="A170" s="9">
        <v>1169</v>
      </c>
      <c r="B170" s="9" t="s">
        <v>45</v>
      </c>
      <c r="C170" s="4" t="s">
        <v>19</v>
      </c>
      <c r="D170" s="4" t="s">
        <v>24</v>
      </c>
      <c r="E170" s="4" t="s">
        <v>11</v>
      </c>
      <c r="F170" s="4">
        <v>12</v>
      </c>
      <c r="G170" s="4">
        <v>12104</v>
      </c>
      <c r="H170" s="4">
        <v>7</v>
      </c>
      <c r="I170" s="7">
        <v>46121</v>
      </c>
      <c r="J170" s="7">
        <v>46130</v>
      </c>
      <c r="K170" s="4" t="s">
        <v>80</v>
      </c>
      <c r="L170" s="4" t="str">
        <f t="shared" si="2"/>
        <v>Not Eligible</v>
      </c>
    </row>
    <row r="171" spans="1:12" x14ac:dyDescent="0.3">
      <c r="A171" s="9">
        <v>1170</v>
      </c>
      <c r="B171" s="9" t="s">
        <v>47</v>
      </c>
      <c r="C171" s="4" t="s">
        <v>38</v>
      </c>
      <c r="D171" s="4" t="s">
        <v>20</v>
      </c>
      <c r="E171" s="4" t="s">
        <v>21</v>
      </c>
      <c r="F171" s="4">
        <v>6</v>
      </c>
      <c r="G171" s="4">
        <v>339</v>
      </c>
      <c r="H171" s="4">
        <v>12</v>
      </c>
      <c r="I171" s="7">
        <v>46105</v>
      </c>
      <c r="J171" s="7">
        <v>46106</v>
      </c>
      <c r="K171" s="4" t="s">
        <v>80</v>
      </c>
      <c r="L171" s="4" t="str">
        <f t="shared" si="2"/>
        <v>Not Eligible</v>
      </c>
    </row>
    <row r="172" spans="1:12" x14ac:dyDescent="0.3">
      <c r="A172" s="9">
        <v>1171</v>
      </c>
      <c r="B172" s="9" t="s">
        <v>54</v>
      </c>
      <c r="C172" s="4" t="s">
        <v>27</v>
      </c>
      <c r="D172" s="4" t="s">
        <v>20</v>
      </c>
      <c r="E172" s="4" t="s">
        <v>48</v>
      </c>
      <c r="F172" s="4">
        <v>17</v>
      </c>
      <c r="G172" s="4">
        <v>147</v>
      </c>
      <c r="H172" s="4">
        <v>12</v>
      </c>
      <c r="I172" s="7">
        <v>46155</v>
      </c>
      <c r="J172" s="7">
        <v>46160</v>
      </c>
      <c r="K172" s="4" t="s">
        <v>79</v>
      </c>
      <c r="L172" s="4" t="str">
        <f t="shared" si="2"/>
        <v>Not Eligible</v>
      </c>
    </row>
    <row r="173" spans="1:12" x14ac:dyDescent="0.3">
      <c r="A173" s="9">
        <v>1172</v>
      </c>
      <c r="B173" s="9" t="s">
        <v>22</v>
      </c>
      <c r="C173" s="4" t="s">
        <v>19</v>
      </c>
      <c r="D173" s="4" t="s">
        <v>34</v>
      </c>
      <c r="E173" s="4" t="s">
        <v>6</v>
      </c>
      <c r="F173" s="4">
        <v>13</v>
      </c>
      <c r="G173" s="4">
        <v>43163</v>
      </c>
      <c r="H173" s="4">
        <v>12</v>
      </c>
      <c r="I173" s="7">
        <v>46120</v>
      </c>
      <c r="J173" s="7">
        <v>46129</v>
      </c>
      <c r="K173" s="4" t="s">
        <v>80</v>
      </c>
      <c r="L173" s="4" t="str">
        <f t="shared" si="2"/>
        <v>Eligible</v>
      </c>
    </row>
    <row r="174" spans="1:12" x14ac:dyDescent="0.3">
      <c r="A174" s="9">
        <v>1173</v>
      </c>
      <c r="B174" s="9" t="s">
        <v>39</v>
      </c>
      <c r="C174" s="4" t="s">
        <v>23</v>
      </c>
      <c r="D174" s="4" t="s">
        <v>20</v>
      </c>
      <c r="E174" s="4" t="s">
        <v>37</v>
      </c>
      <c r="F174" s="4">
        <v>15</v>
      </c>
      <c r="G174" s="4">
        <v>214</v>
      </c>
      <c r="H174" s="4">
        <v>10</v>
      </c>
      <c r="I174" s="7">
        <v>46050</v>
      </c>
      <c r="J174" s="7">
        <v>46060</v>
      </c>
      <c r="K174" s="4" t="s">
        <v>81</v>
      </c>
      <c r="L174" s="4" t="str">
        <f t="shared" si="2"/>
        <v>Not Eligible</v>
      </c>
    </row>
    <row r="175" spans="1:12" x14ac:dyDescent="0.3">
      <c r="A175" s="9">
        <v>1174</v>
      </c>
      <c r="B175" s="9" t="s">
        <v>55</v>
      </c>
      <c r="C175" s="4" t="s">
        <v>38</v>
      </c>
      <c r="D175" s="4" t="s">
        <v>20</v>
      </c>
      <c r="E175" s="4" t="s">
        <v>21</v>
      </c>
      <c r="F175" s="4">
        <v>13</v>
      </c>
      <c r="G175" s="4">
        <v>155</v>
      </c>
      <c r="H175" s="4">
        <v>2</v>
      </c>
      <c r="I175" s="7">
        <v>46066</v>
      </c>
      <c r="J175" s="7">
        <v>46069</v>
      </c>
      <c r="K175" s="4" t="s">
        <v>80</v>
      </c>
      <c r="L175" s="4" t="str">
        <f t="shared" si="2"/>
        <v>Not Eligible</v>
      </c>
    </row>
    <row r="176" spans="1:12" x14ac:dyDescent="0.3">
      <c r="A176" s="9">
        <v>1175</v>
      </c>
      <c r="B176" s="9" t="s">
        <v>28</v>
      </c>
      <c r="C176" s="4" t="s">
        <v>23</v>
      </c>
      <c r="D176" s="4" t="s">
        <v>34</v>
      </c>
      <c r="E176" s="4" t="s">
        <v>40</v>
      </c>
      <c r="F176" s="4">
        <v>10</v>
      </c>
      <c r="G176" s="4">
        <v>20339</v>
      </c>
      <c r="H176" s="4">
        <v>2</v>
      </c>
      <c r="I176" s="7">
        <v>46088</v>
      </c>
      <c r="J176" s="7">
        <v>46094</v>
      </c>
      <c r="K176" s="4" t="s">
        <v>79</v>
      </c>
      <c r="L176" s="4" t="str">
        <f t="shared" si="2"/>
        <v>Not Eligible</v>
      </c>
    </row>
    <row r="177" spans="1:12" x14ac:dyDescent="0.3">
      <c r="A177" s="9">
        <v>1176</v>
      </c>
      <c r="B177" s="9" t="s">
        <v>55</v>
      </c>
      <c r="C177" s="4" t="s">
        <v>38</v>
      </c>
      <c r="D177" s="4" t="s">
        <v>34</v>
      </c>
      <c r="E177" s="4" t="s">
        <v>40</v>
      </c>
      <c r="F177" s="4">
        <v>17</v>
      </c>
      <c r="G177" s="4">
        <v>46937</v>
      </c>
      <c r="H177" s="4">
        <v>12</v>
      </c>
      <c r="I177" s="7">
        <v>46048</v>
      </c>
      <c r="J177" s="7">
        <v>46056</v>
      </c>
      <c r="K177" s="4" t="s">
        <v>49</v>
      </c>
      <c r="L177" s="4" t="str">
        <f t="shared" si="2"/>
        <v>Eligible</v>
      </c>
    </row>
    <row r="178" spans="1:12" x14ac:dyDescent="0.3">
      <c r="A178" s="9">
        <v>1177</v>
      </c>
      <c r="B178" s="9" t="s">
        <v>49</v>
      </c>
      <c r="C178" s="4" t="s">
        <v>26</v>
      </c>
      <c r="D178" s="4" t="s">
        <v>24</v>
      </c>
      <c r="E178" s="4" t="s">
        <v>7</v>
      </c>
      <c r="F178" s="4">
        <v>14</v>
      </c>
      <c r="G178" s="4">
        <v>7501</v>
      </c>
      <c r="H178" s="4">
        <v>7</v>
      </c>
      <c r="I178" s="7">
        <v>46169</v>
      </c>
      <c r="J178" s="7">
        <v>46179</v>
      </c>
      <c r="K178" s="4" t="s">
        <v>79</v>
      </c>
      <c r="L178" s="4" t="str">
        <f t="shared" si="2"/>
        <v>Not Eligible</v>
      </c>
    </row>
    <row r="179" spans="1:12" x14ac:dyDescent="0.3">
      <c r="A179" s="9">
        <v>1178</v>
      </c>
      <c r="B179" s="9" t="s">
        <v>54</v>
      </c>
      <c r="C179" s="4" t="s">
        <v>23</v>
      </c>
      <c r="D179" s="4" t="s">
        <v>20</v>
      </c>
      <c r="E179" s="4" t="s">
        <v>48</v>
      </c>
      <c r="F179" s="4">
        <v>5</v>
      </c>
      <c r="G179" s="4">
        <v>50</v>
      </c>
      <c r="H179" s="4">
        <v>0</v>
      </c>
      <c r="I179" s="7">
        <v>46111</v>
      </c>
      <c r="J179" s="7">
        <v>46117</v>
      </c>
      <c r="K179" s="4" t="s">
        <v>79</v>
      </c>
      <c r="L179" s="4" t="str">
        <f t="shared" si="2"/>
        <v>Not Eligible</v>
      </c>
    </row>
    <row r="180" spans="1:12" x14ac:dyDescent="0.3">
      <c r="A180" s="9">
        <v>1179</v>
      </c>
      <c r="B180" s="9" t="s">
        <v>45</v>
      </c>
      <c r="C180" s="4" t="s">
        <v>23</v>
      </c>
      <c r="D180" s="4" t="s">
        <v>34</v>
      </c>
      <c r="E180" s="4" t="s">
        <v>5</v>
      </c>
      <c r="F180" s="4">
        <v>6</v>
      </c>
      <c r="G180" s="4">
        <v>10400</v>
      </c>
      <c r="H180" s="4">
        <v>2</v>
      </c>
      <c r="I180" s="7">
        <v>46155</v>
      </c>
      <c r="J180" s="7">
        <v>46158</v>
      </c>
      <c r="K180" s="4" t="s">
        <v>78</v>
      </c>
      <c r="L180" s="4" t="str">
        <f t="shared" si="2"/>
        <v>Not Eligible</v>
      </c>
    </row>
    <row r="181" spans="1:12" x14ac:dyDescent="0.3">
      <c r="A181" s="9">
        <v>1180</v>
      </c>
      <c r="B181" s="9" t="s">
        <v>39</v>
      </c>
      <c r="C181" s="4" t="s">
        <v>31</v>
      </c>
      <c r="D181" s="4" t="s">
        <v>24</v>
      </c>
      <c r="E181" s="4" t="s">
        <v>8</v>
      </c>
      <c r="F181" s="4">
        <v>2</v>
      </c>
      <c r="G181" s="4">
        <v>2076</v>
      </c>
      <c r="H181" s="4">
        <v>2</v>
      </c>
      <c r="I181" s="7">
        <v>46111</v>
      </c>
      <c r="J181" s="7">
        <v>46121</v>
      </c>
      <c r="K181" s="4" t="s">
        <v>49</v>
      </c>
      <c r="L181" s="4" t="str">
        <f t="shared" si="2"/>
        <v>Not Eligible</v>
      </c>
    </row>
    <row r="182" spans="1:12" x14ac:dyDescent="0.3">
      <c r="A182" s="9">
        <v>1181</v>
      </c>
      <c r="B182" s="9" t="s">
        <v>55</v>
      </c>
      <c r="C182" s="4" t="s">
        <v>33</v>
      </c>
      <c r="D182" s="4" t="s">
        <v>20</v>
      </c>
      <c r="E182" s="4" t="s">
        <v>36</v>
      </c>
      <c r="F182" s="4">
        <v>4</v>
      </c>
      <c r="G182" s="4">
        <v>357</v>
      </c>
      <c r="H182" s="4">
        <v>2</v>
      </c>
      <c r="I182" s="7">
        <v>46033</v>
      </c>
      <c r="J182" s="7">
        <v>46035</v>
      </c>
      <c r="K182" s="4" t="s">
        <v>78</v>
      </c>
      <c r="L182" s="4" t="str">
        <f t="shared" si="2"/>
        <v>Not Eligible</v>
      </c>
    </row>
    <row r="183" spans="1:12" x14ac:dyDescent="0.3">
      <c r="A183" s="9">
        <v>1182</v>
      </c>
      <c r="B183" s="9" t="s">
        <v>41</v>
      </c>
      <c r="C183" s="4" t="s">
        <v>19</v>
      </c>
      <c r="D183" s="4" t="s">
        <v>34</v>
      </c>
      <c r="E183" s="4" t="s">
        <v>5</v>
      </c>
      <c r="F183" s="4">
        <v>8</v>
      </c>
      <c r="G183" s="4">
        <v>66022</v>
      </c>
      <c r="H183" s="4">
        <v>12</v>
      </c>
      <c r="I183" s="7">
        <v>46108</v>
      </c>
      <c r="J183" s="7">
        <v>46114</v>
      </c>
      <c r="K183" s="4" t="s">
        <v>80</v>
      </c>
      <c r="L183" s="4" t="str">
        <f t="shared" si="2"/>
        <v>Eligible</v>
      </c>
    </row>
    <row r="184" spans="1:12" x14ac:dyDescent="0.3">
      <c r="A184" s="9">
        <v>1183</v>
      </c>
      <c r="B184" s="9" t="s">
        <v>50</v>
      </c>
      <c r="C184" s="4" t="s">
        <v>42</v>
      </c>
      <c r="D184" s="4" t="s">
        <v>20</v>
      </c>
      <c r="E184" s="4" t="s">
        <v>21</v>
      </c>
      <c r="F184" s="4">
        <v>2</v>
      </c>
      <c r="G184" s="4">
        <v>309</v>
      </c>
      <c r="H184" s="4">
        <v>2</v>
      </c>
      <c r="I184" s="7">
        <v>46109</v>
      </c>
      <c r="J184" s="7">
        <v>46111</v>
      </c>
      <c r="K184" s="4" t="s">
        <v>79</v>
      </c>
      <c r="L184" s="4" t="str">
        <f t="shared" si="2"/>
        <v>Not Eligible</v>
      </c>
    </row>
    <row r="185" spans="1:12" x14ac:dyDescent="0.3">
      <c r="A185" s="9">
        <v>1184</v>
      </c>
      <c r="B185" s="9" t="s">
        <v>39</v>
      </c>
      <c r="C185" s="4" t="s">
        <v>31</v>
      </c>
      <c r="D185" s="4" t="s">
        <v>34</v>
      </c>
      <c r="E185" s="4" t="s">
        <v>5</v>
      </c>
      <c r="F185" s="4">
        <v>12</v>
      </c>
      <c r="G185" s="4">
        <v>50517</v>
      </c>
      <c r="H185" s="4">
        <v>15</v>
      </c>
      <c r="I185" s="7">
        <v>46145</v>
      </c>
      <c r="J185" s="7">
        <v>46153</v>
      </c>
      <c r="K185" s="4" t="s">
        <v>49</v>
      </c>
      <c r="L185" s="4" t="str">
        <f t="shared" si="2"/>
        <v>Eligible</v>
      </c>
    </row>
    <row r="186" spans="1:12" x14ac:dyDescent="0.3">
      <c r="A186" s="9">
        <v>1185</v>
      </c>
      <c r="B186" s="9" t="s">
        <v>55</v>
      </c>
      <c r="C186" s="4" t="s">
        <v>26</v>
      </c>
      <c r="D186" s="4" t="s">
        <v>34</v>
      </c>
      <c r="E186" s="4" t="s">
        <v>9</v>
      </c>
      <c r="F186" s="4">
        <v>16</v>
      </c>
      <c r="G186" s="4">
        <v>15536</v>
      </c>
      <c r="H186" s="4">
        <v>2</v>
      </c>
      <c r="I186" s="7">
        <v>46153</v>
      </c>
      <c r="J186" s="7">
        <v>46156</v>
      </c>
      <c r="K186" s="4" t="s">
        <v>78</v>
      </c>
      <c r="L186" s="4" t="str">
        <f t="shared" si="2"/>
        <v>Not Eligible</v>
      </c>
    </row>
    <row r="187" spans="1:12" x14ac:dyDescent="0.3">
      <c r="A187" s="9">
        <v>1186</v>
      </c>
      <c r="B187" s="9" t="s">
        <v>22</v>
      </c>
      <c r="C187" s="4" t="s">
        <v>27</v>
      </c>
      <c r="D187" s="4" t="s">
        <v>24</v>
      </c>
      <c r="E187" s="4" t="s">
        <v>43</v>
      </c>
      <c r="F187" s="4">
        <v>10</v>
      </c>
      <c r="G187" s="4">
        <v>14951</v>
      </c>
      <c r="H187" s="4">
        <v>2</v>
      </c>
      <c r="I187" s="7">
        <v>46188</v>
      </c>
      <c r="J187" s="7">
        <v>46196</v>
      </c>
      <c r="K187" s="4" t="s">
        <v>80</v>
      </c>
      <c r="L187" s="4" t="str">
        <f t="shared" si="2"/>
        <v>Not Eligible</v>
      </c>
    </row>
    <row r="188" spans="1:12" x14ac:dyDescent="0.3">
      <c r="A188" s="9">
        <v>1187</v>
      </c>
      <c r="B188" s="9" t="s">
        <v>52</v>
      </c>
      <c r="C188" s="4" t="s">
        <v>26</v>
      </c>
      <c r="D188" s="4" t="s">
        <v>34</v>
      </c>
      <c r="E188" s="4" t="s">
        <v>6</v>
      </c>
      <c r="F188" s="4">
        <v>18</v>
      </c>
      <c r="G188" s="4">
        <v>68527</v>
      </c>
      <c r="H188" s="4">
        <v>12</v>
      </c>
      <c r="I188" s="7">
        <v>46178</v>
      </c>
      <c r="J188" s="7">
        <v>46184</v>
      </c>
      <c r="K188" s="4" t="s">
        <v>81</v>
      </c>
      <c r="L188" s="4" t="str">
        <f t="shared" si="2"/>
        <v>Eligible</v>
      </c>
    </row>
    <row r="189" spans="1:12" x14ac:dyDescent="0.3">
      <c r="A189" s="9">
        <v>1188</v>
      </c>
      <c r="B189" s="9" t="s">
        <v>49</v>
      </c>
      <c r="C189" s="4" t="s">
        <v>26</v>
      </c>
      <c r="D189" s="4" t="s">
        <v>24</v>
      </c>
      <c r="E189" s="4" t="s">
        <v>11</v>
      </c>
      <c r="F189" s="4">
        <v>6</v>
      </c>
      <c r="G189" s="4">
        <v>10368</v>
      </c>
      <c r="H189" s="4">
        <v>7</v>
      </c>
      <c r="I189" s="7">
        <v>46137</v>
      </c>
      <c r="J189" s="7">
        <v>46142</v>
      </c>
      <c r="K189" s="4" t="s">
        <v>78</v>
      </c>
      <c r="L189" s="4" t="str">
        <f t="shared" si="2"/>
        <v>Not Eligible</v>
      </c>
    </row>
    <row r="190" spans="1:12" x14ac:dyDescent="0.3">
      <c r="A190" s="9">
        <v>1189</v>
      </c>
      <c r="B190" s="9" t="s">
        <v>47</v>
      </c>
      <c r="C190" s="4" t="s">
        <v>31</v>
      </c>
      <c r="D190" s="4" t="s">
        <v>24</v>
      </c>
      <c r="E190" s="4" t="s">
        <v>11</v>
      </c>
      <c r="F190" s="4">
        <v>12</v>
      </c>
      <c r="G190" s="4">
        <v>8327</v>
      </c>
      <c r="H190" s="4">
        <v>10</v>
      </c>
      <c r="I190" s="7">
        <v>46184</v>
      </c>
      <c r="J190" s="7">
        <v>46185</v>
      </c>
      <c r="K190" s="4" t="s">
        <v>49</v>
      </c>
      <c r="L190" s="4" t="str">
        <f t="shared" si="2"/>
        <v>Not Eligible</v>
      </c>
    </row>
    <row r="191" spans="1:12" x14ac:dyDescent="0.3">
      <c r="A191" s="9">
        <v>1190</v>
      </c>
      <c r="B191" s="9" t="s">
        <v>54</v>
      </c>
      <c r="C191" s="4" t="s">
        <v>23</v>
      </c>
      <c r="D191" s="4" t="s">
        <v>24</v>
      </c>
      <c r="E191" s="4" t="s">
        <v>8</v>
      </c>
      <c r="F191" s="4">
        <v>4</v>
      </c>
      <c r="G191" s="4">
        <v>10154</v>
      </c>
      <c r="H191" s="4">
        <v>7</v>
      </c>
      <c r="I191" s="7">
        <v>46052</v>
      </c>
      <c r="J191" s="7">
        <v>46062</v>
      </c>
      <c r="K191" s="4" t="s">
        <v>79</v>
      </c>
      <c r="L191" s="4" t="str">
        <f t="shared" si="2"/>
        <v>Not Eligible</v>
      </c>
    </row>
    <row r="192" spans="1:12" x14ac:dyDescent="0.3">
      <c r="A192" s="9">
        <v>1191</v>
      </c>
      <c r="B192" s="9" t="s">
        <v>50</v>
      </c>
      <c r="C192" s="4" t="s">
        <v>33</v>
      </c>
      <c r="D192" s="4" t="s">
        <v>24</v>
      </c>
      <c r="E192" s="4" t="s">
        <v>11</v>
      </c>
      <c r="F192" s="4">
        <v>9</v>
      </c>
      <c r="G192" s="4">
        <v>8631</v>
      </c>
      <c r="H192" s="4">
        <v>10</v>
      </c>
      <c r="I192" s="7">
        <v>46149</v>
      </c>
      <c r="J192" s="7">
        <v>46156</v>
      </c>
      <c r="K192" s="4" t="s">
        <v>79</v>
      </c>
      <c r="L192" s="4" t="str">
        <f t="shared" si="2"/>
        <v>Not Eligible</v>
      </c>
    </row>
    <row r="193" spans="1:12" x14ac:dyDescent="0.3">
      <c r="A193" s="9">
        <v>1192</v>
      </c>
      <c r="B193" s="9" t="s">
        <v>25</v>
      </c>
      <c r="C193" s="4" t="s">
        <v>33</v>
      </c>
      <c r="D193" s="4" t="s">
        <v>20</v>
      </c>
      <c r="E193" s="4" t="s">
        <v>51</v>
      </c>
      <c r="F193" s="4">
        <v>18</v>
      </c>
      <c r="G193" s="4">
        <v>49</v>
      </c>
      <c r="H193" s="4">
        <v>12</v>
      </c>
      <c r="I193" s="7">
        <v>46089</v>
      </c>
      <c r="J193" s="7">
        <v>46095</v>
      </c>
      <c r="K193" s="4" t="s">
        <v>80</v>
      </c>
      <c r="L193" s="4" t="str">
        <f t="shared" si="2"/>
        <v>Not Eligible</v>
      </c>
    </row>
    <row r="194" spans="1:12" x14ac:dyDescent="0.3">
      <c r="A194" s="9">
        <v>1193</v>
      </c>
      <c r="B194" s="9" t="s">
        <v>54</v>
      </c>
      <c r="C194" s="4" t="s">
        <v>19</v>
      </c>
      <c r="D194" s="4" t="s">
        <v>24</v>
      </c>
      <c r="E194" s="4" t="s">
        <v>10</v>
      </c>
      <c r="F194" s="4">
        <v>19</v>
      </c>
      <c r="G194" s="4">
        <v>2699</v>
      </c>
      <c r="H194" s="4">
        <v>7</v>
      </c>
      <c r="I194" s="7">
        <v>46110</v>
      </c>
      <c r="J194" s="7">
        <v>46112</v>
      </c>
      <c r="K194" s="4" t="s">
        <v>49</v>
      </c>
      <c r="L194" s="4" t="str">
        <f t="shared" si="2"/>
        <v>Not Eligible</v>
      </c>
    </row>
    <row r="195" spans="1:12" x14ac:dyDescent="0.3">
      <c r="A195" s="9">
        <v>1194</v>
      </c>
      <c r="B195" s="9" t="s">
        <v>54</v>
      </c>
      <c r="C195" s="4" t="s">
        <v>42</v>
      </c>
      <c r="D195" s="4" t="s">
        <v>24</v>
      </c>
      <c r="E195" s="4" t="s">
        <v>8</v>
      </c>
      <c r="F195" s="4">
        <v>13</v>
      </c>
      <c r="G195" s="4">
        <v>12856</v>
      </c>
      <c r="H195" s="4">
        <v>15</v>
      </c>
      <c r="I195" s="7">
        <v>46129</v>
      </c>
      <c r="J195" s="7">
        <v>46133</v>
      </c>
      <c r="K195" s="4" t="s">
        <v>81</v>
      </c>
      <c r="L195" s="4" t="str">
        <f t="shared" ref="L195:L258" si="3">IF(AND(D195="Electronics", H195&gt;=10), "Eligible", "Not Eligible")</f>
        <v>Not Eligible</v>
      </c>
    </row>
    <row r="196" spans="1:12" x14ac:dyDescent="0.3">
      <c r="A196" s="9">
        <v>1195</v>
      </c>
      <c r="B196" s="9" t="s">
        <v>56</v>
      </c>
      <c r="C196" s="4" t="s">
        <v>23</v>
      </c>
      <c r="D196" s="4" t="s">
        <v>20</v>
      </c>
      <c r="E196" s="4" t="s">
        <v>48</v>
      </c>
      <c r="F196" s="4">
        <v>19</v>
      </c>
      <c r="G196" s="4">
        <v>313</v>
      </c>
      <c r="H196" s="4">
        <v>2</v>
      </c>
      <c r="I196" s="7">
        <v>46198</v>
      </c>
      <c r="J196" s="7">
        <v>46206</v>
      </c>
      <c r="K196" s="4" t="s">
        <v>81</v>
      </c>
      <c r="L196" s="4" t="str">
        <f t="shared" si="3"/>
        <v>Not Eligible</v>
      </c>
    </row>
    <row r="197" spans="1:12" x14ac:dyDescent="0.3">
      <c r="A197" s="9">
        <v>1196</v>
      </c>
      <c r="B197" s="9" t="s">
        <v>46</v>
      </c>
      <c r="C197" s="4" t="s">
        <v>26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7">
        <v>46155</v>
      </c>
      <c r="J197" s="7">
        <v>46159</v>
      </c>
      <c r="K197" s="4" t="s">
        <v>79</v>
      </c>
      <c r="L197" s="4" t="str">
        <f t="shared" si="3"/>
        <v>Not Eligible</v>
      </c>
    </row>
    <row r="198" spans="1:12" x14ac:dyDescent="0.3">
      <c r="A198" s="9">
        <v>1197</v>
      </c>
      <c r="B198" s="9" t="s">
        <v>50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7">
        <v>46045</v>
      </c>
      <c r="J198" s="7">
        <v>46048</v>
      </c>
      <c r="K198" s="4" t="s">
        <v>78</v>
      </c>
      <c r="L198" s="4" t="str">
        <f t="shared" si="3"/>
        <v>Eligible</v>
      </c>
    </row>
    <row r="199" spans="1:12" x14ac:dyDescent="0.3">
      <c r="A199" s="9">
        <v>1198</v>
      </c>
      <c r="B199" s="9" t="s">
        <v>55</v>
      </c>
      <c r="C199" s="4" t="s">
        <v>19</v>
      </c>
      <c r="D199" s="4" t="s">
        <v>20</v>
      </c>
      <c r="E199" s="4" t="s">
        <v>21</v>
      </c>
      <c r="F199" s="4">
        <v>12</v>
      </c>
      <c r="G199" s="4">
        <v>491</v>
      </c>
      <c r="H199" s="4">
        <v>2</v>
      </c>
      <c r="I199" s="7">
        <v>46106</v>
      </c>
      <c r="J199" s="7">
        <v>46109</v>
      </c>
      <c r="K199" s="4" t="s">
        <v>81</v>
      </c>
      <c r="L199" s="4" t="str">
        <f t="shared" si="3"/>
        <v>Not Eligible</v>
      </c>
    </row>
    <row r="200" spans="1:12" x14ac:dyDescent="0.3">
      <c r="A200" s="9">
        <v>1199</v>
      </c>
      <c r="B200" s="9" t="s">
        <v>18</v>
      </c>
      <c r="C200" s="4" t="s">
        <v>27</v>
      </c>
      <c r="D200" s="4" t="s">
        <v>34</v>
      </c>
      <c r="E200" s="4" t="s">
        <v>6</v>
      </c>
      <c r="F200" s="4">
        <v>2</v>
      </c>
      <c r="G200" s="4">
        <v>4375</v>
      </c>
      <c r="H200" s="4">
        <v>7</v>
      </c>
      <c r="I200" s="7">
        <v>46178</v>
      </c>
      <c r="J200" s="7">
        <v>46180</v>
      </c>
      <c r="K200" s="4" t="s">
        <v>80</v>
      </c>
      <c r="L200" s="4" t="str">
        <f t="shared" si="3"/>
        <v>Not Eligible</v>
      </c>
    </row>
    <row r="201" spans="1:12" x14ac:dyDescent="0.3">
      <c r="A201" s="9">
        <v>1200</v>
      </c>
      <c r="B201" s="9" t="s">
        <v>49</v>
      </c>
      <c r="C201" s="4" t="s">
        <v>31</v>
      </c>
      <c r="D201" s="4" t="s">
        <v>34</v>
      </c>
      <c r="E201" s="4" t="s">
        <v>6</v>
      </c>
      <c r="F201" s="4">
        <v>13</v>
      </c>
      <c r="G201" s="4">
        <v>69422</v>
      </c>
      <c r="H201" s="4">
        <v>0</v>
      </c>
      <c r="I201" s="7">
        <v>46134</v>
      </c>
      <c r="J201" s="7">
        <v>46143</v>
      </c>
      <c r="K201" s="4" t="s">
        <v>49</v>
      </c>
      <c r="L201" s="4" t="str">
        <f t="shared" si="3"/>
        <v>Not Eligible</v>
      </c>
    </row>
    <row r="202" spans="1:12" x14ac:dyDescent="0.3">
      <c r="A202" s="9">
        <v>1201</v>
      </c>
      <c r="B202" s="9" t="s">
        <v>52</v>
      </c>
      <c r="C202" s="4" t="s">
        <v>31</v>
      </c>
      <c r="D202" s="4" t="s">
        <v>20</v>
      </c>
      <c r="E202" s="4" t="s">
        <v>51</v>
      </c>
      <c r="F202" s="4">
        <v>18</v>
      </c>
      <c r="G202" s="4">
        <v>139</v>
      </c>
      <c r="H202" s="4">
        <v>12</v>
      </c>
      <c r="I202" s="7">
        <v>46075</v>
      </c>
      <c r="J202" s="7">
        <v>46076</v>
      </c>
      <c r="K202" s="4" t="s">
        <v>79</v>
      </c>
      <c r="L202" s="4" t="str">
        <f t="shared" si="3"/>
        <v>Not Eligible</v>
      </c>
    </row>
    <row r="203" spans="1:12" x14ac:dyDescent="0.3">
      <c r="A203" s="9">
        <v>1202</v>
      </c>
      <c r="B203" s="9" t="s">
        <v>54</v>
      </c>
      <c r="C203" s="4" t="s">
        <v>26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7">
        <v>46082</v>
      </c>
      <c r="J203" s="7">
        <v>46091</v>
      </c>
      <c r="K203" s="4" t="s">
        <v>78</v>
      </c>
      <c r="L203" s="4" t="str">
        <f t="shared" si="3"/>
        <v>Eligible</v>
      </c>
    </row>
    <row r="204" spans="1:12" x14ac:dyDescent="0.3">
      <c r="A204" s="9">
        <v>1203</v>
      </c>
      <c r="B204" s="9" t="s">
        <v>39</v>
      </c>
      <c r="C204" s="4" t="s">
        <v>26</v>
      </c>
      <c r="D204" s="4" t="s">
        <v>24</v>
      </c>
      <c r="E204" s="4" t="s">
        <v>10</v>
      </c>
      <c r="F204" s="4">
        <v>17</v>
      </c>
      <c r="G204" s="4">
        <v>6695</v>
      </c>
      <c r="H204" s="4">
        <v>2</v>
      </c>
      <c r="I204" s="7">
        <v>46119</v>
      </c>
      <c r="J204" s="7">
        <v>46122</v>
      </c>
      <c r="K204" s="4" t="s">
        <v>81</v>
      </c>
      <c r="L204" s="4" t="str">
        <f t="shared" si="3"/>
        <v>Not Eligible</v>
      </c>
    </row>
    <row r="205" spans="1:12" x14ac:dyDescent="0.3">
      <c r="A205" s="9">
        <v>1204</v>
      </c>
      <c r="B205" s="9" t="s">
        <v>22</v>
      </c>
      <c r="C205" s="4" t="s">
        <v>31</v>
      </c>
      <c r="D205" s="4" t="s">
        <v>20</v>
      </c>
      <c r="E205" s="4" t="s">
        <v>37</v>
      </c>
      <c r="F205" s="4">
        <v>13</v>
      </c>
      <c r="G205" s="4">
        <v>416</v>
      </c>
      <c r="H205" s="4">
        <v>10</v>
      </c>
      <c r="I205" s="7">
        <v>46123</v>
      </c>
      <c r="J205" s="7">
        <v>46132</v>
      </c>
      <c r="K205" s="4" t="s">
        <v>79</v>
      </c>
      <c r="L205" s="4" t="str">
        <f t="shared" si="3"/>
        <v>Not Eligible</v>
      </c>
    </row>
    <row r="206" spans="1:12" x14ac:dyDescent="0.3">
      <c r="A206" s="9">
        <v>1205</v>
      </c>
      <c r="B206" s="9" t="s">
        <v>25</v>
      </c>
      <c r="C206" s="4" t="s">
        <v>38</v>
      </c>
      <c r="D206" s="4" t="s">
        <v>20</v>
      </c>
      <c r="E206" s="4" t="s">
        <v>36</v>
      </c>
      <c r="F206" s="4">
        <v>1</v>
      </c>
      <c r="G206" s="4">
        <v>112</v>
      </c>
      <c r="H206" s="4">
        <v>7</v>
      </c>
      <c r="I206" s="7">
        <v>46033</v>
      </c>
      <c r="J206" s="7">
        <v>46040</v>
      </c>
      <c r="K206" s="4" t="s">
        <v>81</v>
      </c>
      <c r="L206" s="4" t="str">
        <f t="shared" si="3"/>
        <v>Not Eligible</v>
      </c>
    </row>
    <row r="207" spans="1:12" x14ac:dyDescent="0.3">
      <c r="A207" s="9">
        <v>1206</v>
      </c>
      <c r="B207" s="9" t="s">
        <v>53</v>
      </c>
      <c r="C207" s="4" t="s">
        <v>33</v>
      </c>
      <c r="D207" s="4" t="s">
        <v>20</v>
      </c>
      <c r="E207" s="4" t="s">
        <v>21</v>
      </c>
      <c r="F207" s="4">
        <v>9</v>
      </c>
      <c r="G207" s="4">
        <v>60</v>
      </c>
      <c r="H207" s="4">
        <v>0</v>
      </c>
      <c r="I207" s="7">
        <v>46166</v>
      </c>
      <c r="J207" s="7">
        <v>46174</v>
      </c>
      <c r="K207" s="4" t="s">
        <v>78</v>
      </c>
      <c r="L207" s="4" t="str">
        <f t="shared" si="3"/>
        <v>Not Eligible</v>
      </c>
    </row>
    <row r="208" spans="1:12" x14ac:dyDescent="0.3">
      <c r="A208" s="9">
        <v>1207</v>
      </c>
      <c r="B208" s="9" t="s">
        <v>53</v>
      </c>
      <c r="C208" s="4" t="s">
        <v>27</v>
      </c>
      <c r="D208" s="4" t="s">
        <v>20</v>
      </c>
      <c r="E208" s="4" t="s">
        <v>51</v>
      </c>
      <c r="F208" s="4">
        <v>7</v>
      </c>
      <c r="G208" s="4">
        <v>244</v>
      </c>
      <c r="H208" s="4">
        <v>2</v>
      </c>
      <c r="I208" s="7">
        <v>46164</v>
      </c>
      <c r="J208" s="7">
        <v>46173</v>
      </c>
      <c r="K208" s="4" t="s">
        <v>80</v>
      </c>
      <c r="L208" s="4" t="str">
        <f t="shared" si="3"/>
        <v>Not Eligible</v>
      </c>
    </row>
    <row r="209" spans="1:12" x14ac:dyDescent="0.3">
      <c r="A209" s="9">
        <v>1208</v>
      </c>
      <c r="B209" s="9" t="s">
        <v>52</v>
      </c>
      <c r="C209" s="4" t="s">
        <v>42</v>
      </c>
      <c r="D209" s="4" t="s">
        <v>24</v>
      </c>
      <c r="E209" s="4" t="s">
        <v>43</v>
      </c>
      <c r="F209" s="4">
        <v>6</v>
      </c>
      <c r="G209" s="4">
        <v>7627</v>
      </c>
      <c r="H209" s="4">
        <v>10</v>
      </c>
      <c r="I209" s="7">
        <v>46042</v>
      </c>
      <c r="J209" s="7">
        <v>46047</v>
      </c>
      <c r="K209" s="4" t="s">
        <v>79</v>
      </c>
      <c r="L209" s="4" t="str">
        <f t="shared" si="3"/>
        <v>Not Eligible</v>
      </c>
    </row>
    <row r="210" spans="1:12" x14ac:dyDescent="0.3">
      <c r="A210" s="9">
        <v>1209</v>
      </c>
      <c r="B210" s="9" t="s">
        <v>46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7">
        <v>46103</v>
      </c>
      <c r="J210" s="7">
        <v>46110</v>
      </c>
      <c r="K210" s="4" t="s">
        <v>79</v>
      </c>
      <c r="L210" s="4" t="str">
        <f t="shared" si="3"/>
        <v>Eligible</v>
      </c>
    </row>
    <row r="211" spans="1:12" x14ac:dyDescent="0.3">
      <c r="A211" s="9">
        <v>1210</v>
      </c>
      <c r="B211" s="9" t="s">
        <v>30</v>
      </c>
      <c r="C211" s="4" t="s">
        <v>31</v>
      </c>
      <c r="D211" s="4" t="s">
        <v>20</v>
      </c>
      <c r="E211" s="4" t="s">
        <v>51</v>
      </c>
      <c r="F211" s="4">
        <v>10</v>
      </c>
      <c r="G211" s="4">
        <v>349</v>
      </c>
      <c r="H211" s="4">
        <v>0</v>
      </c>
      <c r="I211" s="7">
        <v>46052</v>
      </c>
      <c r="J211" s="7">
        <v>46060</v>
      </c>
      <c r="K211" s="4" t="s">
        <v>49</v>
      </c>
      <c r="L211" s="4" t="str">
        <f t="shared" si="3"/>
        <v>Not Eligible</v>
      </c>
    </row>
    <row r="212" spans="1:12" x14ac:dyDescent="0.3">
      <c r="A212" s="9">
        <v>1211</v>
      </c>
      <c r="B212" s="9" t="s">
        <v>46</v>
      </c>
      <c r="C212" s="4" t="s">
        <v>23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7">
        <v>46175</v>
      </c>
      <c r="J212" s="7">
        <v>46183</v>
      </c>
      <c r="K212" s="4" t="s">
        <v>78</v>
      </c>
      <c r="L212" s="4" t="str">
        <f t="shared" si="3"/>
        <v>Not Eligible</v>
      </c>
    </row>
    <row r="213" spans="1:12" x14ac:dyDescent="0.3">
      <c r="A213" s="9">
        <v>1212</v>
      </c>
      <c r="B213" s="9" t="s">
        <v>56</v>
      </c>
      <c r="C213" s="4" t="s">
        <v>27</v>
      </c>
      <c r="D213" s="4" t="s">
        <v>34</v>
      </c>
      <c r="E213" s="4" t="s">
        <v>9</v>
      </c>
      <c r="F213" s="4">
        <v>10</v>
      </c>
      <c r="G213" s="4">
        <v>34380</v>
      </c>
      <c r="H213" s="4">
        <v>7</v>
      </c>
      <c r="I213" s="7">
        <v>46194</v>
      </c>
      <c r="J213" s="7">
        <v>46195</v>
      </c>
      <c r="K213" s="4" t="s">
        <v>49</v>
      </c>
      <c r="L213" s="4" t="str">
        <f t="shared" si="3"/>
        <v>Not Eligible</v>
      </c>
    </row>
    <row r="214" spans="1:12" x14ac:dyDescent="0.3">
      <c r="A214" s="9">
        <v>1213</v>
      </c>
      <c r="B214" s="9" t="s">
        <v>32</v>
      </c>
      <c r="C214" s="4" t="s">
        <v>38</v>
      </c>
      <c r="D214" s="4" t="s">
        <v>34</v>
      </c>
      <c r="E214" s="4" t="s">
        <v>6</v>
      </c>
      <c r="F214" s="4">
        <v>16</v>
      </c>
      <c r="G214" s="4">
        <v>27741</v>
      </c>
      <c r="H214" s="4">
        <v>12</v>
      </c>
      <c r="I214" s="7">
        <v>46116</v>
      </c>
      <c r="J214" s="7">
        <v>46119</v>
      </c>
      <c r="K214" s="4" t="s">
        <v>78</v>
      </c>
      <c r="L214" s="4" t="str">
        <f t="shared" si="3"/>
        <v>Eligible</v>
      </c>
    </row>
    <row r="215" spans="1:12" x14ac:dyDescent="0.3">
      <c r="A215" s="9">
        <v>1214</v>
      </c>
      <c r="B215" s="9" t="s">
        <v>41</v>
      </c>
      <c r="C215" s="4" t="s">
        <v>27</v>
      </c>
      <c r="D215" s="4" t="s">
        <v>24</v>
      </c>
      <c r="E215" s="4" t="s">
        <v>8</v>
      </c>
      <c r="F215" s="4">
        <v>19</v>
      </c>
      <c r="G215" s="4">
        <v>13832</v>
      </c>
      <c r="H215" s="4">
        <v>0</v>
      </c>
      <c r="I215" s="7">
        <v>46140</v>
      </c>
      <c r="J215" s="7">
        <v>46145</v>
      </c>
      <c r="K215" s="4" t="s">
        <v>81</v>
      </c>
      <c r="L215" s="4" t="str">
        <f t="shared" si="3"/>
        <v>Not Eligible</v>
      </c>
    </row>
    <row r="216" spans="1:12" x14ac:dyDescent="0.3">
      <c r="A216" s="9">
        <v>1215</v>
      </c>
      <c r="B216" s="9" t="s">
        <v>29</v>
      </c>
      <c r="C216" s="4" t="s">
        <v>19</v>
      </c>
      <c r="D216" s="4" t="s">
        <v>24</v>
      </c>
      <c r="E216" s="4" t="s">
        <v>8</v>
      </c>
      <c r="F216" s="4">
        <v>6</v>
      </c>
      <c r="G216" s="4">
        <v>1254</v>
      </c>
      <c r="H216" s="4">
        <v>0</v>
      </c>
      <c r="I216" s="7">
        <v>46131</v>
      </c>
      <c r="J216" s="7">
        <v>46136</v>
      </c>
      <c r="K216" s="4" t="s">
        <v>49</v>
      </c>
      <c r="L216" s="4" t="str">
        <f t="shared" si="3"/>
        <v>Not Eligible</v>
      </c>
    </row>
    <row r="217" spans="1:12" x14ac:dyDescent="0.3">
      <c r="A217" s="9">
        <v>1216</v>
      </c>
      <c r="B217" s="9" t="s">
        <v>39</v>
      </c>
      <c r="C217" s="4" t="s">
        <v>26</v>
      </c>
      <c r="D217" s="4" t="s">
        <v>34</v>
      </c>
      <c r="E217" s="4" t="s">
        <v>6</v>
      </c>
      <c r="F217" s="4">
        <v>10</v>
      </c>
      <c r="G217" s="4">
        <v>56709</v>
      </c>
      <c r="H217" s="4">
        <v>15</v>
      </c>
      <c r="I217" s="7">
        <v>46135</v>
      </c>
      <c r="J217" s="7">
        <v>46139</v>
      </c>
      <c r="K217" s="4" t="s">
        <v>49</v>
      </c>
      <c r="L217" s="4" t="str">
        <f t="shared" si="3"/>
        <v>Eligible</v>
      </c>
    </row>
    <row r="218" spans="1:12" x14ac:dyDescent="0.3">
      <c r="A218" s="9">
        <v>1217</v>
      </c>
      <c r="B218" s="9" t="s">
        <v>30</v>
      </c>
      <c r="C218" s="4" t="s">
        <v>26</v>
      </c>
      <c r="D218" s="4" t="s">
        <v>20</v>
      </c>
      <c r="E218" s="4" t="s">
        <v>48</v>
      </c>
      <c r="F218" s="4">
        <v>18</v>
      </c>
      <c r="G218" s="4">
        <v>60</v>
      </c>
      <c r="H218" s="4">
        <v>0</v>
      </c>
      <c r="I218" s="7">
        <v>46171</v>
      </c>
      <c r="J218" s="7">
        <v>46172</v>
      </c>
      <c r="K218" s="4" t="s">
        <v>49</v>
      </c>
      <c r="L218" s="4" t="str">
        <f t="shared" si="3"/>
        <v>Not Eligible</v>
      </c>
    </row>
    <row r="219" spans="1:12" x14ac:dyDescent="0.3">
      <c r="A219" s="9">
        <v>1218</v>
      </c>
      <c r="B219" s="9" t="s">
        <v>53</v>
      </c>
      <c r="C219" s="4" t="s">
        <v>38</v>
      </c>
      <c r="D219" s="4" t="s">
        <v>20</v>
      </c>
      <c r="E219" s="4" t="s">
        <v>21</v>
      </c>
      <c r="F219" s="4">
        <v>1</v>
      </c>
      <c r="G219" s="4">
        <v>134</v>
      </c>
      <c r="H219" s="4">
        <v>10</v>
      </c>
      <c r="I219" s="7">
        <v>46143</v>
      </c>
      <c r="J219" s="7">
        <v>46151</v>
      </c>
      <c r="K219" s="4" t="s">
        <v>81</v>
      </c>
      <c r="L219" s="4" t="str">
        <f t="shared" si="3"/>
        <v>Not Eligible</v>
      </c>
    </row>
    <row r="220" spans="1:12" x14ac:dyDescent="0.3">
      <c r="A220" s="9">
        <v>1219</v>
      </c>
      <c r="B220" s="9" t="s">
        <v>44</v>
      </c>
      <c r="C220" s="4" t="s">
        <v>26</v>
      </c>
      <c r="D220" s="4" t="s">
        <v>20</v>
      </c>
      <c r="E220" s="4" t="s">
        <v>21</v>
      </c>
      <c r="F220" s="4">
        <v>4</v>
      </c>
      <c r="G220" s="4">
        <v>117</v>
      </c>
      <c r="H220" s="4">
        <v>15</v>
      </c>
      <c r="I220" s="7">
        <v>46202</v>
      </c>
      <c r="J220" s="7">
        <v>46206</v>
      </c>
      <c r="K220" s="4" t="s">
        <v>49</v>
      </c>
      <c r="L220" s="4" t="str">
        <f t="shared" si="3"/>
        <v>Not Eligible</v>
      </c>
    </row>
    <row r="221" spans="1:12" x14ac:dyDescent="0.3">
      <c r="A221" s="9">
        <v>1220</v>
      </c>
      <c r="B221" s="9" t="s">
        <v>18</v>
      </c>
      <c r="C221" s="4" t="s">
        <v>27</v>
      </c>
      <c r="D221" s="4" t="s">
        <v>24</v>
      </c>
      <c r="E221" s="4" t="s">
        <v>11</v>
      </c>
      <c r="F221" s="4">
        <v>2</v>
      </c>
      <c r="G221" s="4">
        <v>8861</v>
      </c>
      <c r="H221" s="4">
        <v>2</v>
      </c>
      <c r="I221" s="7">
        <v>46170</v>
      </c>
      <c r="J221" s="7">
        <v>46174</v>
      </c>
      <c r="K221" s="4" t="s">
        <v>80</v>
      </c>
      <c r="L221" s="4" t="str">
        <f t="shared" si="3"/>
        <v>Not Eligible</v>
      </c>
    </row>
    <row r="222" spans="1:12" x14ac:dyDescent="0.3">
      <c r="A222" s="9">
        <v>1221</v>
      </c>
      <c r="B222" s="9" t="s">
        <v>18</v>
      </c>
      <c r="C222" s="4" t="s">
        <v>31</v>
      </c>
      <c r="D222" s="4" t="s">
        <v>24</v>
      </c>
      <c r="E222" s="4" t="s">
        <v>11</v>
      </c>
      <c r="F222" s="4">
        <v>18</v>
      </c>
      <c r="G222" s="4">
        <v>2681</v>
      </c>
      <c r="H222" s="4">
        <v>10</v>
      </c>
      <c r="I222" s="7">
        <v>46122</v>
      </c>
      <c r="J222" s="7">
        <v>46125</v>
      </c>
      <c r="K222" s="4" t="s">
        <v>81</v>
      </c>
      <c r="L222" s="4" t="str">
        <f t="shared" si="3"/>
        <v>Not Eligible</v>
      </c>
    </row>
    <row r="223" spans="1:12" x14ac:dyDescent="0.3">
      <c r="A223" s="9">
        <v>1222</v>
      </c>
      <c r="B223" s="9" t="s">
        <v>30</v>
      </c>
      <c r="C223" s="4" t="s">
        <v>33</v>
      </c>
      <c r="D223" s="4" t="s">
        <v>24</v>
      </c>
      <c r="E223" s="4" t="s">
        <v>10</v>
      </c>
      <c r="F223" s="4">
        <v>9</v>
      </c>
      <c r="G223" s="4">
        <v>2712</v>
      </c>
      <c r="H223" s="4">
        <v>12</v>
      </c>
      <c r="I223" s="7">
        <v>46154</v>
      </c>
      <c r="J223" s="7">
        <v>46163</v>
      </c>
      <c r="K223" s="4" t="s">
        <v>78</v>
      </c>
      <c r="L223" s="4" t="str">
        <f t="shared" si="3"/>
        <v>Not Eligible</v>
      </c>
    </row>
    <row r="224" spans="1:12" x14ac:dyDescent="0.3">
      <c r="A224" s="9">
        <v>1223</v>
      </c>
      <c r="B224" s="9" t="s">
        <v>56</v>
      </c>
      <c r="C224" s="4" t="s">
        <v>23</v>
      </c>
      <c r="D224" s="4" t="s">
        <v>24</v>
      </c>
      <c r="E224" s="4" t="s">
        <v>10</v>
      </c>
      <c r="F224" s="4">
        <v>4</v>
      </c>
      <c r="G224" s="4">
        <v>2249</v>
      </c>
      <c r="H224" s="4">
        <v>7</v>
      </c>
      <c r="I224" s="7">
        <v>46077</v>
      </c>
      <c r="J224" s="7">
        <v>46084</v>
      </c>
      <c r="K224" s="4" t="s">
        <v>78</v>
      </c>
      <c r="L224" s="4" t="str">
        <f t="shared" si="3"/>
        <v>Not Eligible</v>
      </c>
    </row>
    <row r="225" spans="1:12" x14ac:dyDescent="0.3">
      <c r="A225" s="9">
        <v>1224</v>
      </c>
      <c r="B225" s="9" t="s">
        <v>30</v>
      </c>
      <c r="C225" s="4" t="s">
        <v>38</v>
      </c>
      <c r="D225" s="4" t="s">
        <v>34</v>
      </c>
      <c r="E225" s="4" t="s">
        <v>6</v>
      </c>
      <c r="F225" s="4">
        <v>16</v>
      </c>
      <c r="G225" s="4">
        <v>18378</v>
      </c>
      <c r="H225" s="4">
        <v>10</v>
      </c>
      <c r="I225" s="7">
        <v>46045</v>
      </c>
      <c r="J225" s="7">
        <v>46052</v>
      </c>
      <c r="K225" s="4" t="s">
        <v>80</v>
      </c>
      <c r="L225" s="4" t="str">
        <f t="shared" si="3"/>
        <v>Eligible</v>
      </c>
    </row>
    <row r="226" spans="1:12" x14ac:dyDescent="0.3">
      <c r="A226" s="9">
        <v>1225</v>
      </c>
      <c r="B226" s="9" t="s">
        <v>41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7">
        <v>46125</v>
      </c>
      <c r="J226" s="7">
        <v>46126</v>
      </c>
      <c r="K226" s="4" t="s">
        <v>79</v>
      </c>
      <c r="L226" s="4" t="str">
        <f t="shared" si="3"/>
        <v>Eligible</v>
      </c>
    </row>
    <row r="227" spans="1:12" x14ac:dyDescent="0.3">
      <c r="A227" s="9">
        <v>1226</v>
      </c>
      <c r="B227" s="9" t="s">
        <v>49</v>
      </c>
      <c r="C227" s="4" t="s">
        <v>31</v>
      </c>
      <c r="D227" s="4" t="s">
        <v>34</v>
      </c>
      <c r="E227" s="4" t="s">
        <v>40</v>
      </c>
      <c r="F227" s="4">
        <v>13</v>
      </c>
      <c r="G227" s="4">
        <v>21332</v>
      </c>
      <c r="H227" s="4">
        <v>0</v>
      </c>
      <c r="I227" s="7">
        <v>46044</v>
      </c>
      <c r="J227" s="7">
        <v>46048</v>
      </c>
      <c r="K227" s="4" t="s">
        <v>49</v>
      </c>
      <c r="L227" s="4" t="str">
        <f t="shared" si="3"/>
        <v>Not Eligible</v>
      </c>
    </row>
    <row r="228" spans="1:12" x14ac:dyDescent="0.3">
      <c r="A228" s="9">
        <v>1227</v>
      </c>
      <c r="B228" s="9" t="s">
        <v>55</v>
      </c>
      <c r="C228" s="4" t="s">
        <v>26</v>
      </c>
      <c r="D228" s="4" t="s">
        <v>34</v>
      </c>
      <c r="E228" s="4" t="s">
        <v>6</v>
      </c>
      <c r="F228" s="4">
        <v>16</v>
      </c>
      <c r="G228" s="4">
        <v>1321</v>
      </c>
      <c r="H228" s="4">
        <v>12</v>
      </c>
      <c r="I228" s="7">
        <v>46113</v>
      </c>
      <c r="J228" s="7">
        <v>46116</v>
      </c>
      <c r="K228" s="4" t="s">
        <v>78</v>
      </c>
      <c r="L228" s="4" t="str">
        <f t="shared" si="3"/>
        <v>Eligible</v>
      </c>
    </row>
    <row r="229" spans="1:12" x14ac:dyDescent="0.3">
      <c r="A229" s="9">
        <v>1228</v>
      </c>
      <c r="B229" s="9" t="s">
        <v>49</v>
      </c>
      <c r="C229" s="4" t="s">
        <v>27</v>
      </c>
      <c r="D229" s="4" t="s">
        <v>34</v>
      </c>
      <c r="E229" s="4" t="s">
        <v>6</v>
      </c>
      <c r="F229" s="4">
        <v>16</v>
      </c>
      <c r="G229" s="4">
        <v>17477</v>
      </c>
      <c r="H229" s="4">
        <v>10</v>
      </c>
      <c r="I229" s="7">
        <v>46041</v>
      </c>
      <c r="J229" s="7">
        <v>46043</v>
      </c>
      <c r="K229" s="4" t="s">
        <v>80</v>
      </c>
      <c r="L229" s="4" t="str">
        <f t="shared" si="3"/>
        <v>Eligible</v>
      </c>
    </row>
    <row r="230" spans="1:12" x14ac:dyDescent="0.3">
      <c r="A230" s="9">
        <v>1229</v>
      </c>
      <c r="B230" s="9" t="s">
        <v>54</v>
      </c>
      <c r="C230" s="4" t="s">
        <v>19</v>
      </c>
      <c r="D230" s="4" t="s">
        <v>24</v>
      </c>
      <c r="E230" s="4" t="s">
        <v>11</v>
      </c>
      <c r="F230" s="4">
        <v>14</v>
      </c>
      <c r="G230" s="4">
        <v>5859</v>
      </c>
      <c r="H230" s="4">
        <v>12</v>
      </c>
      <c r="I230" s="7">
        <v>46027</v>
      </c>
      <c r="J230" s="7">
        <v>46036</v>
      </c>
      <c r="K230" s="4" t="s">
        <v>79</v>
      </c>
      <c r="L230" s="4" t="str">
        <f t="shared" si="3"/>
        <v>Not Eligible</v>
      </c>
    </row>
    <row r="231" spans="1:12" x14ac:dyDescent="0.3">
      <c r="A231" s="9">
        <v>1230</v>
      </c>
      <c r="B231" s="9" t="s">
        <v>56</v>
      </c>
      <c r="C231" s="4" t="s">
        <v>33</v>
      </c>
      <c r="D231" s="4" t="s">
        <v>34</v>
      </c>
      <c r="E231" s="4" t="s">
        <v>9</v>
      </c>
      <c r="F231" s="4">
        <v>7</v>
      </c>
      <c r="G231" s="4">
        <v>2932</v>
      </c>
      <c r="H231" s="4">
        <v>7</v>
      </c>
      <c r="I231" s="7">
        <v>46050</v>
      </c>
      <c r="J231" s="7">
        <v>46059</v>
      </c>
      <c r="K231" s="4" t="s">
        <v>80</v>
      </c>
      <c r="L231" s="4" t="str">
        <f t="shared" si="3"/>
        <v>Not Eligible</v>
      </c>
    </row>
    <row r="232" spans="1:12" x14ac:dyDescent="0.3">
      <c r="A232" s="9">
        <v>1231</v>
      </c>
      <c r="B232" s="9" t="s">
        <v>46</v>
      </c>
      <c r="C232" s="4" t="s">
        <v>38</v>
      </c>
      <c r="D232" s="4" t="s">
        <v>24</v>
      </c>
      <c r="E232" s="4" t="s">
        <v>7</v>
      </c>
      <c r="F232" s="4">
        <v>13</v>
      </c>
      <c r="G232" s="4">
        <v>10297</v>
      </c>
      <c r="H232" s="4">
        <v>12</v>
      </c>
      <c r="I232" s="7">
        <v>46178</v>
      </c>
      <c r="J232" s="7">
        <v>46186</v>
      </c>
      <c r="K232" s="4" t="s">
        <v>79</v>
      </c>
      <c r="L232" s="4" t="str">
        <f t="shared" si="3"/>
        <v>Not Eligible</v>
      </c>
    </row>
    <row r="233" spans="1:12" x14ac:dyDescent="0.3">
      <c r="A233" s="9">
        <v>1232</v>
      </c>
      <c r="B233" s="9" t="s">
        <v>25</v>
      </c>
      <c r="C233" s="4" t="s">
        <v>19</v>
      </c>
      <c r="D233" s="4" t="s">
        <v>34</v>
      </c>
      <c r="E233" s="4" t="s">
        <v>9</v>
      </c>
      <c r="F233" s="4">
        <v>3</v>
      </c>
      <c r="G233" s="4">
        <v>13272</v>
      </c>
      <c r="H233" s="4">
        <v>2</v>
      </c>
      <c r="I233" s="7">
        <v>46060</v>
      </c>
      <c r="J233" s="7">
        <v>46065</v>
      </c>
      <c r="K233" s="4" t="s">
        <v>78</v>
      </c>
      <c r="L233" s="4" t="str">
        <f t="shared" si="3"/>
        <v>Not Eligible</v>
      </c>
    </row>
    <row r="234" spans="1:12" x14ac:dyDescent="0.3">
      <c r="A234" s="9">
        <v>1233</v>
      </c>
      <c r="B234" s="9" t="s">
        <v>55</v>
      </c>
      <c r="C234" s="4" t="s">
        <v>26</v>
      </c>
      <c r="D234" s="4" t="s">
        <v>24</v>
      </c>
      <c r="E234" s="4" t="s">
        <v>7</v>
      </c>
      <c r="F234" s="4">
        <v>20</v>
      </c>
      <c r="G234" s="4">
        <v>13941</v>
      </c>
      <c r="H234" s="4">
        <v>15</v>
      </c>
      <c r="I234" s="7">
        <v>46198</v>
      </c>
      <c r="J234" s="7">
        <v>46202</v>
      </c>
      <c r="K234" s="4" t="s">
        <v>80</v>
      </c>
      <c r="L234" s="4" t="str">
        <f t="shared" si="3"/>
        <v>Not Eligible</v>
      </c>
    </row>
    <row r="235" spans="1:12" x14ac:dyDescent="0.3">
      <c r="A235" s="9">
        <v>1234</v>
      </c>
      <c r="B235" s="9" t="s">
        <v>18</v>
      </c>
      <c r="C235" s="4" t="s">
        <v>27</v>
      </c>
      <c r="D235" s="4" t="s">
        <v>24</v>
      </c>
      <c r="E235" s="4" t="s">
        <v>8</v>
      </c>
      <c r="F235" s="4">
        <v>1</v>
      </c>
      <c r="G235" s="4">
        <v>14320</v>
      </c>
      <c r="H235" s="4">
        <v>12</v>
      </c>
      <c r="I235" s="7">
        <v>46114</v>
      </c>
      <c r="J235" s="7">
        <v>46121</v>
      </c>
      <c r="K235" s="4" t="s">
        <v>81</v>
      </c>
      <c r="L235" s="4" t="str">
        <f t="shared" si="3"/>
        <v>Not Eligible</v>
      </c>
    </row>
    <row r="236" spans="1:12" x14ac:dyDescent="0.3">
      <c r="A236" s="9">
        <v>1235</v>
      </c>
      <c r="B236" s="9" t="s">
        <v>54</v>
      </c>
      <c r="C236" s="4" t="s">
        <v>27</v>
      </c>
      <c r="D236" s="4" t="s">
        <v>20</v>
      </c>
      <c r="E236" s="4" t="s">
        <v>48</v>
      </c>
      <c r="F236" s="4">
        <v>15</v>
      </c>
      <c r="G236" s="4">
        <v>267</v>
      </c>
      <c r="H236" s="4">
        <v>15</v>
      </c>
      <c r="I236" s="7">
        <v>46172</v>
      </c>
      <c r="J236" s="7">
        <v>46177</v>
      </c>
      <c r="K236" s="4" t="s">
        <v>49</v>
      </c>
      <c r="L236" s="4" t="str">
        <f t="shared" si="3"/>
        <v>Not Eligible</v>
      </c>
    </row>
    <row r="237" spans="1:12" x14ac:dyDescent="0.3">
      <c r="A237" s="9">
        <v>1236</v>
      </c>
      <c r="B237" s="9" t="s">
        <v>52</v>
      </c>
      <c r="C237" s="4" t="s">
        <v>42</v>
      </c>
      <c r="D237" s="4" t="s">
        <v>20</v>
      </c>
      <c r="E237" s="4" t="s">
        <v>37</v>
      </c>
      <c r="F237" s="4">
        <v>12</v>
      </c>
      <c r="G237" s="4">
        <v>189</v>
      </c>
      <c r="H237" s="4">
        <v>7</v>
      </c>
      <c r="I237" s="7">
        <v>46164</v>
      </c>
      <c r="J237" s="7">
        <v>46169</v>
      </c>
      <c r="K237" s="4" t="s">
        <v>49</v>
      </c>
      <c r="L237" s="4" t="str">
        <f t="shared" si="3"/>
        <v>Not Eligible</v>
      </c>
    </row>
    <row r="238" spans="1:12" x14ac:dyDescent="0.3">
      <c r="A238" s="9">
        <v>1237</v>
      </c>
      <c r="B238" s="9" t="s">
        <v>44</v>
      </c>
      <c r="C238" s="4" t="s">
        <v>38</v>
      </c>
      <c r="D238" s="4" t="s">
        <v>24</v>
      </c>
      <c r="E238" s="4" t="s">
        <v>11</v>
      </c>
      <c r="F238" s="4">
        <v>8</v>
      </c>
      <c r="G238" s="4">
        <v>12123</v>
      </c>
      <c r="H238" s="4">
        <v>2</v>
      </c>
      <c r="I238" s="7">
        <v>46137</v>
      </c>
      <c r="J238" s="7">
        <v>46145</v>
      </c>
      <c r="K238" s="4" t="s">
        <v>78</v>
      </c>
      <c r="L238" s="4" t="str">
        <f t="shared" si="3"/>
        <v>Not Eligible</v>
      </c>
    </row>
    <row r="239" spans="1:12" x14ac:dyDescent="0.3">
      <c r="A239" s="9">
        <v>1238</v>
      </c>
      <c r="B239" s="9" t="s">
        <v>30</v>
      </c>
      <c r="C239" s="4" t="s">
        <v>31</v>
      </c>
      <c r="D239" s="4" t="s">
        <v>20</v>
      </c>
      <c r="E239" s="4" t="s">
        <v>21</v>
      </c>
      <c r="F239" s="4">
        <v>6</v>
      </c>
      <c r="G239" s="4">
        <v>180</v>
      </c>
      <c r="H239" s="4">
        <v>12</v>
      </c>
      <c r="I239" s="7">
        <v>46096</v>
      </c>
      <c r="J239" s="7">
        <v>46097</v>
      </c>
      <c r="K239" s="4" t="s">
        <v>81</v>
      </c>
      <c r="L239" s="4" t="str">
        <f t="shared" si="3"/>
        <v>Not Eligible</v>
      </c>
    </row>
    <row r="240" spans="1:12" x14ac:dyDescent="0.3">
      <c r="A240" s="9">
        <v>1239</v>
      </c>
      <c r="B240" s="9" t="s">
        <v>46</v>
      </c>
      <c r="C240" s="4" t="s">
        <v>23</v>
      </c>
      <c r="D240" s="4" t="s">
        <v>24</v>
      </c>
      <c r="E240" s="4" t="s">
        <v>11</v>
      </c>
      <c r="F240" s="4">
        <v>2</v>
      </c>
      <c r="G240" s="4">
        <v>12330</v>
      </c>
      <c r="H240" s="4">
        <v>12</v>
      </c>
      <c r="I240" s="7">
        <v>46122</v>
      </c>
      <c r="J240" s="7">
        <v>46125</v>
      </c>
      <c r="K240" s="4" t="s">
        <v>78</v>
      </c>
      <c r="L240" s="4" t="str">
        <f t="shared" si="3"/>
        <v>Not Eligible</v>
      </c>
    </row>
    <row r="241" spans="1:12" x14ac:dyDescent="0.3">
      <c r="A241" s="9">
        <v>1240</v>
      </c>
      <c r="B241" s="9" t="s">
        <v>53</v>
      </c>
      <c r="C241" s="4" t="s">
        <v>33</v>
      </c>
      <c r="D241" s="4" t="s">
        <v>24</v>
      </c>
      <c r="E241" s="4" t="s">
        <v>10</v>
      </c>
      <c r="F241" s="4">
        <v>2</v>
      </c>
      <c r="G241" s="4">
        <v>5475</v>
      </c>
      <c r="H241" s="4">
        <v>2</v>
      </c>
      <c r="I241" s="7">
        <v>46142</v>
      </c>
      <c r="J241" s="7">
        <v>46146</v>
      </c>
      <c r="K241" s="4" t="s">
        <v>49</v>
      </c>
      <c r="L241" s="4" t="str">
        <f t="shared" si="3"/>
        <v>Not Eligible</v>
      </c>
    </row>
    <row r="242" spans="1:12" x14ac:dyDescent="0.3">
      <c r="A242" s="9">
        <v>1241</v>
      </c>
      <c r="B242" s="9" t="s">
        <v>44</v>
      </c>
      <c r="C242" s="4" t="s">
        <v>31</v>
      </c>
      <c r="D242" s="4" t="s">
        <v>24</v>
      </c>
      <c r="E242" s="4" t="s">
        <v>43</v>
      </c>
      <c r="F242" s="4">
        <v>1</v>
      </c>
      <c r="G242" s="4">
        <v>12537</v>
      </c>
      <c r="H242" s="4">
        <v>0</v>
      </c>
      <c r="I242" s="7">
        <v>46119</v>
      </c>
      <c r="J242" s="7">
        <v>46122</v>
      </c>
      <c r="K242" s="4" t="s">
        <v>78</v>
      </c>
      <c r="L242" s="4" t="str">
        <f t="shared" si="3"/>
        <v>Not Eligible</v>
      </c>
    </row>
    <row r="243" spans="1:12" x14ac:dyDescent="0.3">
      <c r="A243" s="9">
        <v>1242</v>
      </c>
      <c r="B243" s="9" t="s">
        <v>52</v>
      </c>
      <c r="C243" s="4" t="s">
        <v>38</v>
      </c>
      <c r="D243" s="4" t="s">
        <v>20</v>
      </c>
      <c r="E243" s="4" t="s">
        <v>48</v>
      </c>
      <c r="F243" s="4">
        <v>7</v>
      </c>
      <c r="G243" s="4">
        <v>168</v>
      </c>
      <c r="H243" s="4">
        <v>10</v>
      </c>
      <c r="I243" s="7">
        <v>46191</v>
      </c>
      <c r="J243" s="7">
        <v>46196</v>
      </c>
      <c r="K243" s="4" t="s">
        <v>81</v>
      </c>
      <c r="L243" s="4" t="str">
        <f t="shared" si="3"/>
        <v>Not Eligible</v>
      </c>
    </row>
    <row r="244" spans="1:12" x14ac:dyDescent="0.3">
      <c r="A244" s="9">
        <v>1243</v>
      </c>
      <c r="B244" s="9" t="s">
        <v>30</v>
      </c>
      <c r="C244" s="4" t="s">
        <v>31</v>
      </c>
      <c r="D244" s="4" t="s">
        <v>34</v>
      </c>
      <c r="E244" s="4" t="s">
        <v>40</v>
      </c>
      <c r="F244" s="4">
        <v>5</v>
      </c>
      <c r="G244" s="4">
        <v>11570</v>
      </c>
      <c r="H244" s="4">
        <v>15</v>
      </c>
      <c r="I244" s="7">
        <v>46069</v>
      </c>
      <c r="J244" s="7">
        <v>46077</v>
      </c>
      <c r="K244" s="4" t="s">
        <v>80</v>
      </c>
      <c r="L244" s="4" t="str">
        <f t="shared" si="3"/>
        <v>Eligible</v>
      </c>
    </row>
    <row r="245" spans="1:12" x14ac:dyDescent="0.3">
      <c r="A245" s="9">
        <v>1244</v>
      </c>
      <c r="B245" s="9" t="s">
        <v>54</v>
      </c>
      <c r="C245" s="4" t="s">
        <v>38</v>
      </c>
      <c r="D245" s="4" t="s">
        <v>24</v>
      </c>
      <c r="E245" s="4" t="s">
        <v>8</v>
      </c>
      <c r="F245" s="4">
        <v>10</v>
      </c>
      <c r="G245" s="4">
        <v>6339</v>
      </c>
      <c r="H245" s="4">
        <v>12</v>
      </c>
      <c r="I245" s="7">
        <v>46200</v>
      </c>
      <c r="J245" s="7">
        <v>46205</v>
      </c>
      <c r="K245" s="4" t="s">
        <v>78</v>
      </c>
      <c r="L245" s="4" t="str">
        <f t="shared" si="3"/>
        <v>Not Eligible</v>
      </c>
    </row>
    <row r="246" spans="1:12" x14ac:dyDescent="0.3">
      <c r="A246" s="9">
        <v>1245</v>
      </c>
      <c r="B246" s="9" t="s">
        <v>53</v>
      </c>
      <c r="C246" s="4" t="s">
        <v>42</v>
      </c>
      <c r="D246" s="4" t="s">
        <v>34</v>
      </c>
      <c r="E246" s="4" t="s">
        <v>40</v>
      </c>
      <c r="F246" s="4">
        <v>19</v>
      </c>
      <c r="G246" s="4">
        <v>69029</v>
      </c>
      <c r="H246" s="4">
        <v>7</v>
      </c>
      <c r="I246" s="7">
        <v>46176</v>
      </c>
      <c r="J246" s="7">
        <v>46179</v>
      </c>
      <c r="K246" s="4" t="s">
        <v>49</v>
      </c>
      <c r="L246" s="4" t="str">
        <f t="shared" si="3"/>
        <v>Not Eligible</v>
      </c>
    </row>
    <row r="247" spans="1:12" x14ac:dyDescent="0.3">
      <c r="A247" s="9">
        <v>1246</v>
      </c>
      <c r="B247" s="9" t="s">
        <v>53</v>
      </c>
      <c r="C247" s="4" t="s">
        <v>26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7">
        <v>46039</v>
      </c>
      <c r="J247" s="7">
        <v>46045</v>
      </c>
      <c r="K247" s="4" t="s">
        <v>81</v>
      </c>
      <c r="L247" s="4" t="str">
        <f t="shared" si="3"/>
        <v>Not Eligible</v>
      </c>
    </row>
    <row r="248" spans="1:12" x14ac:dyDescent="0.3">
      <c r="A248" s="9">
        <v>1247</v>
      </c>
      <c r="B248" s="9" t="s">
        <v>28</v>
      </c>
      <c r="C248" s="4" t="s">
        <v>19</v>
      </c>
      <c r="D248" s="4" t="s">
        <v>20</v>
      </c>
      <c r="E248" s="4" t="s">
        <v>48</v>
      </c>
      <c r="F248" s="4">
        <v>10</v>
      </c>
      <c r="G248" s="4">
        <v>336</v>
      </c>
      <c r="H248" s="4">
        <v>7</v>
      </c>
      <c r="I248" s="7">
        <v>46173</v>
      </c>
      <c r="J248" s="7">
        <v>46175</v>
      </c>
      <c r="K248" s="4" t="s">
        <v>79</v>
      </c>
      <c r="L248" s="4" t="str">
        <f t="shared" si="3"/>
        <v>Not Eligible</v>
      </c>
    </row>
    <row r="249" spans="1:12" x14ac:dyDescent="0.3">
      <c r="A249" s="9">
        <v>1248</v>
      </c>
      <c r="B249" s="9" t="s">
        <v>29</v>
      </c>
      <c r="C249" s="4" t="s">
        <v>42</v>
      </c>
      <c r="D249" s="4" t="s">
        <v>20</v>
      </c>
      <c r="E249" s="4" t="s">
        <v>37</v>
      </c>
      <c r="F249" s="4">
        <v>5</v>
      </c>
      <c r="G249" s="4">
        <v>398</v>
      </c>
      <c r="H249" s="4">
        <v>7</v>
      </c>
      <c r="I249" s="7">
        <v>46161</v>
      </c>
      <c r="J249" s="7">
        <v>46171</v>
      </c>
      <c r="K249" s="4" t="s">
        <v>49</v>
      </c>
      <c r="L249" s="4" t="str">
        <f t="shared" si="3"/>
        <v>Not Eligible</v>
      </c>
    </row>
    <row r="250" spans="1:12" x14ac:dyDescent="0.3">
      <c r="A250" s="9">
        <v>1249</v>
      </c>
      <c r="B250" s="9" t="s">
        <v>22</v>
      </c>
      <c r="C250" s="4" t="s">
        <v>27</v>
      </c>
      <c r="D250" s="4" t="s">
        <v>34</v>
      </c>
      <c r="E250" s="4" t="s">
        <v>40</v>
      </c>
      <c r="F250" s="4">
        <v>18</v>
      </c>
      <c r="G250" s="4">
        <v>6360</v>
      </c>
      <c r="H250" s="4">
        <v>12</v>
      </c>
      <c r="I250" s="7">
        <v>46163</v>
      </c>
      <c r="J250" s="7">
        <v>46165</v>
      </c>
      <c r="K250" s="4" t="s">
        <v>79</v>
      </c>
      <c r="L250" s="4" t="str">
        <f t="shared" si="3"/>
        <v>Eligible</v>
      </c>
    </row>
    <row r="251" spans="1:12" x14ac:dyDescent="0.3">
      <c r="A251" s="9">
        <v>1250</v>
      </c>
      <c r="B251" s="9" t="s">
        <v>18</v>
      </c>
      <c r="C251" s="4" t="s">
        <v>23</v>
      </c>
      <c r="D251" s="4" t="s">
        <v>34</v>
      </c>
      <c r="E251" s="4" t="s">
        <v>6</v>
      </c>
      <c r="F251" s="4">
        <v>2</v>
      </c>
      <c r="G251" s="4">
        <v>65953</v>
      </c>
      <c r="H251" s="4">
        <v>7</v>
      </c>
      <c r="I251" s="7">
        <v>46051</v>
      </c>
      <c r="J251" s="7">
        <v>46053</v>
      </c>
      <c r="K251" s="4" t="s">
        <v>49</v>
      </c>
      <c r="L251" s="4" t="str">
        <f t="shared" si="3"/>
        <v>Not Eligible</v>
      </c>
    </row>
    <row r="252" spans="1:12" x14ac:dyDescent="0.3">
      <c r="A252" s="9">
        <v>1251</v>
      </c>
      <c r="B252" s="9" t="s">
        <v>53</v>
      </c>
      <c r="C252" s="4" t="s">
        <v>38</v>
      </c>
      <c r="D252" s="4" t="s">
        <v>34</v>
      </c>
      <c r="E252" s="4" t="s">
        <v>12</v>
      </c>
      <c r="F252" s="4">
        <v>19</v>
      </c>
      <c r="G252" s="4">
        <v>48548</v>
      </c>
      <c r="H252" s="4">
        <v>0</v>
      </c>
      <c r="I252" s="7">
        <v>46112</v>
      </c>
      <c r="J252" s="7">
        <v>46121</v>
      </c>
      <c r="K252" s="4" t="s">
        <v>81</v>
      </c>
      <c r="L252" s="4" t="str">
        <f t="shared" si="3"/>
        <v>Not Eligible</v>
      </c>
    </row>
    <row r="253" spans="1:12" x14ac:dyDescent="0.3">
      <c r="A253" s="9">
        <v>1252</v>
      </c>
      <c r="B253" s="9" t="s">
        <v>45</v>
      </c>
      <c r="C253" s="4" t="s">
        <v>27</v>
      </c>
      <c r="D253" s="4" t="s">
        <v>20</v>
      </c>
      <c r="E253" s="4" t="s">
        <v>36</v>
      </c>
      <c r="F253" s="4">
        <v>15</v>
      </c>
      <c r="G253" s="4">
        <v>257</v>
      </c>
      <c r="H253" s="4">
        <v>5</v>
      </c>
      <c r="I253" s="7">
        <v>46166</v>
      </c>
      <c r="J253" s="7">
        <v>46173</v>
      </c>
      <c r="K253" s="4" t="s">
        <v>79</v>
      </c>
      <c r="L253" s="4" t="str">
        <f t="shared" si="3"/>
        <v>Not Eligible</v>
      </c>
    </row>
    <row r="254" spans="1:12" x14ac:dyDescent="0.3">
      <c r="A254" s="9">
        <v>1253</v>
      </c>
      <c r="B254" s="9" t="s">
        <v>25</v>
      </c>
      <c r="C254" s="4" t="s">
        <v>31</v>
      </c>
      <c r="D254" s="4" t="s">
        <v>34</v>
      </c>
      <c r="E254" s="4" t="s">
        <v>6</v>
      </c>
      <c r="F254" s="4">
        <v>20</v>
      </c>
      <c r="G254" s="4">
        <v>47880</v>
      </c>
      <c r="H254" s="4">
        <v>7</v>
      </c>
      <c r="I254" s="7">
        <v>46074</v>
      </c>
      <c r="J254" s="7">
        <v>46075</v>
      </c>
      <c r="K254" s="4" t="s">
        <v>49</v>
      </c>
      <c r="L254" s="4" t="str">
        <f t="shared" si="3"/>
        <v>Not Eligible</v>
      </c>
    </row>
    <row r="255" spans="1:12" x14ac:dyDescent="0.3">
      <c r="A255" s="9">
        <v>1254</v>
      </c>
      <c r="B255" s="9" t="s">
        <v>50</v>
      </c>
      <c r="C255" s="4" t="s">
        <v>26</v>
      </c>
      <c r="D255" s="4" t="s">
        <v>20</v>
      </c>
      <c r="E255" s="4" t="s">
        <v>48</v>
      </c>
      <c r="F255" s="4">
        <v>18</v>
      </c>
      <c r="G255" s="4">
        <v>447</v>
      </c>
      <c r="H255" s="4">
        <v>15</v>
      </c>
      <c r="I255" s="7">
        <v>46141</v>
      </c>
      <c r="J255" s="7">
        <v>46149</v>
      </c>
      <c r="K255" s="4" t="s">
        <v>80</v>
      </c>
      <c r="L255" s="4" t="str">
        <f t="shared" si="3"/>
        <v>Not Eligible</v>
      </c>
    </row>
    <row r="256" spans="1:12" x14ac:dyDescent="0.3">
      <c r="A256" s="9">
        <v>1255</v>
      </c>
      <c r="B256" s="9" t="s">
        <v>32</v>
      </c>
      <c r="C256" s="4" t="s">
        <v>23</v>
      </c>
      <c r="D256" s="4" t="s">
        <v>24</v>
      </c>
      <c r="E256" s="4" t="s">
        <v>7</v>
      </c>
      <c r="F256" s="4">
        <v>1</v>
      </c>
      <c r="G256" s="4">
        <v>2240</v>
      </c>
      <c r="H256" s="4">
        <v>5</v>
      </c>
      <c r="I256" s="7">
        <v>46091</v>
      </c>
      <c r="J256" s="7">
        <v>46095</v>
      </c>
      <c r="K256" s="4" t="s">
        <v>79</v>
      </c>
      <c r="L256" s="4" t="str">
        <f t="shared" si="3"/>
        <v>Not Eligible</v>
      </c>
    </row>
    <row r="257" spans="1:12" x14ac:dyDescent="0.3">
      <c r="A257" s="9">
        <v>1256</v>
      </c>
      <c r="B257" s="9" t="s">
        <v>46</v>
      </c>
      <c r="C257" s="4" t="s">
        <v>31</v>
      </c>
      <c r="D257" s="4" t="s">
        <v>20</v>
      </c>
      <c r="E257" s="4" t="s">
        <v>48</v>
      </c>
      <c r="F257" s="4">
        <v>19</v>
      </c>
      <c r="G257" s="4">
        <v>406</v>
      </c>
      <c r="H257" s="4">
        <v>7</v>
      </c>
      <c r="I257" s="7">
        <v>46057</v>
      </c>
      <c r="J257" s="7">
        <v>46061</v>
      </c>
      <c r="K257" s="4" t="s">
        <v>78</v>
      </c>
      <c r="L257" s="4" t="str">
        <f t="shared" si="3"/>
        <v>Not Eligible</v>
      </c>
    </row>
    <row r="258" spans="1:12" x14ac:dyDescent="0.3">
      <c r="A258" s="9">
        <v>1257</v>
      </c>
      <c r="B258" s="9" t="s">
        <v>52</v>
      </c>
      <c r="C258" s="4" t="s">
        <v>27</v>
      </c>
      <c r="D258" s="4" t="s">
        <v>34</v>
      </c>
      <c r="E258" s="4" t="s">
        <v>12</v>
      </c>
      <c r="F258" s="4">
        <v>7</v>
      </c>
      <c r="G258" s="4">
        <v>53243</v>
      </c>
      <c r="H258" s="4">
        <v>12</v>
      </c>
      <c r="I258" s="7">
        <v>46161</v>
      </c>
      <c r="J258" s="7">
        <v>46171</v>
      </c>
      <c r="K258" s="4" t="s">
        <v>78</v>
      </c>
      <c r="L258" s="4" t="str">
        <f t="shared" si="3"/>
        <v>Eligible</v>
      </c>
    </row>
    <row r="259" spans="1:12" x14ac:dyDescent="0.3">
      <c r="A259" s="9">
        <v>1258</v>
      </c>
      <c r="B259" s="9" t="s">
        <v>32</v>
      </c>
      <c r="C259" s="4" t="s">
        <v>31</v>
      </c>
      <c r="D259" s="4" t="s">
        <v>34</v>
      </c>
      <c r="E259" s="4" t="s">
        <v>9</v>
      </c>
      <c r="F259" s="4">
        <v>1</v>
      </c>
      <c r="G259" s="4">
        <v>10600</v>
      </c>
      <c r="H259" s="4">
        <v>5</v>
      </c>
      <c r="I259" s="7">
        <v>46137</v>
      </c>
      <c r="J259" s="7">
        <v>46138</v>
      </c>
      <c r="K259" s="4" t="s">
        <v>49</v>
      </c>
      <c r="L259" s="4" t="str">
        <f t="shared" ref="L259:L322" si="4">IF(AND(D259="Electronics", H259&gt;=10), "Eligible", "Not Eligible")</f>
        <v>Not Eligible</v>
      </c>
    </row>
    <row r="260" spans="1:12" x14ac:dyDescent="0.3">
      <c r="A260" s="9">
        <v>1259</v>
      </c>
      <c r="B260" s="9" t="s">
        <v>41</v>
      </c>
      <c r="C260" s="4" t="s">
        <v>26</v>
      </c>
      <c r="D260" s="4" t="s">
        <v>34</v>
      </c>
      <c r="E260" s="4" t="s">
        <v>6</v>
      </c>
      <c r="F260" s="4">
        <v>10</v>
      </c>
      <c r="G260" s="4">
        <v>38771</v>
      </c>
      <c r="H260" s="4">
        <v>15</v>
      </c>
      <c r="I260" s="7">
        <v>46172</v>
      </c>
      <c r="J260" s="7">
        <v>46182</v>
      </c>
      <c r="K260" s="4" t="s">
        <v>78</v>
      </c>
      <c r="L260" s="4" t="str">
        <f t="shared" si="4"/>
        <v>Eligible</v>
      </c>
    </row>
    <row r="261" spans="1:12" x14ac:dyDescent="0.3">
      <c r="A261" s="9">
        <v>1260</v>
      </c>
      <c r="B261" s="9" t="s">
        <v>52</v>
      </c>
      <c r="C261" s="4" t="s">
        <v>38</v>
      </c>
      <c r="D261" s="4" t="s">
        <v>34</v>
      </c>
      <c r="E261" s="4" t="s">
        <v>40</v>
      </c>
      <c r="F261" s="4">
        <v>19</v>
      </c>
      <c r="G261" s="4">
        <v>54981</v>
      </c>
      <c r="H261" s="4">
        <v>10</v>
      </c>
      <c r="I261" s="7">
        <v>46040</v>
      </c>
      <c r="J261" s="7">
        <v>46045</v>
      </c>
      <c r="K261" s="4" t="s">
        <v>49</v>
      </c>
      <c r="L261" s="4" t="str">
        <f t="shared" si="4"/>
        <v>Eligible</v>
      </c>
    </row>
    <row r="262" spans="1:12" x14ac:dyDescent="0.3">
      <c r="A262" s="9">
        <v>1261</v>
      </c>
      <c r="B262" s="9" t="s">
        <v>39</v>
      </c>
      <c r="C262" s="4" t="s">
        <v>23</v>
      </c>
      <c r="D262" s="4" t="s">
        <v>20</v>
      </c>
      <c r="E262" s="4" t="s">
        <v>48</v>
      </c>
      <c r="F262" s="4">
        <v>20</v>
      </c>
      <c r="G262" s="4">
        <v>162</v>
      </c>
      <c r="H262" s="4">
        <v>7</v>
      </c>
      <c r="I262" s="7">
        <v>46119</v>
      </c>
      <c r="J262" s="7">
        <v>46120</v>
      </c>
      <c r="K262" s="4" t="s">
        <v>81</v>
      </c>
      <c r="L262" s="4" t="str">
        <f t="shared" si="4"/>
        <v>Not Eligible</v>
      </c>
    </row>
    <row r="263" spans="1:12" x14ac:dyDescent="0.3">
      <c r="A263" s="9">
        <v>1262</v>
      </c>
      <c r="B263" s="9" t="s">
        <v>22</v>
      </c>
      <c r="C263" s="4" t="s">
        <v>26</v>
      </c>
      <c r="D263" s="4" t="s">
        <v>24</v>
      </c>
      <c r="E263" s="4" t="s">
        <v>8</v>
      </c>
      <c r="F263" s="4">
        <v>9</v>
      </c>
      <c r="G263" s="4">
        <v>2231</v>
      </c>
      <c r="H263" s="4">
        <v>15</v>
      </c>
      <c r="I263" s="7">
        <v>46174</v>
      </c>
      <c r="J263" s="7">
        <v>46183</v>
      </c>
      <c r="K263" s="4" t="s">
        <v>78</v>
      </c>
      <c r="L263" s="4" t="str">
        <f t="shared" si="4"/>
        <v>Not Eligible</v>
      </c>
    </row>
    <row r="264" spans="1:12" x14ac:dyDescent="0.3">
      <c r="A264" s="9">
        <v>1263</v>
      </c>
      <c r="B264" s="9" t="s">
        <v>49</v>
      </c>
      <c r="C264" s="4" t="s">
        <v>38</v>
      </c>
      <c r="D264" s="4" t="s">
        <v>24</v>
      </c>
      <c r="E264" s="4" t="s">
        <v>8</v>
      </c>
      <c r="F264" s="4">
        <v>10</v>
      </c>
      <c r="G264" s="4">
        <v>1505</v>
      </c>
      <c r="H264" s="4">
        <v>0</v>
      </c>
      <c r="I264" s="7">
        <v>46130</v>
      </c>
      <c r="J264" s="7">
        <v>46138</v>
      </c>
      <c r="K264" s="4" t="s">
        <v>81</v>
      </c>
      <c r="L264" s="4" t="str">
        <f t="shared" si="4"/>
        <v>Not Eligible</v>
      </c>
    </row>
    <row r="265" spans="1:12" x14ac:dyDescent="0.3">
      <c r="A265" s="9">
        <v>1264</v>
      </c>
      <c r="B265" s="9" t="s">
        <v>18</v>
      </c>
      <c r="C265" s="4" t="s">
        <v>26</v>
      </c>
      <c r="D265" s="4" t="s">
        <v>24</v>
      </c>
      <c r="E265" s="4" t="s">
        <v>8</v>
      </c>
      <c r="F265" s="4">
        <v>15</v>
      </c>
      <c r="G265" s="4">
        <v>6365</v>
      </c>
      <c r="H265" s="4">
        <v>10</v>
      </c>
      <c r="I265" s="7">
        <v>46200</v>
      </c>
      <c r="J265" s="7">
        <v>46206</v>
      </c>
      <c r="K265" s="4" t="s">
        <v>79</v>
      </c>
      <c r="L265" s="4" t="str">
        <f t="shared" si="4"/>
        <v>Not Eligible</v>
      </c>
    </row>
    <row r="266" spans="1:12" x14ac:dyDescent="0.3">
      <c r="A266" s="9">
        <v>1265</v>
      </c>
      <c r="B266" s="9" t="s">
        <v>55</v>
      </c>
      <c r="C266" s="4" t="s">
        <v>26</v>
      </c>
      <c r="D266" s="4" t="s">
        <v>24</v>
      </c>
      <c r="E266" s="4" t="s">
        <v>7</v>
      </c>
      <c r="F266" s="4">
        <v>1</v>
      </c>
      <c r="G266" s="4">
        <v>1052</v>
      </c>
      <c r="H266" s="4">
        <v>7</v>
      </c>
      <c r="I266" s="7">
        <v>46117</v>
      </c>
      <c r="J266" s="7">
        <v>46127</v>
      </c>
      <c r="K266" s="4" t="s">
        <v>81</v>
      </c>
      <c r="L266" s="4" t="str">
        <f t="shared" si="4"/>
        <v>Not Eligible</v>
      </c>
    </row>
    <row r="267" spans="1:12" x14ac:dyDescent="0.3">
      <c r="A267" s="9">
        <v>1266</v>
      </c>
      <c r="B267" s="9" t="s">
        <v>49</v>
      </c>
      <c r="C267" s="4" t="s">
        <v>33</v>
      </c>
      <c r="D267" s="4" t="s">
        <v>20</v>
      </c>
      <c r="E267" s="4" t="s">
        <v>21</v>
      </c>
      <c r="F267" s="4">
        <v>17</v>
      </c>
      <c r="G267" s="4">
        <v>365</v>
      </c>
      <c r="H267" s="4">
        <v>2</v>
      </c>
      <c r="I267" s="7">
        <v>46096</v>
      </c>
      <c r="J267" s="7">
        <v>46104</v>
      </c>
      <c r="K267" s="4" t="s">
        <v>81</v>
      </c>
      <c r="L267" s="4" t="str">
        <f t="shared" si="4"/>
        <v>Not Eligible</v>
      </c>
    </row>
    <row r="268" spans="1:12" x14ac:dyDescent="0.3">
      <c r="A268" s="9">
        <v>1267</v>
      </c>
      <c r="B268" s="9" t="s">
        <v>29</v>
      </c>
      <c r="C268" s="4" t="s">
        <v>38</v>
      </c>
      <c r="D268" s="4" t="s">
        <v>20</v>
      </c>
      <c r="E268" s="4" t="s">
        <v>48</v>
      </c>
      <c r="F268" s="4">
        <v>1</v>
      </c>
      <c r="G268" s="4">
        <v>50</v>
      </c>
      <c r="H268" s="4">
        <v>0</v>
      </c>
      <c r="I268" s="7">
        <v>46129</v>
      </c>
      <c r="J268" s="7">
        <v>46138</v>
      </c>
      <c r="K268" s="4" t="s">
        <v>79</v>
      </c>
      <c r="L268" s="4" t="str">
        <f t="shared" si="4"/>
        <v>Not Eligible</v>
      </c>
    </row>
    <row r="269" spans="1:12" x14ac:dyDescent="0.3">
      <c r="A269" s="9">
        <v>1268</v>
      </c>
      <c r="B269" s="9" t="s">
        <v>41</v>
      </c>
      <c r="C269" s="4" t="s">
        <v>38</v>
      </c>
      <c r="D269" s="4" t="s">
        <v>34</v>
      </c>
      <c r="E269" s="4" t="s">
        <v>6</v>
      </c>
      <c r="F269" s="4">
        <v>10</v>
      </c>
      <c r="G269" s="4">
        <v>46291</v>
      </c>
      <c r="H269" s="4">
        <v>12</v>
      </c>
      <c r="I269" s="7">
        <v>46199</v>
      </c>
      <c r="J269" s="7">
        <v>46202</v>
      </c>
      <c r="K269" s="4" t="s">
        <v>79</v>
      </c>
      <c r="L269" s="4" t="str">
        <f t="shared" si="4"/>
        <v>Eligible</v>
      </c>
    </row>
    <row r="270" spans="1:12" x14ac:dyDescent="0.3">
      <c r="A270" s="9">
        <v>1269</v>
      </c>
      <c r="B270" s="9" t="s">
        <v>50</v>
      </c>
      <c r="C270" s="4" t="s">
        <v>42</v>
      </c>
      <c r="D270" s="4" t="s">
        <v>24</v>
      </c>
      <c r="E270" s="4" t="s">
        <v>7</v>
      </c>
      <c r="F270" s="4">
        <v>14</v>
      </c>
      <c r="G270" s="4">
        <v>5704</v>
      </c>
      <c r="H270" s="4">
        <v>2</v>
      </c>
      <c r="I270" s="7">
        <v>46129</v>
      </c>
      <c r="J270" s="7">
        <v>46131</v>
      </c>
      <c r="K270" s="4" t="s">
        <v>78</v>
      </c>
      <c r="L270" s="4" t="str">
        <f t="shared" si="4"/>
        <v>Not Eligible</v>
      </c>
    </row>
    <row r="271" spans="1:12" x14ac:dyDescent="0.3">
      <c r="A271" s="9">
        <v>1270</v>
      </c>
      <c r="B271" s="9" t="s">
        <v>47</v>
      </c>
      <c r="C271" s="4" t="s">
        <v>42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7">
        <v>46135</v>
      </c>
      <c r="J271" s="7">
        <v>46141</v>
      </c>
      <c r="K271" s="4" t="s">
        <v>81</v>
      </c>
      <c r="L271" s="4" t="str">
        <f t="shared" si="4"/>
        <v>Not Eligible</v>
      </c>
    </row>
    <row r="272" spans="1:12" x14ac:dyDescent="0.3">
      <c r="A272" s="9">
        <v>1271</v>
      </c>
      <c r="B272" s="9" t="s">
        <v>39</v>
      </c>
      <c r="C272" s="4" t="s">
        <v>33</v>
      </c>
      <c r="D272" s="4" t="s">
        <v>34</v>
      </c>
      <c r="E272" s="4" t="s">
        <v>9</v>
      </c>
      <c r="F272" s="4">
        <v>20</v>
      </c>
      <c r="G272" s="4">
        <v>36941</v>
      </c>
      <c r="H272" s="4">
        <v>15</v>
      </c>
      <c r="I272" s="7">
        <v>46083</v>
      </c>
      <c r="J272" s="7">
        <v>46085</v>
      </c>
      <c r="K272" s="4" t="s">
        <v>49</v>
      </c>
      <c r="L272" s="4" t="str">
        <f t="shared" si="4"/>
        <v>Eligible</v>
      </c>
    </row>
    <row r="273" spans="1:12" x14ac:dyDescent="0.3">
      <c r="A273" s="9">
        <v>1272</v>
      </c>
      <c r="B273" s="9" t="s">
        <v>50</v>
      </c>
      <c r="C273" s="4" t="s">
        <v>38</v>
      </c>
      <c r="D273" s="4" t="s">
        <v>34</v>
      </c>
      <c r="E273" s="4" t="s">
        <v>40</v>
      </c>
      <c r="F273" s="4">
        <v>13</v>
      </c>
      <c r="G273" s="4">
        <v>42179</v>
      </c>
      <c r="H273" s="4">
        <v>0</v>
      </c>
      <c r="I273" s="7">
        <v>46078</v>
      </c>
      <c r="J273" s="7">
        <v>46084</v>
      </c>
      <c r="K273" s="4" t="s">
        <v>79</v>
      </c>
      <c r="L273" s="4" t="str">
        <f t="shared" si="4"/>
        <v>Not Eligible</v>
      </c>
    </row>
    <row r="274" spans="1:12" x14ac:dyDescent="0.3">
      <c r="A274" s="9">
        <v>1273</v>
      </c>
      <c r="B274" s="9" t="s">
        <v>44</v>
      </c>
      <c r="C274" s="4" t="s">
        <v>27</v>
      </c>
      <c r="D274" s="4" t="s">
        <v>34</v>
      </c>
      <c r="E274" s="4" t="s">
        <v>5</v>
      </c>
      <c r="F274" s="4">
        <v>12</v>
      </c>
      <c r="G274" s="4">
        <v>20618</v>
      </c>
      <c r="H274" s="4">
        <v>12</v>
      </c>
      <c r="I274" s="7">
        <v>46172</v>
      </c>
      <c r="J274" s="7">
        <v>46174</v>
      </c>
      <c r="K274" s="4" t="s">
        <v>79</v>
      </c>
      <c r="L274" s="4" t="str">
        <f t="shared" si="4"/>
        <v>Eligible</v>
      </c>
    </row>
    <row r="275" spans="1:12" x14ac:dyDescent="0.3">
      <c r="A275" s="9">
        <v>1274</v>
      </c>
      <c r="B275" s="9" t="s">
        <v>28</v>
      </c>
      <c r="C275" s="4" t="s">
        <v>27</v>
      </c>
      <c r="D275" s="4" t="s">
        <v>34</v>
      </c>
      <c r="E275" s="4" t="s">
        <v>40</v>
      </c>
      <c r="F275" s="4">
        <v>13</v>
      </c>
      <c r="G275" s="4">
        <v>36652</v>
      </c>
      <c r="H275" s="4">
        <v>12</v>
      </c>
      <c r="I275" s="7">
        <v>46179</v>
      </c>
      <c r="J275" s="7">
        <v>46186</v>
      </c>
      <c r="K275" s="4" t="s">
        <v>79</v>
      </c>
      <c r="L275" s="4" t="str">
        <f t="shared" si="4"/>
        <v>Eligible</v>
      </c>
    </row>
    <row r="276" spans="1:12" x14ac:dyDescent="0.3">
      <c r="A276" s="9">
        <v>1275</v>
      </c>
      <c r="B276" s="9" t="s">
        <v>22</v>
      </c>
      <c r="C276" s="4" t="s">
        <v>31</v>
      </c>
      <c r="D276" s="4" t="s">
        <v>20</v>
      </c>
      <c r="E276" s="4" t="s">
        <v>48</v>
      </c>
      <c r="F276" s="4">
        <v>20</v>
      </c>
      <c r="G276" s="4">
        <v>451</v>
      </c>
      <c r="H276" s="4">
        <v>15</v>
      </c>
      <c r="I276" s="7">
        <v>46092</v>
      </c>
      <c r="J276" s="7">
        <v>46094</v>
      </c>
      <c r="K276" s="4" t="s">
        <v>79</v>
      </c>
      <c r="L276" s="4" t="str">
        <f t="shared" si="4"/>
        <v>Not Eligible</v>
      </c>
    </row>
    <row r="277" spans="1:12" x14ac:dyDescent="0.3">
      <c r="A277" s="9">
        <v>1276</v>
      </c>
      <c r="B277" s="9" t="s">
        <v>39</v>
      </c>
      <c r="C277" s="4" t="s">
        <v>19</v>
      </c>
      <c r="D277" s="4" t="s">
        <v>24</v>
      </c>
      <c r="E277" s="4" t="s">
        <v>7</v>
      </c>
      <c r="F277" s="4">
        <v>1</v>
      </c>
      <c r="G277" s="4">
        <v>13437</v>
      </c>
      <c r="H277" s="4">
        <v>15</v>
      </c>
      <c r="I277" s="7">
        <v>46097</v>
      </c>
      <c r="J277" s="7">
        <v>46099</v>
      </c>
      <c r="K277" s="4" t="s">
        <v>80</v>
      </c>
      <c r="L277" s="4" t="str">
        <f t="shared" si="4"/>
        <v>Not Eligible</v>
      </c>
    </row>
    <row r="278" spans="1:12" x14ac:dyDescent="0.3">
      <c r="A278" s="9">
        <v>1277</v>
      </c>
      <c r="B278" s="9" t="s">
        <v>56</v>
      </c>
      <c r="C278" s="4" t="s">
        <v>23</v>
      </c>
      <c r="D278" s="4" t="s">
        <v>20</v>
      </c>
      <c r="E278" s="4" t="s">
        <v>36</v>
      </c>
      <c r="F278" s="4">
        <v>14</v>
      </c>
      <c r="G278" s="4">
        <v>276</v>
      </c>
      <c r="H278" s="4">
        <v>0</v>
      </c>
      <c r="I278" s="7">
        <v>46086</v>
      </c>
      <c r="J278" s="7">
        <v>46089</v>
      </c>
      <c r="K278" s="4" t="s">
        <v>78</v>
      </c>
      <c r="L278" s="4" t="str">
        <f t="shared" si="4"/>
        <v>Not Eligible</v>
      </c>
    </row>
    <row r="279" spans="1:12" x14ac:dyDescent="0.3">
      <c r="A279" s="9">
        <v>1278</v>
      </c>
      <c r="B279" s="9" t="s">
        <v>45</v>
      </c>
      <c r="C279" s="4" t="s">
        <v>26</v>
      </c>
      <c r="D279" s="4" t="s">
        <v>34</v>
      </c>
      <c r="E279" s="4" t="s">
        <v>12</v>
      </c>
      <c r="F279" s="4">
        <v>4</v>
      </c>
      <c r="G279" s="4">
        <v>20639</v>
      </c>
      <c r="H279" s="4">
        <v>7</v>
      </c>
      <c r="I279" s="7">
        <v>46180</v>
      </c>
      <c r="J279" s="7">
        <v>46186</v>
      </c>
      <c r="K279" s="4" t="s">
        <v>79</v>
      </c>
      <c r="L279" s="4" t="str">
        <f t="shared" si="4"/>
        <v>Not Eligible</v>
      </c>
    </row>
    <row r="280" spans="1:12" x14ac:dyDescent="0.3">
      <c r="A280" s="9">
        <v>1279</v>
      </c>
      <c r="B280" s="9" t="s">
        <v>53</v>
      </c>
      <c r="C280" s="4" t="s">
        <v>33</v>
      </c>
      <c r="D280" s="4" t="s">
        <v>34</v>
      </c>
      <c r="E280" s="4" t="s">
        <v>6</v>
      </c>
      <c r="F280" s="4">
        <v>20</v>
      </c>
      <c r="G280" s="4">
        <v>49042</v>
      </c>
      <c r="H280" s="4">
        <v>2</v>
      </c>
      <c r="I280" s="7">
        <v>46124</v>
      </c>
      <c r="J280" s="7">
        <v>46126</v>
      </c>
      <c r="K280" s="4" t="s">
        <v>78</v>
      </c>
      <c r="L280" s="4" t="str">
        <f t="shared" si="4"/>
        <v>Not Eligible</v>
      </c>
    </row>
    <row r="281" spans="1:12" x14ac:dyDescent="0.3">
      <c r="A281" s="9">
        <v>1280</v>
      </c>
      <c r="B281" s="9" t="s">
        <v>56</v>
      </c>
      <c r="C281" s="4" t="s">
        <v>38</v>
      </c>
      <c r="D281" s="4" t="s">
        <v>20</v>
      </c>
      <c r="E281" s="4" t="s">
        <v>51</v>
      </c>
      <c r="F281" s="4">
        <v>9</v>
      </c>
      <c r="G281" s="4">
        <v>50</v>
      </c>
      <c r="H281" s="4">
        <v>7</v>
      </c>
      <c r="I281" s="7">
        <v>46085</v>
      </c>
      <c r="J281" s="7">
        <v>46095</v>
      </c>
      <c r="K281" s="4" t="s">
        <v>81</v>
      </c>
      <c r="L281" s="4" t="str">
        <f t="shared" si="4"/>
        <v>Not Eligible</v>
      </c>
    </row>
    <row r="282" spans="1:12" x14ac:dyDescent="0.3">
      <c r="A282" s="9">
        <v>1281</v>
      </c>
      <c r="B282" s="9" t="s">
        <v>53</v>
      </c>
      <c r="C282" s="4" t="s">
        <v>23</v>
      </c>
      <c r="D282" s="4" t="s">
        <v>20</v>
      </c>
      <c r="E282" s="4" t="s">
        <v>48</v>
      </c>
      <c r="F282" s="4">
        <v>6</v>
      </c>
      <c r="G282" s="4">
        <v>253</v>
      </c>
      <c r="H282" s="4">
        <v>0</v>
      </c>
      <c r="I282" s="7">
        <v>46055</v>
      </c>
      <c r="J282" s="7">
        <v>46063</v>
      </c>
      <c r="K282" s="4" t="s">
        <v>80</v>
      </c>
      <c r="L282" s="4" t="str">
        <f t="shared" si="4"/>
        <v>Not Eligible</v>
      </c>
    </row>
    <row r="283" spans="1:12" x14ac:dyDescent="0.3">
      <c r="A283" s="9">
        <v>1282</v>
      </c>
      <c r="B283" s="9" t="s">
        <v>54</v>
      </c>
      <c r="C283" s="4" t="s">
        <v>42</v>
      </c>
      <c r="D283" s="4" t="s">
        <v>24</v>
      </c>
      <c r="E283" s="4" t="s">
        <v>43</v>
      </c>
      <c r="F283" s="4">
        <v>12</v>
      </c>
      <c r="G283" s="4">
        <v>3178</v>
      </c>
      <c r="H283" s="4">
        <v>10</v>
      </c>
      <c r="I283" s="7">
        <v>46176</v>
      </c>
      <c r="J283" s="7">
        <v>46177</v>
      </c>
      <c r="K283" s="4" t="s">
        <v>49</v>
      </c>
      <c r="L283" s="4" t="str">
        <f t="shared" si="4"/>
        <v>Not Eligible</v>
      </c>
    </row>
    <row r="284" spans="1:12" x14ac:dyDescent="0.3">
      <c r="A284" s="9">
        <v>1283</v>
      </c>
      <c r="B284" s="9" t="s">
        <v>39</v>
      </c>
      <c r="C284" s="4" t="s">
        <v>19</v>
      </c>
      <c r="D284" s="4" t="s">
        <v>24</v>
      </c>
      <c r="E284" s="4" t="s">
        <v>10</v>
      </c>
      <c r="F284" s="4">
        <v>6</v>
      </c>
      <c r="G284" s="4">
        <v>1167</v>
      </c>
      <c r="H284" s="4">
        <v>2</v>
      </c>
      <c r="I284" s="7">
        <v>46100</v>
      </c>
      <c r="J284" s="7">
        <v>46106</v>
      </c>
      <c r="K284" s="4" t="s">
        <v>78</v>
      </c>
      <c r="L284" s="4" t="str">
        <f t="shared" si="4"/>
        <v>Not Eligible</v>
      </c>
    </row>
    <row r="285" spans="1:12" x14ac:dyDescent="0.3">
      <c r="A285" s="9">
        <v>1284</v>
      </c>
      <c r="B285" s="9" t="s">
        <v>39</v>
      </c>
      <c r="C285" s="4" t="s">
        <v>27</v>
      </c>
      <c r="D285" s="4" t="s">
        <v>20</v>
      </c>
      <c r="E285" s="4" t="s">
        <v>37</v>
      </c>
      <c r="F285" s="4">
        <v>16</v>
      </c>
      <c r="G285" s="4">
        <v>419</v>
      </c>
      <c r="H285" s="4">
        <v>2</v>
      </c>
      <c r="I285" s="7">
        <v>46082</v>
      </c>
      <c r="J285" s="7">
        <v>46090</v>
      </c>
      <c r="K285" s="4" t="s">
        <v>78</v>
      </c>
      <c r="L285" s="4" t="str">
        <f t="shared" si="4"/>
        <v>Not Eligible</v>
      </c>
    </row>
    <row r="286" spans="1:12" x14ac:dyDescent="0.3">
      <c r="A286" s="9">
        <v>1285</v>
      </c>
      <c r="B286" s="9" t="s">
        <v>32</v>
      </c>
      <c r="C286" s="4" t="s">
        <v>38</v>
      </c>
      <c r="D286" s="4" t="s">
        <v>20</v>
      </c>
      <c r="E286" s="4" t="s">
        <v>36</v>
      </c>
      <c r="F286" s="4">
        <v>7</v>
      </c>
      <c r="G286" s="4">
        <v>439</v>
      </c>
      <c r="H286" s="4">
        <v>15</v>
      </c>
      <c r="I286" s="7">
        <v>46055</v>
      </c>
      <c r="J286" s="7">
        <v>46058</v>
      </c>
      <c r="K286" s="4" t="s">
        <v>79</v>
      </c>
      <c r="L286" s="4" t="str">
        <f t="shared" si="4"/>
        <v>Not Eligible</v>
      </c>
    </row>
    <row r="287" spans="1:12" x14ac:dyDescent="0.3">
      <c r="A287" s="9">
        <v>1286</v>
      </c>
      <c r="B287" s="9" t="s">
        <v>44</v>
      </c>
      <c r="C287" s="4" t="s">
        <v>23</v>
      </c>
      <c r="D287" s="4" t="s">
        <v>24</v>
      </c>
      <c r="E287" s="4" t="s">
        <v>11</v>
      </c>
      <c r="F287" s="4">
        <v>9</v>
      </c>
      <c r="G287" s="4">
        <v>1340</v>
      </c>
      <c r="H287" s="4">
        <v>2</v>
      </c>
      <c r="I287" s="7">
        <v>46168</v>
      </c>
      <c r="J287" s="7">
        <v>46173</v>
      </c>
      <c r="K287" s="4" t="s">
        <v>78</v>
      </c>
      <c r="L287" s="4" t="str">
        <f t="shared" si="4"/>
        <v>Not Eligible</v>
      </c>
    </row>
    <row r="288" spans="1:12" x14ac:dyDescent="0.3">
      <c r="A288" s="9">
        <v>1287</v>
      </c>
      <c r="B288" s="9" t="s">
        <v>56</v>
      </c>
      <c r="C288" s="4" t="s">
        <v>31</v>
      </c>
      <c r="D288" s="4" t="s">
        <v>20</v>
      </c>
      <c r="E288" s="4" t="s">
        <v>21</v>
      </c>
      <c r="F288" s="4">
        <v>15</v>
      </c>
      <c r="G288" s="4">
        <v>251</v>
      </c>
      <c r="H288" s="4">
        <v>2</v>
      </c>
      <c r="I288" s="7">
        <v>46116</v>
      </c>
      <c r="J288" s="7">
        <v>46122</v>
      </c>
      <c r="K288" s="4" t="s">
        <v>81</v>
      </c>
      <c r="L288" s="4" t="str">
        <f t="shared" si="4"/>
        <v>Not Eligible</v>
      </c>
    </row>
    <row r="289" spans="1:12" x14ac:dyDescent="0.3">
      <c r="A289" s="9">
        <v>1288</v>
      </c>
      <c r="B289" s="9" t="s">
        <v>52</v>
      </c>
      <c r="C289" s="4" t="s">
        <v>26</v>
      </c>
      <c r="D289" s="4" t="s">
        <v>34</v>
      </c>
      <c r="E289" s="4" t="s">
        <v>9</v>
      </c>
      <c r="F289" s="4">
        <v>14</v>
      </c>
      <c r="G289" s="4">
        <v>35601</v>
      </c>
      <c r="H289" s="4">
        <v>10</v>
      </c>
      <c r="I289" s="7">
        <v>46179</v>
      </c>
      <c r="J289" s="7">
        <v>46187</v>
      </c>
      <c r="K289" s="4" t="s">
        <v>49</v>
      </c>
      <c r="L289" s="4" t="str">
        <f t="shared" si="4"/>
        <v>Eligible</v>
      </c>
    </row>
    <row r="290" spans="1:12" x14ac:dyDescent="0.3">
      <c r="A290" s="9">
        <v>1289</v>
      </c>
      <c r="B290" s="9" t="s">
        <v>28</v>
      </c>
      <c r="C290" s="4" t="s">
        <v>26</v>
      </c>
      <c r="D290" s="4" t="s">
        <v>34</v>
      </c>
      <c r="E290" s="4" t="s">
        <v>6</v>
      </c>
      <c r="F290" s="4">
        <v>19</v>
      </c>
      <c r="G290" s="4">
        <v>25336</v>
      </c>
      <c r="H290" s="4">
        <v>2</v>
      </c>
      <c r="I290" s="7">
        <v>46122</v>
      </c>
      <c r="J290" s="7">
        <v>46130</v>
      </c>
      <c r="K290" s="4" t="s">
        <v>80</v>
      </c>
      <c r="L290" s="4" t="str">
        <f t="shared" si="4"/>
        <v>Not Eligible</v>
      </c>
    </row>
    <row r="291" spans="1:12" x14ac:dyDescent="0.3">
      <c r="A291" s="9">
        <v>1290</v>
      </c>
      <c r="B291" s="9" t="s">
        <v>28</v>
      </c>
      <c r="C291" s="4" t="s">
        <v>26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7">
        <v>46110</v>
      </c>
      <c r="J291" s="7">
        <v>46111</v>
      </c>
      <c r="K291" s="4" t="s">
        <v>49</v>
      </c>
      <c r="L291" s="4" t="str">
        <f t="shared" si="4"/>
        <v>Eligible</v>
      </c>
    </row>
    <row r="292" spans="1:12" x14ac:dyDescent="0.3">
      <c r="A292" s="9">
        <v>1291</v>
      </c>
      <c r="B292" s="9" t="s">
        <v>25</v>
      </c>
      <c r="C292" s="4" t="s">
        <v>23</v>
      </c>
      <c r="D292" s="4" t="s">
        <v>20</v>
      </c>
      <c r="E292" s="4" t="s">
        <v>36</v>
      </c>
      <c r="F292" s="4">
        <v>17</v>
      </c>
      <c r="G292" s="4">
        <v>415</v>
      </c>
      <c r="H292" s="4">
        <v>5</v>
      </c>
      <c r="I292" s="7">
        <v>46137</v>
      </c>
      <c r="J292" s="7">
        <v>46141</v>
      </c>
      <c r="K292" s="4" t="s">
        <v>79</v>
      </c>
      <c r="L292" s="4" t="str">
        <f t="shared" si="4"/>
        <v>Not Eligible</v>
      </c>
    </row>
    <row r="293" spans="1:12" x14ac:dyDescent="0.3">
      <c r="A293" s="9">
        <v>1292</v>
      </c>
      <c r="B293" s="9" t="s">
        <v>52</v>
      </c>
      <c r="C293" s="4" t="s">
        <v>33</v>
      </c>
      <c r="D293" s="4" t="s">
        <v>34</v>
      </c>
      <c r="E293" s="4" t="s">
        <v>12</v>
      </c>
      <c r="F293" s="4">
        <v>11</v>
      </c>
      <c r="G293" s="4">
        <v>25158</v>
      </c>
      <c r="H293" s="4">
        <v>5</v>
      </c>
      <c r="I293" s="7">
        <v>46186</v>
      </c>
      <c r="J293" s="7">
        <v>46193</v>
      </c>
      <c r="K293" s="4" t="s">
        <v>79</v>
      </c>
      <c r="L293" s="4" t="str">
        <f t="shared" si="4"/>
        <v>Not Eligible</v>
      </c>
    </row>
    <row r="294" spans="1:12" x14ac:dyDescent="0.3">
      <c r="A294" s="9">
        <v>1293</v>
      </c>
      <c r="B294" s="9" t="s">
        <v>47</v>
      </c>
      <c r="C294" s="4" t="s">
        <v>42</v>
      </c>
      <c r="D294" s="4" t="s">
        <v>24</v>
      </c>
      <c r="E294" s="4" t="s">
        <v>10</v>
      </c>
      <c r="F294" s="4">
        <v>7</v>
      </c>
      <c r="G294" s="4">
        <v>11481</v>
      </c>
      <c r="H294" s="4">
        <v>15</v>
      </c>
      <c r="I294" s="7">
        <v>46045</v>
      </c>
      <c r="J294" s="7">
        <v>46050</v>
      </c>
      <c r="K294" s="4" t="s">
        <v>79</v>
      </c>
      <c r="L294" s="4" t="str">
        <f t="shared" si="4"/>
        <v>Not Eligible</v>
      </c>
    </row>
    <row r="295" spans="1:12" x14ac:dyDescent="0.3">
      <c r="A295" s="9">
        <v>1294</v>
      </c>
      <c r="B295" s="9" t="s">
        <v>25</v>
      </c>
      <c r="C295" s="4" t="s">
        <v>19</v>
      </c>
      <c r="D295" s="4" t="s">
        <v>24</v>
      </c>
      <c r="E295" s="4" t="s">
        <v>7</v>
      </c>
      <c r="F295" s="4">
        <v>8</v>
      </c>
      <c r="G295" s="4">
        <v>14448</v>
      </c>
      <c r="H295" s="4">
        <v>10</v>
      </c>
      <c r="I295" s="7">
        <v>46181</v>
      </c>
      <c r="J295" s="7">
        <v>46189</v>
      </c>
      <c r="K295" s="4" t="s">
        <v>78</v>
      </c>
      <c r="L295" s="4" t="str">
        <f t="shared" si="4"/>
        <v>Not Eligible</v>
      </c>
    </row>
    <row r="296" spans="1:12" x14ac:dyDescent="0.3">
      <c r="A296" s="9">
        <v>1295</v>
      </c>
      <c r="B296" s="9" t="s">
        <v>50</v>
      </c>
      <c r="C296" s="4" t="s">
        <v>38</v>
      </c>
      <c r="D296" s="4" t="s">
        <v>24</v>
      </c>
      <c r="E296" s="4" t="s">
        <v>8</v>
      </c>
      <c r="F296" s="4">
        <v>16</v>
      </c>
      <c r="G296" s="4">
        <v>11935</v>
      </c>
      <c r="H296" s="4">
        <v>12</v>
      </c>
      <c r="I296" s="7">
        <v>46157</v>
      </c>
      <c r="J296" s="7">
        <v>46162</v>
      </c>
      <c r="K296" s="4" t="s">
        <v>78</v>
      </c>
      <c r="L296" s="4" t="str">
        <f t="shared" si="4"/>
        <v>Not Eligible</v>
      </c>
    </row>
    <row r="297" spans="1:12" x14ac:dyDescent="0.3">
      <c r="A297" s="9">
        <v>1296</v>
      </c>
      <c r="B297" s="9" t="s">
        <v>28</v>
      </c>
      <c r="C297" s="4" t="s">
        <v>38</v>
      </c>
      <c r="D297" s="4" t="s">
        <v>20</v>
      </c>
      <c r="E297" s="4" t="s">
        <v>48</v>
      </c>
      <c r="F297" s="4">
        <v>6</v>
      </c>
      <c r="G297" s="4">
        <v>201</v>
      </c>
      <c r="H297" s="4">
        <v>0</v>
      </c>
      <c r="I297" s="7">
        <v>46063</v>
      </c>
      <c r="J297" s="7">
        <v>46072</v>
      </c>
      <c r="K297" s="4" t="s">
        <v>81</v>
      </c>
      <c r="L297" s="4" t="str">
        <f t="shared" si="4"/>
        <v>Not Eligible</v>
      </c>
    </row>
    <row r="298" spans="1:12" x14ac:dyDescent="0.3">
      <c r="A298" s="9">
        <v>1297</v>
      </c>
      <c r="B298" s="9" t="s">
        <v>52</v>
      </c>
      <c r="C298" s="4" t="s">
        <v>27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7">
        <v>46178</v>
      </c>
      <c r="J298" s="7">
        <v>46187</v>
      </c>
      <c r="K298" s="4" t="s">
        <v>49</v>
      </c>
      <c r="L298" s="4" t="str">
        <f t="shared" si="4"/>
        <v>Eligible</v>
      </c>
    </row>
    <row r="299" spans="1:12" x14ac:dyDescent="0.3">
      <c r="A299" s="9">
        <v>1298</v>
      </c>
      <c r="B299" s="9" t="s">
        <v>25</v>
      </c>
      <c r="C299" s="4" t="s">
        <v>19</v>
      </c>
      <c r="D299" s="4" t="s">
        <v>34</v>
      </c>
      <c r="E299" s="4" t="s">
        <v>12</v>
      </c>
      <c r="F299" s="4">
        <v>19</v>
      </c>
      <c r="G299" s="4">
        <v>20745</v>
      </c>
      <c r="H299" s="4">
        <v>2</v>
      </c>
      <c r="I299" s="7">
        <v>46083</v>
      </c>
      <c r="J299" s="7">
        <v>46093</v>
      </c>
      <c r="K299" s="4" t="s">
        <v>80</v>
      </c>
      <c r="L299" s="4" t="str">
        <f t="shared" si="4"/>
        <v>Not Eligible</v>
      </c>
    </row>
    <row r="300" spans="1:12" x14ac:dyDescent="0.3">
      <c r="A300" s="9">
        <v>1299</v>
      </c>
      <c r="B300" s="9" t="s">
        <v>28</v>
      </c>
      <c r="C300" s="4" t="s">
        <v>23</v>
      </c>
      <c r="D300" s="4" t="s">
        <v>24</v>
      </c>
      <c r="E300" s="4" t="s">
        <v>11</v>
      </c>
      <c r="F300" s="4">
        <v>8</v>
      </c>
      <c r="G300" s="4">
        <v>8783</v>
      </c>
      <c r="H300" s="4">
        <v>2</v>
      </c>
      <c r="I300" s="7">
        <v>46123</v>
      </c>
      <c r="J300" s="7">
        <v>46132</v>
      </c>
      <c r="K300" s="4" t="s">
        <v>78</v>
      </c>
      <c r="L300" s="4" t="str">
        <f t="shared" si="4"/>
        <v>Not Eligible</v>
      </c>
    </row>
    <row r="301" spans="1:12" x14ac:dyDescent="0.3">
      <c r="A301" s="9">
        <v>1300</v>
      </c>
      <c r="B301" s="9" t="s">
        <v>45</v>
      </c>
      <c r="C301" s="4" t="s">
        <v>33</v>
      </c>
      <c r="D301" s="4" t="s">
        <v>34</v>
      </c>
      <c r="E301" s="4" t="s">
        <v>6</v>
      </c>
      <c r="F301" s="4">
        <v>20</v>
      </c>
      <c r="G301" s="4">
        <v>1392</v>
      </c>
      <c r="H301" s="4">
        <v>2</v>
      </c>
      <c r="I301" s="7">
        <v>46110</v>
      </c>
      <c r="J301" s="7">
        <v>46117</v>
      </c>
      <c r="K301" s="4" t="s">
        <v>80</v>
      </c>
      <c r="L301" s="4" t="str">
        <f t="shared" si="4"/>
        <v>Not Eligible</v>
      </c>
    </row>
    <row r="302" spans="1:12" x14ac:dyDescent="0.3">
      <c r="A302" s="9">
        <v>1301</v>
      </c>
      <c r="B302" s="9" t="s">
        <v>52</v>
      </c>
      <c r="C302" s="4" t="s">
        <v>23</v>
      </c>
      <c r="D302" s="4" t="s">
        <v>24</v>
      </c>
      <c r="E302" s="4" t="s">
        <v>8</v>
      </c>
      <c r="F302" s="4">
        <v>3</v>
      </c>
      <c r="G302" s="4">
        <v>7020</v>
      </c>
      <c r="H302" s="4">
        <v>10</v>
      </c>
      <c r="I302" s="7">
        <v>46028</v>
      </c>
      <c r="J302" s="7">
        <v>46038</v>
      </c>
      <c r="K302" s="4" t="s">
        <v>80</v>
      </c>
      <c r="L302" s="4" t="str">
        <f t="shared" si="4"/>
        <v>Not Eligible</v>
      </c>
    </row>
    <row r="303" spans="1:12" x14ac:dyDescent="0.3">
      <c r="A303" s="9">
        <v>1302</v>
      </c>
      <c r="B303" s="9" t="s">
        <v>54</v>
      </c>
      <c r="C303" s="4" t="s">
        <v>19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7">
        <v>46163</v>
      </c>
      <c r="J303" s="7">
        <v>46172</v>
      </c>
      <c r="K303" s="4" t="s">
        <v>80</v>
      </c>
      <c r="L303" s="4" t="str">
        <f t="shared" si="4"/>
        <v>Eligible</v>
      </c>
    </row>
    <row r="304" spans="1:12" x14ac:dyDescent="0.3">
      <c r="A304" s="9">
        <v>1303</v>
      </c>
      <c r="B304" s="9" t="s">
        <v>54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7">
        <v>46124</v>
      </c>
      <c r="J304" s="7">
        <v>46127</v>
      </c>
      <c r="K304" s="4" t="s">
        <v>78</v>
      </c>
      <c r="L304" s="4" t="str">
        <f t="shared" si="4"/>
        <v>Not Eligible</v>
      </c>
    </row>
    <row r="305" spans="1:12" x14ac:dyDescent="0.3">
      <c r="A305" s="9">
        <v>1304</v>
      </c>
      <c r="B305" s="9" t="s">
        <v>56</v>
      </c>
      <c r="C305" s="4" t="s">
        <v>27</v>
      </c>
      <c r="D305" s="4" t="s">
        <v>20</v>
      </c>
      <c r="E305" s="4" t="s">
        <v>36</v>
      </c>
      <c r="F305" s="4">
        <v>20</v>
      </c>
      <c r="G305" s="4">
        <v>368</v>
      </c>
      <c r="H305" s="4">
        <v>7</v>
      </c>
      <c r="I305" s="7">
        <v>46042</v>
      </c>
      <c r="J305" s="7">
        <v>46051</v>
      </c>
      <c r="K305" s="4" t="s">
        <v>81</v>
      </c>
      <c r="L305" s="4" t="str">
        <f t="shared" si="4"/>
        <v>Not Eligible</v>
      </c>
    </row>
    <row r="306" spans="1:12" x14ac:dyDescent="0.3">
      <c r="A306" s="9">
        <v>1305</v>
      </c>
      <c r="B306" s="9" t="s">
        <v>55</v>
      </c>
      <c r="C306" s="4" t="s">
        <v>31</v>
      </c>
      <c r="D306" s="4" t="s">
        <v>34</v>
      </c>
      <c r="E306" s="4" t="s">
        <v>9</v>
      </c>
      <c r="F306" s="4">
        <v>20</v>
      </c>
      <c r="G306" s="4">
        <v>31406</v>
      </c>
      <c r="H306" s="4">
        <v>15</v>
      </c>
      <c r="I306" s="7">
        <v>46146</v>
      </c>
      <c r="J306" s="7">
        <v>46154</v>
      </c>
      <c r="K306" s="4" t="s">
        <v>81</v>
      </c>
      <c r="L306" s="4" t="str">
        <f t="shared" si="4"/>
        <v>Eligible</v>
      </c>
    </row>
    <row r="307" spans="1:12" x14ac:dyDescent="0.3">
      <c r="A307" s="9">
        <v>1306</v>
      </c>
      <c r="B307" s="9" t="s">
        <v>52</v>
      </c>
      <c r="C307" s="4" t="s">
        <v>42</v>
      </c>
      <c r="D307" s="4" t="s">
        <v>20</v>
      </c>
      <c r="E307" s="4" t="s">
        <v>36</v>
      </c>
      <c r="F307" s="4">
        <v>1</v>
      </c>
      <c r="G307" s="4">
        <v>332</v>
      </c>
      <c r="H307" s="4">
        <v>0</v>
      </c>
      <c r="I307" s="7">
        <v>46191</v>
      </c>
      <c r="J307" s="7">
        <v>46194</v>
      </c>
      <c r="K307" s="4" t="s">
        <v>79</v>
      </c>
      <c r="L307" s="4" t="str">
        <f t="shared" si="4"/>
        <v>Not Eligible</v>
      </c>
    </row>
    <row r="308" spans="1:12" x14ac:dyDescent="0.3">
      <c r="A308" s="9">
        <v>1307</v>
      </c>
      <c r="B308" s="9" t="s">
        <v>54</v>
      </c>
      <c r="C308" s="4" t="s">
        <v>42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7">
        <v>46048</v>
      </c>
      <c r="J308" s="7">
        <v>46051</v>
      </c>
      <c r="K308" s="4" t="s">
        <v>81</v>
      </c>
      <c r="L308" s="4" t="str">
        <f t="shared" si="4"/>
        <v>Eligible</v>
      </c>
    </row>
    <row r="309" spans="1:12" x14ac:dyDescent="0.3">
      <c r="A309" s="9">
        <v>1308</v>
      </c>
      <c r="B309" s="9" t="s">
        <v>30</v>
      </c>
      <c r="C309" s="4" t="s">
        <v>26</v>
      </c>
      <c r="D309" s="4" t="s">
        <v>34</v>
      </c>
      <c r="E309" s="4" t="s">
        <v>40</v>
      </c>
      <c r="F309" s="4">
        <v>12</v>
      </c>
      <c r="G309" s="4">
        <v>66075</v>
      </c>
      <c r="H309" s="4">
        <v>5</v>
      </c>
      <c r="I309" s="7">
        <v>46129</v>
      </c>
      <c r="J309" s="7">
        <v>46135</v>
      </c>
      <c r="K309" s="4" t="s">
        <v>79</v>
      </c>
      <c r="L309" s="4" t="str">
        <f t="shared" si="4"/>
        <v>Not Eligible</v>
      </c>
    </row>
    <row r="310" spans="1:12" x14ac:dyDescent="0.3">
      <c r="A310" s="9">
        <v>1309</v>
      </c>
      <c r="B310" s="9" t="s">
        <v>49</v>
      </c>
      <c r="C310" s="4" t="s">
        <v>31</v>
      </c>
      <c r="D310" s="4" t="s">
        <v>20</v>
      </c>
      <c r="E310" s="4" t="s">
        <v>48</v>
      </c>
      <c r="F310" s="4">
        <v>2</v>
      </c>
      <c r="G310" s="4">
        <v>35</v>
      </c>
      <c r="H310" s="4">
        <v>5</v>
      </c>
      <c r="I310" s="7">
        <v>46197</v>
      </c>
      <c r="J310" s="7">
        <v>46198</v>
      </c>
      <c r="K310" s="4" t="s">
        <v>80</v>
      </c>
      <c r="L310" s="4" t="str">
        <f t="shared" si="4"/>
        <v>Not Eligible</v>
      </c>
    </row>
    <row r="311" spans="1:12" x14ac:dyDescent="0.3">
      <c r="A311" s="9">
        <v>1310</v>
      </c>
      <c r="B311" s="9" t="s">
        <v>47</v>
      </c>
      <c r="C311" s="4" t="s">
        <v>23</v>
      </c>
      <c r="D311" s="4" t="s">
        <v>24</v>
      </c>
      <c r="E311" s="4" t="s">
        <v>11</v>
      </c>
      <c r="F311" s="4">
        <v>19</v>
      </c>
      <c r="G311" s="4">
        <v>12691</v>
      </c>
      <c r="H311" s="4">
        <v>0</v>
      </c>
      <c r="I311" s="7">
        <v>46181</v>
      </c>
      <c r="J311" s="7">
        <v>46189</v>
      </c>
      <c r="K311" s="4" t="s">
        <v>49</v>
      </c>
      <c r="L311" s="4" t="str">
        <f t="shared" si="4"/>
        <v>Not Eligible</v>
      </c>
    </row>
    <row r="312" spans="1:12" x14ac:dyDescent="0.3">
      <c r="A312" s="9">
        <v>1311</v>
      </c>
      <c r="B312" s="9" t="s">
        <v>53</v>
      </c>
      <c r="C312" s="4" t="s">
        <v>19</v>
      </c>
      <c r="D312" s="4" t="s">
        <v>20</v>
      </c>
      <c r="E312" s="4" t="s">
        <v>21</v>
      </c>
      <c r="F312" s="4">
        <v>2</v>
      </c>
      <c r="G312" s="4">
        <v>209</v>
      </c>
      <c r="H312" s="4">
        <v>0</v>
      </c>
      <c r="I312" s="7">
        <v>46173</v>
      </c>
      <c r="J312" s="7">
        <v>46176</v>
      </c>
      <c r="K312" s="4" t="s">
        <v>79</v>
      </c>
      <c r="L312" s="4" t="str">
        <f t="shared" si="4"/>
        <v>Not Eligible</v>
      </c>
    </row>
    <row r="313" spans="1:12" x14ac:dyDescent="0.3">
      <c r="A313" s="9">
        <v>1312</v>
      </c>
      <c r="B313" s="9" t="s">
        <v>54</v>
      </c>
      <c r="C313" s="4" t="s">
        <v>26</v>
      </c>
      <c r="D313" s="4" t="s">
        <v>24</v>
      </c>
      <c r="E313" s="4" t="s">
        <v>11</v>
      </c>
      <c r="F313" s="4">
        <v>20</v>
      </c>
      <c r="G313" s="4">
        <v>3274</v>
      </c>
      <c r="H313" s="4">
        <v>2</v>
      </c>
      <c r="I313" s="7">
        <v>46148</v>
      </c>
      <c r="J313" s="7">
        <v>46156</v>
      </c>
      <c r="K313" s="4" t="s">
        <v>80</v>
      </c>
      <c r="L313" s="4" t="str">
        <f t="shared" si="4"/>
        <v>Not Eligible</v>
      </c>
    </row>
    <row r="314" spans="1:12" x14ac:dyDescent="0.3">
      <c r="A314" s="9">
        <v>1313</v>
      </c>
      <c r="B314" s="9" t="s">
        <v>56</v>
      </c>
      <c r="C314" s="4" t="s">
        <v>26</v>
      </c>
      <c r="D314" s="4" t="s">
        <v>24</v>
      </c>
      <c r="E314" s="4" t="s">
        <v>11</v>
      </c>
      <c r="F314" s="4">
        <v>6</v>
      </c>
      <c r="G314" s="4">
        <v>10864</v>
      </c>
      <c r="H314" s="4">
        <v>10</v>
      </c>
      <c r="I314" s="7">
        <v>46041</v>
      </c>
      <c r="J314" s="7">
        <v>46049</v>
      </c>
      <c r="K314" s="4" t="s">
        <v>78</v>
      </c>
      <c r="L314" s="4" t="str">
        <f t="shared" si="4"/>
        <v>Not Eligible</v>
      </c>
    </row>
    <row r="315" spans="1:12" x14ac:dyDescent="0.3">
      <c r="A315" s="9">
        <v>1314</v>
      </c>
      <c r="B315" s="9" t="s">
        <v>50</v>
      </c>
      <c r="C315" s="4" t="s">
        <v>33</v>
      </c>
      <c r="D315" s="4" t="s">
        <v>24</v>
      </c>
      <c r="E315" s="4" t="s">
        <v>7</v>
      </c>
      <c r="F315" s="4">
        <v>10</v>
      </c>
      <c r="G315" s="4">
        <v>6328</v>
      </c>
      <c r="H315" s="4">
        <v>2</v>
      </c>
      <c r="I315" s="7">
        <v>46196</v>
      </c>
      <c r="J315" s="7">
        <v>46197</v>
      </c>
      <c r="K315" s="4" t="s">
        <v>49</v>
      </c>
      <c r="L315" s="4" t="str">
        <f t="shared" si="4"/>
        <v>Not Eligible</v>
      </c>
    </row>
    <row r="316" spans="1:12" x14ac:dyDescent="0.3">
      <c r="A316" s="9">
        <v>1315</v>
      </c>
      <c r="B316" s="9" t="s">
        <v>47</v>
      </c>
      <c r="C316" s="4" t="s">
        <v>31</v>
      </c>
      <c r="D316" s="4" t="s">
        <v>34</v>
      </c>
      <c r="E316" s="4" t="s">
        <v>40</v>
      </c>
      <c r="F316" s="4">
        <v>14</v>
      </c>
      <c r="G316" s="4">
        <v>57670</v>
      </c>
      <c r="H316" s="4">
        <v>2</v>
      </c>
      <c r="I316" s="7">
        <v>46186</v>
      </c>
      <c r="J316" s="7">
        <v>46196</v>
      </c>
      <c r="K316" s="4" t="s">
        <v>78</v>
      </c>
      <c r="L316" s="4" t="str">
        <f t="shared" si="4"/>
        <v>Not Eligible</v>
      </c>
    </row>
    <row r="317" spans="1:12" x14ac:dyDescent="0.3">
      <c r="A317" s="9">
        <v>1316</v>
      </c>
      <c r="B317" s="9" t="s">
        <v>44</v>
      </c>
      <c r="C317" s="4" t="s">
        <v>19</v>
      </c>
      <c r="D317" s="4" t="s">
        <v>24</v>
      </c>
      <c r="E317" s="4" t="s">
        <v>8</v>
      </c>
      <c r="F317" s="4">
        <v>7</v>
      </c>
      <c r="G317" s="4">
        <v>9838</v>
      </c>
      <c r="H317" s="4">
        <v>7</v>
      </c>
      <c r="I317" s="7">
        <v>46078</v>
      </c>
      <c r="J317" s="7">
        <v>46085</v>
      </c>
      <c r="K317" s="4" t="s">
        <v>79</v>
      </c>
      <c r="L317" s="4" t="str">
        <f t="shared" si="4"/>
        <v>Not Eligible</v>
      </c>
    </row>
    <row r="318" spans="1:12" x14ac:dyDescent="0.3">
      <c r="A318" s="9">
        <v>1317</v>
      </c>
      <c r="B318" s="9" t="s">
        <v>56</v>
      </c>
      <c r="C318" s="4" t="s">
        <v>33</v>
      </c>
      <c r="D318" s="4" t="s">
        <v>34</v>
      </c>
      <c r="E318" s="4" t="s">
        <v>40</v>
      </c>
      <c r="F318" s="4">
        <v>7</v>
      </c>
      <c r="G318" s="4">
        <v>67339</v>
      </c>
      <c r="H318" s="4">
        <v>5</v>
      </c>
      <c r="I318" s="7">
        <v>46159</v>
      </c>
      <c r="J318" s="7">
        <v>46169</v>
      </c>
      <c r="K318" s="4" t="s">
        <v>81</v>
      </c>
      <c r="L318" s="4" t="str">
        <f t="shared" si="4"/>
        <v>Not Eligible</v>
      </c>
    </row>
    <row r="319" spans="1:12" x14ac:dyDescent="0.3">
      <c r="A319" s="9">
        <v>1318</v>
      </c>
      <c r="B319" s="9" t="s">
        <v>18</v>
      </c>
      <c r="C319" s="4" t="s">
        <v>42</v>
      </c>
      <c r="D319" s="4" t="s">
        <v>20</v>
      </c>
      <c r="E319" s="4" t="s">
        <v>48</v>
      </c>
      <c r="F319" s="4">
        <v>4</v>
      </c>
      <c r="G319" s="4">
        <v>38</v>
      </c>
      <c r="H319" s="4">
        <v>12</v>
      </c>
      <c r="I319" s="7">
        <v>46169</v>
      </c>
      <c r="J319" s="7">
        <v>46175</v>
      </c>
      <c r="K319" s="4" t="s">
        <v>49</v>
      </c>
      <c r="L319" s="4" t="str">
        <f t="shared" si="4"/>
        <v>Not Eligible</v>
      </c>
    </row>
    <row r="320" spans="1:12" x14ac:dyDescent="0.3">
      <c r="A320" s="9">
        <v>1319</v>
      </c>
      <c r="B320" s="9" t="s">
        <v>25</v>
      </c>
      <c r="C320" s="4" t="s">
        <v>23</v>
      </c>
      <c r="D320" s="4" t="s">
        <v>34</v>
      </c>
      <c r="E320" s="4" t="s">
        <v>12</v>
      </c>
      <c r="F320" s="4">
        <v>17</v>
      </c>
      <c r="G320" s="4">
        <v>58407</v>
      </c>
      <c r="H320" s="4">
        <v>7</v>
      </c>
      <c r="I320" s="7">
        <v>46094</v>
      </c>
      <c r="J320" s="7">
        <v>46102</v>
      </c>
      <c r="K320" s="4" t="s">
        <v>78</v>
      </c>
      <c r="L320" s="4" t="str">
        <f t="shared" si="4"/>
        <v>Not Eligible</v>
      </c>
    </row>
    <row r="321" spans="1:12" x14ac:dyDescent="0.3">
      <c r="A321" s="9">
        <v>1320</v>
      </c>
      <c r="B321" s="9" t="s">
        <v>45</v>
      </c>
      <c r="C321" s="4" t="s">
        <v>38</v>
      </c>
      <c r="D321" s="4" t="s">
        <v>20</v>
      </c>
      <c r="E321" s="4" t="s">
        <v>36</v>
      </c>
      <c r="F321" s="4">
        <v>20</v>
      </c>
      <c r="G321" s="4">
        <v>55</v>
      </c>
      <c r="H321" s="4">
        <v>7</v>
      </c>
      <c r="I321" s="7">
        <v>46183</v>
      </c>
      <c r="J321" s="7">
        <v>46186</v>
      </c>
      <c r="K321" s="4" t="s">
        <v>79</v>
      </c>
      <c r="L321" s="4" t="str">
        <f t="shared" si="4"/>
        <v>Not Eligible</v>
      </c>
    </row>
    <row r="322" spans="1:12" x14ac:dyDescent="0.3">
      <c r="A322" s="9">
        <v>1321</v>
      </c>
      <c r="B322" s="9" t="s">
        <v>32</v>
      </c>
      <c r="C322" s="4" t="s">
        <v>26</v>
      </c>
      <c r="D322" s="4" t="s">
        <v>24</v>
      </c>
      <c r="E322" s="4" t="s">
        <v>7</v>
      </c>
      <c r="F322" s="4">
        <v>8</v>
      </c>
      <c r="G322" s="4">
        <v>5619</v>
      </c>
      <c r="H322" s="4">
        <v>7</v>
      </c>
      <c r="I322" s="7">
        <v>46107</v>
      </c>
      <c r="J322" s="7">
        <v>46109</v>
      </c>
      <c r="K322" s="4" t="s">
        <v>81</v>
      </c>
      <c r="L322" s="4" t="str">
        <f t="shared" si="4"/>
        <v>Not Eligible</v>
      </c>
    </row>
    <row r="323" spans="1:12" x14ac:dyDescent="0.3">
      <c r="A323" s="9">
        <v>1322</v>
      </c>
      <c r="B323" s="9" t="s">
        <v>29</v>
      </c>
      <c r="C323" s="4" t="s">
        <v>19</v>
      </c>
      <c r="D323" s="4" t="s">
        <v>24</v>
      </c>
      <c r="E323" s="4" t="s">
        <v>10</v>
      </c>
      <c r="F323" s="4">
        <v>14</v>
      </c>
      <c r="G323" s="4">
        <v>9081</v>
      </c>
      <c r="H323" s="4">
        <v>15</v>
      </c>
      <c r="I323" s="7">
        <v>46141</v>
      </c>
      <c r="J323" s="7">
        <v>46146</v>
      </c>
      <c r="K323" s="4" t="s">
        <v>78</v>
      </c>
      <c r="L323" s="4" t="str">
        <f t="shared" ref="L323:L386" si="5">IF(AND(D323="Electronics", H323&gt;=10), "Eligible", "Not Eligible")</f>
        <v>Not Eligible</v>
      </c>
    </row>
    <row r="324" spans="1:12" x14ac:dyDescent="0.3">
      <c r="A324" s="9">
        <v>1323</v>
      </c>
      <c r="B324" s="9" t="s">
        <v>54</v>
      </c>
      <c r="C324" s="4" t="s">
        <v>38</v>
      </c>
      <c r="D324" s="4" t="s">
        <v>34</v>
      </c>
      <c r="E324" s="4" t="s">
        <v>12</v>
      </c>
      <c r="F324" s="4">
        <v>2</v>
      </c>
      <c r="G324" s="4">
        <v>32074</v>
      </c>
      <c r="H324" s="4">
        <v>10</v>
      </c>
      <c r="I324" s="7">
        <v>46073</v>
      </c>
      <c r="J324" s="7">
        <v>46078</v>
      </c>
      <c r="K324" s="4" t="s">
        <v>78</v>
      </c>
      <c r="L324" s="4" t="str">
        <f t="shared" si="5"/>
        <v>Eligible</v>
      </c>
    </row>
    <row r="325" spans="1:12" x14ac:dyDescent="0.3">
      <c r="A325" s="9">
        <v>1324</v>
      </c>
      <c r="B325" s="9" t="s">
        <v>32</v>
      </c>
      <c r="C325" s="4" t="s">
        <v>26</v>
      </c>
      <c r="D325" s="4" t="s">
        <v>24</v>
      </c>
      <c r="E325" s="4" t="s">
        <v>7</v>
      </c>
      <c r="F325" s="4">
        <v>1</v>
      </c>
      <c r="G325" s="4">
        <v>4286</v>
      </c>
      <c r="H325" s="4">
        <v>15</v>
      </c>
      <c r="I325" s="7">
        <v>46053</v>
      </c>
      <c r="J325" s="7">
        <v>46056</v>
      </c>
      <c r="K325" s="4" t="s">
        <v>79</v>
      </c>
      <c r="L325" s="4" t="str">
        <f t="shared" si="5"/>
        <v>Not Eligible</v>
      </c>
    </row>
    <row r="326" spans="1:12" x14ac:dyDescent="0.3">
      <c r="A326" s="9">
        <v>1325</v>
      </c>
      <c r="B326" s="9" t="s">
        <v>46</v>
      </c>
      <c r="C326" s="4" t="s">
        <v>42</v>
      </c>
      <c r="D326" s="4" t="s">
        <v>34</v>
      </c>
      <c r="E326" s="4" t="s">
        <v>5</v>
      </c>
      <c r="F326" s="4">
        <v>9</v>
      </c>
      <c r="G326" s="4">
        <v>58442</v>
      </c>
      <c r="H326" s="4">
        <v>12</v>
      </c>
      <c r="I326" s="7">
        <v>46076</v>
      </c>
      <c r="J326" s="7">
        <v>46085</v>
      </c>
      <c r="K326" s="4" t="s">
        <v>79</v>
      </c>
      <c r="L326" s="4" t="str">
        <f t="shared" si="5"/>
        <v>Eligible</v>
      </c>
    </row>
    <row r="327" spans="1:12" x14ac:dyDescent="0.3">
      <c r="A327" s="9">
        <v>1326</v>
      </c>
      <c r="B327" s="9" t="s">
        <v>28</v>
      </c>
      <c r="C327" s="4" t="s">
        <v>23</v>
      </c>
      <c r="D327" s="4" t="s">
        <v>24</v>
      </c>
      <c r="E327" s="4" t="s">
        <v>43</v>
      </c>
      <c r="F327" s="4">
        <v>18</v>
      </c>
      <c r="G327" s="4">
        <v>1830</v>
      </c>
      <c r="H327" s="4">
        <v>10</v>
      </c>
      <c r="I327" s="7">
        <v>46165</v>
      </c>
      <c r="J327" s="7">
        <v>46172</v>
      </c>
      <c r="K327" s="4" t="s">
        <v>78</v>
      </c>
      <c r="L327" s="4" t="str">
        <f t="shared" si="5"/>
        <v>Not Eligible</v>
      </c>
    </row>
    <row r="328" spans="1:12" x14ac:dyDescent="0.3">
      <c r="A328" s="9">
        <v>1327</v>
      </c>
      <c r="B328" s="9" t="s">
        <v>46</v>
      </c>
      <c r="C328" s="4" t="s">
        <v>19</v>
      </c>
      <c r="D328" s="4" t="s">
        <v>20</v>
      </c>
      <c r="E328" s="4" t="s">
        <v>51</v>
      </c>
      <c r="F328" s="4">
        <v>15</v>
      </c>
      <c r="G328" s="4">
        <v>449</v>
      </c>
      <c r="H328" s="4">
        <v>5</v>
      </c>
      <c r="I328" s="7">
        <v>46152</v>
      </c>
      <c r="J328" s="7">
        <v>46153</v>
      </c>
      <c r="K328" s="4" t="s">
        <v>78</v>
      </c>
      <c r="L328" s="4" t="str">
        <f t="shared" si="5"/>
        <v>Not Eligible</v>
      </c>
    </row>
    <row r="329" spans="1:12" x14ac:dyDescent="0.3">
      <c r="A329" s="9">
        <v>1328</v>
      </c>
      <c r="B329" s="9" t="s">
        <v>22</v>
      </c>
      <c r="C329" s="4" t="s">
        <v>38</v>
      </c>
      <c r="D329" s="4" t="s">
        <v>20</v>
      </c>
      <c r="E329" s="4" t="s">
        <v>36</v>
      </c>
      <c r="F329" s="4">
        <v>4</v>
      </c>
      <c r="G329" s="4">
        <v>132</v>
      </c>
      <c r="H329" s="4">
        <v>0</v>
      </c>
      <c r="I329" s="7">
        <v>46109</v>
      </c>
      <c r="J329" s="7">
        <v>46114</v>
      </c>
      <c r="K329" s="4" t="s">
        <v>49</v>
      </c>
      <c r="L329" s="4" t="str">
        <f t="shared" si="5"/>
        <v>Not Eligible</v>
      </c>
    </row>
    <row r="330" spans="1:12" x14ac:dyDescent="0.3">
      <c r="A330" s="9">
        <v>1329</v>
      </c>
      <c r="B330" s="9" t="s">
        <v>30</v>
      </c>
      <c r="C330" s="4" t="s">
        <v>42</v>
      </c>
      <c r="D330" s="4" t="s">
        <v>20</v>
      </c>
      <c r="E330" s="4" t="s">
        <v>51</v>
      </c>
      <c r="F330" s="4">
        <v>18</v>
      </c>
      <c r="G330" s="4">
        <v>227</v>
      </c>
      <c r="H330" s="4">
        <v>5</v>
      </c>
      <c r="I330" s="7">
        <v>46126</v>
      </c>
      <c r="J330" s="7">
        <v>46136</v>
      </c>
      <c r="K330" s="4" t="s">
        <v>49</v>
      </c>
      <c r="L330" s="4" t="str">
        <f t="shared" si="5"/>
        <v>Not Eligible</v>
      </c>
    </row>
    <row r="331" spans="1:12" x14ac:dyDescent="0.3">
      <c r="A331" s="9">
        <v>1330</v>
      </c>
      <c r="B331" s="9" t="s">
        <v>47</v>
      </c>
      <c r="C331" s="4" t="s">
        <v>23</v>
      </c>
      <c r="D331" s="4" t="s">
        <v>24</v>
      </c>
      <c r="E331" s="4" t="s">
        <v>7</v>
      </c>
      <c r="F331" s="4">
        <v>13</v>
      </c>
      <c r="G331" s="4">
        <v>12071</v>
      </c>
      <c r="H331" s="4">
        <v>0</v>
      </c>
      <c r="I331" s="7">
        <v>46032</v>
      </c>
      <c r="J331" s="7">
        <v>46036</v>
      </c>
      <c r="K331" s="4" t="s">
        <v>81</v>
      </c>
      <c r="L331" s="4" t="str">
        <f t="shared" si="5"/>
        <v>Not Eligible</v>
      </c>
    </row>
    <row r="332" spans="1:12" x14ac:dyDescent="0.3">
      <c r="A332" s="9">
        <v>1331</v>
      </c>
      <c r="B332" s="9" t="s">
        <v>25</v>
      </c>
      <c r="C332" s="4" t="s">
        <v>27</v>
      </c>
      <c r="D332" s="4" t="s">
        <v>34</v>
      </c>
      <c r="E332" s="4" t="s">
        <v>12</v>
      </c>
      <c r="F332" s="4">
        <v>2</v>
      </c>
      <c r="G332" s="4">
        <v>43557</v>
      </c>
      <c r="H332" s="4">
        <v>2</v>
      </c>
      <c r="I332" s="7">
        <v>46190</v>
      </c>
      <c r="J332" s="7">
        <v>46200</v>
      </c>
      <c r="K332" s="4" t="s">
        <v>78</v>
      </c>
      <c r="L332" s="4" t="str">
        <f t="shared" si="5"/>
        <v>Not Eligible</v>
      </c>
    </row>
    <row r="333" spans="1:12" x14ac:dyDescent="0.3">
      <c r="A333" s="9">
        <v>1332</v>
      </c>
      <c r="B333" s="9" t="s">
        <v>49</v>
      </c>
      <c r="C333" s="4" t="s">
        <v>42</v>
      </c>
      <c r="D333" s="4" t="s">
        <v>20</v>
      </c>
      <c r="E333" s="4" t="s">
        <v>48</v>
      </c>
      <c r="F333" s="4">
        <v>7</v>
      </c>
      <c r="G333" s="4">
        <v>439</v>
      </c>
      <c r="H333" s="4">
        <v>2</v>
      </c>
      <c r="I333" s="7">
        <v>46154</v>
      </c>
      <c r="J333" s="7">
        <v>46157</v>
      </c>
      <c r="K333" s="4" t="s">
        <v>78</v>
      </c>
      <c r="L333" s="4" t="str">
        <f t="shared" si="5"/>
        <v>Not Eligible</v>
      </c>
    </row>
    <row r="334" spans="1:12" x14ac:dyDescent="0.3">
      <c r="A334" s="9">
        <v>1333</v>
      </c>
      <c r="B334" s="9" t="s">
        <v>49</v>
      </c>
      <c r="C334" s="4" t="s">
        <v>38</v>
      </c>
      <c r="D334" s="4" t="s">
        <v>20</v>
      </c>
      <c r="E334" s="4" t="s">
        <v>51</v>
      </c>
      <c r="F334" s="4">
        <v>20</v>
      </c>
      <c r="G334" s="4">
        <v>416</v>
      </c>
      <c r="H334" s="4">
        <v>12</v>
      </c>
      <c r="I334" s="7">
        <v>46145</v>
      </c>
      <c r="J334" s="7">
        <v>46146</v>
      </c>
      <c r="K334" s="4" t="s">
        <v>81</v>
      </c>
      <c r="L334" s="4" t="str">
        <f t="shared" si="5"/>
        <v>Not Eligible</v>
      </c>
    </row>
    <row r="335" spans="1:12" x14ac:dyDescent="0.3">
      <c r="A335" s="9">
        <v>1334</v>
      </c>
      <c r="B335" s="9" t="s">
        <v>39</v>
      </c>
      <c r="C335" s="4" t="s">
        <v>19</v>
      </c>
      <c r="D335" s="4" t="s">
        <v>34</v>
      </c>
      <c r="E335" s="4" t="s">
        <v>40</v>
      </c>
      <c r="F335" s="4">
        <v>15</v>
      </c>
      <c r="G335" s="4">
        <v>39853</v>
      </c>
      <c r="H335" s="4">
        <v>7</v>
      </c>
      <c r="I335" s="7">
        <v>46038</v>
      </c>
      <c r="J335" s="7">
        <v>46047</v>
      </c>
      <c r="K335" s="4" t="s">
        <v>81</v>
      </c>
      <c r="L335" s="4" t="str">
        <f t="shared" si="5"/>
        <v>Not Eligible</v>
      </c>
    </row>
    <row r="336" spans="1:12" x14ac:dyDescent="0.3">
      <c r="A336" s="9">
        <v>1335</v>
      </c>
      <c r="B336" s="9" t="s">
        <v>45</v>
      </c>
      <c r="C336" s="4" t="s">
        <v>23</v>
      </c>
      <c r="D336" s="4" t="s">
        <v>24</v>
      </c>
      <c r="E336" s="4" t="s">
        <v>7</v>
      </c>
      <c r="F336" s="4">
        <v>9</v>
      </c>
      <c r="G336" s="4">
        <v>1495</v>
      </c>
      <c r="H336" s="4">
        <v>12</v>
      </c>
      <c r="I336" s="7">
        <v>46168</v>
      </c>
      <c r="J336" s="7">
        <v>46173</v>
      </c>
      <c r="K336" s="4" t="s">
        <v>78</v>
      </c>
      <c r="L336" s="4" t="str">
        <f t="shared" si="5"/>
        <v>Not Eligible</v>
      </c>
    </row>
    <row r="337" spans="1:12" x14ac:dyDescent="0.3">
      <c r="A337" s="9">
        <v>1336</v>
      </c>
      <c r="B337" s="9" t="s">
        <v>22</v>
      </c>
      <c r="C337" s="4" t="s">
        <v>27</v>
      </c>
      <c r="D337" s="4" t="s">
        <v>24</v>
      </c>
      <c r="E337" s="4" t="s">
        <v>11</v>
      </c>
      <c r="F337" s="4">
        <v>10</v>
      </c>
      <c r="G337" s="4">
        <v>5624</v>
      </c>
      <c r="H337" s="4">
        <v>0</v>
      </c>
      <c r="I337" s="7">
        <v>46086</v>
      </c>
      <c r="J337" s="7">
        <v>46092</v>
      </c>
      <c r="K337" s="4" t="s">
        <v>49</v>
      </c>
      <c r="L337" s="4" t="str">
        <f t="shared" si="5"/>
        <v>Not Eligible</v>
      </c>
    </row>
    <row r="338" spans="1:12" x14ac:dyDescent="0.3">
      <c r="A338" s="9">
        <v>1337</v>
      </c>
      <c r="B338" s="9" t="s">
        <v>22</v>
      </c>
      <c r="C338" s="4" t="s">
        <v>19</v>
      </c>
      <c r="D338" s="4" t="s">
        <v>20</v>
      </c>
      <c r="E338" s="4" t="s">
        <v>51</v>
      </c>
      <c r="F338" s="4">
        <v>14</v>
      </c>
      <c r="G338" s="4">
        <v>373</v>
      </c>
      <c r="H338" s="4">
        <v>10</v>
      </c>
      <c r="I338" s="7">
        <v>46074</v>
      </c>
      <c r="J338" s="7">
        <v>46080</v>
      </c>
      <c r="K338" s="4" t="s">
        <v>49</v>
      </c>
      <c r="L338" s="4" t="str">
        <f t="shared" si="5"/>
        <v>Not Eligible</v>
      </c>
    </row>
    <row r="339" spans="1:12" x14ac:dyDescent="0.3">
      <c r="A339" s="9">
        <v>1338</v>
      </c>
      <c r="B339" s="9" t="s">
        <v>56</v>
      </c>
      <c r="C339" s="4" t="s">
        <v>27</v>
      </c>
      <c r="D339" s="4" t="s">
        <v>34</v>
      </c>
      <c r="E339" s="4" t="s">
        <v>9</v>
      </c>
      <c r="F339" s="4">
        <v>10</v>
      </c>
      <c r="G339" s="4">
        <v>16719</v>
      </c>
      <c r="H339" s="4">
        <v>5</v>
      </c>
      <c r="I339" s="7">
        <v>46177</v>
      </c>
      <c r="J339" s="7">
        <v>46179</v>
      </c>
      <c r="K339" s="4" t="s">
        <v>78</v>
      </c>
      <c r="L339" s="4" t="str">
        <f t="shared" si="5"/>
        <v>Not Eligible</v>
      </c>
    </row>
    <row r="340" spans="1:12" x14ac:dyDescent="0.3">
      <c r="A340" s="9">
        <v>1339</v>
      </c>
      <c r="B340" s="9" t="s">
        <v>32</v>
      </c>
      <c r="C340" s="4" t="s">
        <v>27</v>
      </c>
      <c r="D340" s="4" t="s">
        <v>20</v>
      </c>
      <c r="E340" s="4" t="s">
        <v>21</v>
      </c>
      <c r="F340" s="4">
        <v>6</v>
      </c>
      <c r="G340" s="4">
        <v>302</v>
      </c>
      <c r="H340" s="4">
        <v>5</v>
      </c>
      <c r="I340" s="7">
        <v>46142</v>
      </c>
      <c r="J340" s="7">
        <v>46148</v>
      </c>
      <c r="K340" s="4" t="s">
        <v>79</v>
      </c>
      <c r="L340" s="4" t="str">
        <f t="shared" si="5"/>
        <v>Not Eligible</v>
      </c>
    </row>
    <row r="341" spans="1:12" x14ac:dyDescent="0.3">
      <c r="A341" s="9">
        <v>1340</v>
      </c>
      <c r="B341" s="9" t="s">
        <v>46</v>
      </c>
      <c r="C341" s="4" t="s">
        <v>23</v>
      </c>
      <c r="D341" s="4" t="s">
        <v>24</v>
      </c>
      <c r="E341" s="4" t="s">
        <v>7</v>
      </c>
      <c r="F341" s="4">
        <v>12</v>
      </c>
      <c r="G341" s="4">
        <v>3857</v>
      </c>
      <c r="H341" s="4">
        <v>12</v>
      </c>
      <c r="I341" s="7">
        <v>46196</v>
      </c>
      <c r="J341" s="7">
        <v>46198</v>
      </c>
      <c r="K341" s="4" t="s">
        <v>81</v>
      </c>
      <c r="L341" s="4" t="str">
        <f t="shared" si="5"/>
        <v>Not Eligible</v>
      </c>
    </row>
    <row r="342" spans="1:12" x14ac:dyDescent="0.3">
      <c r="A342" s="9">
        <v>1341</v>
      </c>
      <c r="B342" s="9" t="s">
        <v>54</v>
      </c>
      <c r="C342" s="4" t="s">
        <v>38</v>
      </c>
      <c r="D342" s="4" t="s">
        <v>24</v>
      </c>
      <c r="E342" s="4" t="s">
        <v>7</v>
      </c>
      <c r="F342" s="4">
        <v>19</v>
      </c>
      <c r="G342" s="4">
        <v>6488</v>
      </c>
      <c r="H342" s="4">
        <v>15</v>
      </c>
      <c r="I342" s="7">
        <v>46026</v>
      </c>
      <c r="J342" s="7">
        <v>46030</v>
      </c>
      <c r="K342" s="4" t="s">
        <v>79</v>
      </c>
      <c r="L342" s="4" t="str">
        <f t="shared" si="5"/>
        <v>Not Eligible</v>
      </c>
    </row>
    <row r="343" spans="1:12" x14ac:dyDescent="0.3">
      <c r="A343" s="9">
        <v>1342</v>
      </c>
      <c r="B343" s="9" t="s">
        <v>56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7">
        <v>46132</v>
      </c>
      <c r="J343" s="7">
        <v>46139</v>
      </c>
      <c r="K343" s="4" t="s">
        <v>49</v>
      </c>
      <c r="L343" s="4" t="str">
        <f t="shared" si="5"/>
        <v>Eligible</v>
      </c>
    </row>
    <row r="344" spans="1:12" x14ac:dyDescent="0.3">
      <c r="A344" s="9">
        <v>1343</v>
      </c>
      <c r="B344" s="9" t="s">
        <v>56</v>
      </c>
      <c r="C344" s="4" t="s">
        <v>31</v>
      </c>
      <c r="D344" s="4" t="s">
        <v>34</v>
      </c>
      <c r="E344" s="4" t="s">
        <v>5</v>
      </c>
      <c r="F344" s="4">
        <v>14</v>
      </c>
      <c r="G344" s="4">
        <v>32719</v>
      </c>
      <c r="H344" s="4">
        <v>15</v>
      </c>
      <c r="I344" s="7">
        <v>46174</v>
      </c>
      <c r="J344" s="7">
        <v>46179</v>
      </c>
      <c r="K344" s="4" t="s">
        <v>78</v>
      </c>
      <c r="L344" s="4" t="str">
        <f t="shared" si="5"/>
        <v>Eligible</v>
      </c>
    </row>
    <row r="345" spans="1:12" x14ac:dyDescent="0.3">
      <c r="A345" s="9">
        <v>1344</v>
      </c>
      <c r="B345" s="9" t="s">
        <v>30</v>
      </c>
      <c r="C345" s="4" t="s">
        <v>23</v>
      </c>
      <c r="D345" s="4" t="s">
        <v>20</v>
      </c>
      <c r="E345" s="4" t="s">
        <v>51</v>
      </c>
      <c r="F345" s="4">
        <v>18</v>
      </c>
      <c r="G345" s="4">
        <v>240</v>
      </c>
      <c r="H345" s="4">
        <v>10</v>
      </c>
      <c r="I345" s="7">
        <v>46155</v>
      </c>
      <c r="J345" s="7">
        <v>46156</v>
      </c>
      <c r="K345" s="4" t="s">
        <v>80</v>
      </c>
      <c r="L345" s="4" t="str">
        <f t="shared" si="5"/>
        <v>Not Eligible</v>
      </c>
    </row>
    <row r="346" spans="1:12" x14ac:dyDescent="0.3">
      <c r="A346" s="9">
        <v>1345</v>
      </c>
      <c r="B346" s="9" t="s">
        <v>32</v>
      </c>
      <c r="C346" s="4" t="s">
        <v>19</v>
      </c>
      <c r="D346" s="4" t="s">
        <v>34</v>
      </c>
      <c r="E346" s="4" t="s">
        <v>6</v>
      </c>
      <c r="F346" s="4">
        <v>12</v>
      </c>
      <c r="G346" s="4">
        <v>50544</v>
      </c>
      <c r="H346" s="4">
        <v>10</v>
      </c>
      <c r="I346" s="7">
        <v>46095</v>
      </c>
      <c r="J346" s="7">
        <v>46097</v>
      </c>
      <c r="K346" s="4" t="s">
        <v>49</v>
      </c>
      <c r="L346" s="4" t="str">
        <f t="shared" si="5"/>
        <v>Eligible</v>
      </c>
    </row>
    <row r="347" spans="1:12" x14ac:dyDescent="0.3">
      <c r="A347" s="9">
        <v>1346</v>
      </c>
      <c r="B347" s="9" t="s">
        <v>32</v>
      </c>
      <c r="C347" s="4" t="s">
        <v>26</v>
      </c>
      <c r="D347" s="4" t="s">
        <v>24</v>
      </c>
      <c r="E347" s="4" t="s">
        <v>7</v>
      </c>
      <c r="F347" s="4">
        <v>16</v>
      </c>
      <c r="G347" s="4">
        <v>6910</v>
      </c>
      <c r="H347" s="4">
        <v>15</v>
      </c>
      <c r="I347" s="7">
        <v>46140</v>
      </c>
      <c r="J347" s="7">
        <v>46142</v>
      </c>
      <c r="K347" s="4" t="s">
        <v>49</v>
      </c>
      <c r="L347" s="4" t="str">
        <f t="shared" si="5"/>
        <v>Not Eligible</v>
      </c>
    </row>
    <row r="348" spans="1:12" x14ac:dyDescent="0.3">
      <c r="A348" s="9">
        <v>1347</v>
      </c>
      <c r="B348" s="9" t="s">
        <v>49</v>
      </c>
      <c r="C348" s="4" t="s">
        <v>26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7">
        <v>46037</v>
      </c>
      <c r="J348" s="7">
        <v>46044</v>
      </c>
      <c r="K348" s="4" t="s">
        <v>80</v>
      </c>
      <c r="L348" s="4" t="str">
        <f t="shared" si="5"/>
        <v>Eligible</v>
      </c>
    </row>
    <row r="349" spans="1:12" x14ac:dyDescent="0.3">
      <c r="A349" s="9">
        <v>1348</v>
      </c>
      <c r="B349" s="9" t="s">
        <v>18</v>
      </c>
      <c r="C349" s="4" t="s">
        <v>33</v>
      </c>
      <c r="D349" s="4" t="s">
        <v>20</v>
      </c>
      <c r="E349" s="4" t="s">
        <v>48</v>
      </c>
      <c r="F349" s="4">
        <v>12</v>
      </c>
      <c r="G349" s="4">
        <v>244</v>
      </c>
      <c r="H349" s="4">
        <v>7</v>
      </c>
      <c r="I349" s="7">
        <v>46048</v>
      </c>
      <c r="J349" s="7">
        <v>46053</v>
      </c>
      <c r="K349" s="4" t="s">
        <v>78</v>
      </c>
      <c r="L349" s="4" t="str">
        <f t="shared" si="5"/>
        <v>Not Eligible</v>
      </c>
    </row>
    <row r="350" spans="1:12" x14ac:dyDescent="0.3">
      <c r="A350" s="9">
        <v>1349</v>
      </c>
      <c r="B350" s="9" t="s">
        <v>39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7">
        <v>46079</v>
      </c>
      <c r="J350" s="7">
        <v>46083</v>
      </c>
      <c r="K350" s="4" t="s">
        <v>79</v>
      </c>
      <c r="L350" s="4" t="str">
        <f t="shared" si="5"/>
        <v>Not Eligible</v>
      </c>
    </row>
    <row r="351" spans="1:12" x14ac:dyDescent="0.3">
      <c r="A351" s="9">
        <v>1350</v>
      </c>
      <c r="B351" s="9" t="s">
        <v>28</v>
      </c>
      <c r="C351" s="4" t="s">
        <v>42</v>
      </c>
      <c r="D351" s="4" t="s">
        <v>24</v>
      </c>
      <c r="E351" s="4" t="s">
        <v>8</v>
      </c>
      <c r="F351" s="4">
        <v>16</v>
      </c>
      <c r="G351" s="4">
        <v>11790</v>
      </c>
      <c r="H351" s="4">
        <v>12</v>
      </c>
      <c r="I351" s="7">
        <v>46185</v>
      </c>
      <c r="J351" s="7">
        <v>46190</v>
      </c>
      <c r="K351" s="4" t="s">
        <v>49</v>
      </c>
      <c r="L351" s="4" t="str">
        <f t="shared" si="5"/>
        <v>Not Eligible</v>
      </c>
    </row>
    <row r="352" spans="1:12" x14ac:dyDescent="0.3">
      <c r="A352" s="9">
        <v>1351</v>
      </c>
      <c r="B352" s="9" t="s">
        <v>41</v>
      </c>
      <c r="C352" s="4" t="s">
        <v>33</v>
      </c>
      <c r="D352" s="4" t="s">
        <v>34</v>
      </c>
      <c r="E352" s="4" t="s">
        <v>6</v>
      </c>
      <c r="F352" s="4">
        <v>12</v>
      </c>
      <c r="G352" s="4">
        <v>1272</v>
      </c>
      <c r="H352" s="4">
        <v>0</v>
      </c>
      <c r="I352" s="7">
        <v>46026</v>
      </c>
      <c r="J352" s="7">
        <v>46029</v>
      </c>
      <c r="K352" s="4" t="s">
        <v>78</v>
      </c>
      <c r="L352" s="4" t="str">
        <f t="shared" si="5"/>
        <v>Not Eligible</v>
      </c>
    </row>
    <row r="353" spans="1:12" x14ac:dyDescent="0.3">
      <c r="A353" s="9">
        <v>1352</v>
      </c>
      <c r="B353" s="9" t="s">
        <v>52</v>
      </c>
      <c r="C353" s="4" t="s">
        <v>26</v>
      </c>
      <c r="D353" s="4" t="s">
        <v>20</v>
      </c>
      <c r="E353" s="4" t="s">
        <v>21</v>
      </c>
      <c r="F353" s="4">
        <v>12</v>
      </c>
      <c r="G353" s="4">
        <v>203</v>
      </c>
      <c r="H353" s="4">
        <v>5</v>
      </c>
      <c r="I353" s="7">
        <v>46024</v>
      </c>
      <c r="J353" s="7">
        <v>46033</v>
      </c>
      <c r="K353" s="4" t="s">
        <v>78</v>
      </c>
      <c r="L353" s="4" t="str">
        <f t="shared" si="5"/>
        <v>Not Eligible</v>
      </c>
    </row>
    <row r="354" spans="1:12" x14ac:dyDescent="0.3">
      <c r="A354" s="9">
        <v>1353</v>
      </c>
      <c r="B354" s="9" t="s">
        <v>45</v>
      </c>
      <c r="C354" s="4" t="s">
        <v>42</v>
      </c>
      <c r="D354" s="4" t="s">
        <v>20</v>
      </c>
      <c r="E354" s="4" t="s">
        <v>21</v>
      </c>
      <c r="F354" s="4">
        <v>6</v>
      </c>
      <c r="G354" s="4">
        <v>495</v>
      </c>
      <c r="H354" s="4">
        <v>2</v>
      </c>
      <c r="I354" s="7">
        <v>46194</v>
      </c>
      <c r="J354" s="7">
        <v>46200</v>
      </c>
      <c r="K354" s="4" t="s">
        <v>80</v>
      </c>
      <c r="L354" s="4" t="str">
        <f t="shared" si="5"/>
        <v>Not Eligible</v>
      </c>
    </row>
    <row r="355" spans="1:12" x14ac:dyDescent="0.3">
      <c r="A355" s="9">
        <v>1354</v>
      </c>
      <c r="B355" s="9" t="s">
        <v>45</v>
      </c>
      <c r="C355" s="4" t="s">
        <v>42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7">
        <v>46118</v>
      </c>
      <c r="J355" s="7">
        <v>46120</v>
      </c>
      <c r="K355" s="4" t="s">
        <v>81</v>
      </c>
      <c r="L355" s="4" t="str">
        <f t="shared" si="5"/>
        <v>Eligible</v>
      </c>
    </row>
    <row r="356" spans="1:12" x14ac:dyDescent="0.3">
      <c r="A356" s="9">
        <v>1355</v>
      </c>
      <c r="B356" s="9" t="s">
        <v>29</v>
      </c>
      <c r="C356" s="4" t="s">
        <v>19</v>
      </c>
      <c r="D356" s="4" t="s">
        <v>34</v>
      </c>
      <c r="E356" s="4" t="s">
        <v>9</v>
      </c>
      <c r="F356" s="4">
        <v>18</v>
      </c>
      <c r="G356" s="4">
        <v>35997</v>
      </c>
      <c r="H356" s="4">
        <v>2</v>
      </c>
      <c r="I356" s="7">
        <v>46024</v>
      </c>
      <c r="J356" s="7">
        <v>46031</v>
      </c>
      <c r="K356" s="4" t="s">
        <v>81</v>
      </c>
      <c r="L356" s="4" t="str">
        <f t="shared" si="5"/>
        <v>Not Eligible</v>
      </c>
    </row>
    <row r="357" spans="1:12" x14ac:dyDescent="0.3">
      <c r="A357" s="9">
        <v>1356</v>
      </c>
      <c r="B357" s="9" t="s">
        <v>28</v>
      </c>
      <c r="C357" s="4" t="s">
        <v>38</v>
      </c>
      <c r="D357" s="4" t="s">
        <v>34</v>
      </c>
      <c r="E357" s="4" t="s">
        <v>9</v>
      </c>
      <c r="F357" s="4">
        <v>16</v>
      </c>
      <c r="G357" s="4">
        <v>53457</v>
      </c>
      <c r="H357" s="4">
        <v>10</v>
      </c>
      <c r="I357" s="7">
        <v>46201</v>
      </c>
      <c r="J357" s="7">
        <v>46204</v>
      </c>
      <c r="K357" s="4" t="s">
        <v>78</v>
      </c>
      <c r="L357" s="4" t="str">
        <f t="shared" si="5"/>
        <v>Eligible</v>
      </c>
    </row>
    <row r="358" spans="1:12" x14ac:dyDescent="0.3">
      <c r="A358" s="9">
        <v>1357</v>
      </c>
      <c r="B358" s="9" t="s">
        <v>56</v>
      </c>
      <c r="C358" s="4" t="s">
        <v>27</v>
      </c>
      <c r="D358" s="4" t="s">
        <v>20</v>
      </c>
      <c r="E358" s="4" t="s">
        <v>37</v>
      </c>
      <c r="F358" s="4">
        <v>6</v>
      </c>
      <c r="G358" s="4">
        <v>365</v>
      </c>
      <c r="H358" s="4">
        <v>7</v>
      </c>
      <c r="I358" s="7">
        <v>46133</v>
      </c>
      <c r="J358" s="7">
        <v>46140</v>
      </c>
      <c r="K358" s="4" t="s">
        <v>81</v>
      </c>
      <c r="L358" s="4" t="str">
        <f t="shared" si="5"/>
        <v>Not Eligible</v>
      </c>
    </row>
    <row r="359" spans="1:12" x14ac:dyDescent="0.3">
      <c r="A359" s="9">
        <v>1358</v>
      </c>
      <c r="B359" s="9" t="s">
        <v>39</v>
      </c>
      <c r="C359" s="4" t="s">
        <v>38</v>
      </c>
      <c r="D359" s="4" t="s">
        <v>24</v>
      </c>
      <c r="E359" s="4" t="s">
        <v>7</v>
      </c>
      <c r="F359" s="4">
        <v>7</v>
      </c>
      <c r="G359" s="4">
        <v>6618</v>
      </c>
      <c r="H359" s="4">
        <v>0</v>
      </c>
      <c r="I359" s="7">
        <v>46127</v>
      </c>
      <c r="J359" s="7">
        <v>46129</v>
      </c>
      <c r="K359" s="4" t="s">
        <v>79</v>
      </c>
      <c r="L359" s="4" t="str">
        <f t="shared" si="5"/>
        <v>Not Eligible</v>
      </c>
    </row>
    <row r="360" spans="1:12" x14ac:dyDescent="0.3">
      <c r="A360" s="9">
        <v>1359</v>
      </c>
      <c r="B360" s="9" t="s">
        <v>52</v>
      </c>
      <c r="C360" s="4" t="s">
        <v>19</v>
      </c>
      <c r="D360" s="4" t="s">
        <v>34</v>
      </c>
      <c r="E360" s="4" t="s">
        <v>12</v>
      </c>
      <c r="F360" s="4">
        <v>9</v>
      </c>
      <c r="G360" s="4">
        <v>38179</v>
      </c>
      <c r="H360" s="4">
        <v>0</v>
      </c>
      <c r="I360" s="7">
        <v>46096</v>
      </c>
      <c r="J360" s="7">
        <v>46099</v>
      </c>
      <c r="K360" s="4" t="s">
        <v>78</v>
      </c>
      <c r="L360" s="4" t="str">
        <f t="shared" si="5"/>
        <v>Not Eligible</v>
      </c>
    </row>
    <row r="361" spans="1:12" x14ac:dyDescent="0.3">
      <c r="A361" s="9">
        <v>1360</v>
      </c>
      <c r="B361" s="9" t="s">
        <v>18</v>
      </c>
      <c r="C361" s="4" t="s">
        <v>42</v>
      </c>
      <c r="D361" s="4" t="s">
        <v>24</v>
      </c>
      <c r="E361" s="4" t="s">
        <v>10</v>
      </c>
      <c r="F361" s="4">
        <v>19</v>
      </c>
      <c r="G361" s="4">
        <v>6681</v>
      </c>
      <c r="H361" s="4">
        <v>2</v>
      </c>
      <c r="I361" s="7">
        <v>46146</v>
      </c>
      <c r="J361" s="7">
        <v>46150</v>
      </c>
      <c r="K361" s="4" t="s">
        <v>78</v>
      </c>
      <c r="L361" s="4" t="str">
        <f t="shared" si="5"/>
        <v>Not Eligible</v>
      </c>
    </row>
    <row r="362" spans="1:12" x14ac:dyDescent="0.3">
      <c r="A362" s="9">
        <v>1361</v>
      </c>
      <c r="B362" s="9" t="s">
        <v>41</v>
      </c>
      <c r="C362" s="4" t="s">
        <v>23</v>
      </c>
      <c r="D362" s="4" t="s">
        <v>24</v>
      </c>
      <c r="E362" s="4" t="s">
        <v>10</v>
      </c>
      <c r="F362" s="4">
        <v>2</v>
      </c>
      <c r="G362" s="4">
        <v>1822</v>
      </c>
      <c r="H362" s="4">
        <v>5</v>
      </c>
      <c r="I362" s="7">
        <v>46141</v>
      </c>
      <c r="J362" s="7">
        <v>46145</v>
      </c>
      <c r="K362" s="4" t="s">
        <v>79</v>
      </c>
      <c r="L362" s="4" t="str">
        <f t="shared" si="5"/>
        <v>Not Eligible</v>
      </c>
    </row>
    <row r="363" spans="1:12" x14ac:dyDescent="0.3">
      <c r="A363" s="9">
        <v>1362</v>
      </c>
      <c r="B363" s="9" t="s">
        <v>22</v>
      </c>
      <c r="C363" s="4" t="s">
        <v>19</v>
      </c>
      <c r="D363" s="4" t="s">
        <v>24</v>
      </c>
      <c r="E363" s="4" t="s">
        <v>8</v>
      </c>
      <c r="F363" s="4">
        <v>1</v>
      </c>
      <c r="G363" s="4">
        <v>10474</v>
      </c>
      <c r="H363" s="4">
        <v>0</v>
      </c>
      <c r="I363" s="7">
        <v>46094</v>
      </c>
      <c r="J363" s="7">
        <v>46096</v>
      </c>
      <c r="K363" s="4" t="s">
        <v>49</v>
      </c>
      <c r="L363" s="4" t="str">
        <f t="shared" si="5"/>
        <v>Not Eligible</v>
      </c>
    </row>
    <row r="364" spans="1:12" x14ac:dyDescent="0.3">
      <c r="A364" s="9">
        <v>1363</v>
      </c>
      <c r="B364" s="9" t="s">
        <v>29</v>
      </c>
      <c r="C364" s="4" t="s">
        <v>27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7">
        <v>46122</v>
      </c>
      <c r="J364" s="7">
        <v>46128</v>
      </c>
      <c r="K364" s="4" t="s">
        <v>78</v>
      </c>
      <c r="L364" s="4" t="str">
        <f t="shared" si="5"/>
        <v>Not Eligible</v>
      </c>
    </row>
    <row r="365" spans="1:12" x14ac:dyDescent="0.3">
      <c r="A365" s="9">
        <v>1364</v>
      </c>
      <c r="B365" s="9" t="s">
        <v>30</v>
      </c>
      <c r="C365" s="4" t="s">
        <v>26</v>
      </c>
      <c r="D365" s="4" t="s">
        <v>24</v>
      </c>
      <c r="E365" s="4" t="s">
        <v>11</v>
      </c>
      <c r="F365" s="4">
        <v>16</v>
      </c>
      <c r="G365" s="4">
        <v>1744</v>
      </c>
      <c r="H365" s="4">
        <v>15</v>
      </c>
      <c r="I365" s="7">
        <v>46031</v>
      </c>
      <c r="J365" s="7">
        <v>46033</v>
      </c>
      <c r="K365" s="4" t="s">
        <v>81</v>
      </c>
      <c r="L365" s="4" t="str">
        <f t="shared" si="5"/>
        <v>Not Eligible</v>
      </c>
    </row>
    <row r="366" spans="1:12" x14ac:dyDescent="0.3">
      <c r="A366" s="9">
        <v>1365</v>
      </c>
      <c r="B366" s="9" t="s">
        <v>44</v>
      </c>
      <c r="C366" s="4" t="s">
        <v>33</v>
      </c>
      <c r="D366" s="4" t="s">
        <v>20</v>
      </c>
      <c r="E366" s="4" t="s">
        <v>48</v>
      </c>
      <c r="F366" s="4">
        <v>17</v>
      </c>
      <c r="G366" s="4">
        <v>119</v>
      </c>
      <c r="H366" s="4">
        <v>7</v>
      </c>
      <c r="I366" s="7">
        <v>46070</v>
      </c>
      <c r="J366" s="7">
        <v>46072</v>
      </c>
      <c r="K366" s="4" t="s">
        <v>79</v>
      </c>
      <c r="L366" s="4" t="str">
        <f t="shared" si="5"/>
        <v>Not Eligible</v>
      </c>
    </row>
    <row r="367" spans="1:12" x14ac:dyDescent="0.3">
      <c r="A367" s="9">
        <v>1366</v>
      </c>
      <c r="B367" s="9" t="s">
        <v>28</v>
      </c>
      <c r="C367" s="4" t="s">
        <v>23</v>
      </c>
      <c r="D367" s="4" t="s">
        <v>34</v>
      </c>
      <c r="E367" s="4" t="s">
        <v>12</v>
      </c>
      <c r="F367" s="4">
        <v>20</v>
      </c>
      <c r="G367" s="4">
        <v>44312</v>
      </c>
      <c r="H367" s="4">
        <v>10</v>
      </c>
      <c r="I367" s="7">
        <v>46047</v>
      </c>
      <c r="J367" s="7">
        <v>46054</v>
      </c>
      <c r="K367" s="4" t="s">
        <v>49</v>
      </c>
      <c r="L367" s="4" t="str">
        <f t="shared" si="5"/>
        <v>Eligible</v>
      </c>
    </row>
    <row r="368" spans="1:12" x14ac:dyDescent="0.3">
      <c r="A368" s="9">
        <v>1367</v>
      </c>
      <c r="B368" s="9" t="s">
        <v>52</v>
      </c>
      <c r="C368" s="4" t="s">
        <v>27</v>
      </c>
      <c r="D368" s="4" t="s">
        <v>20</v>
      </c>
      <c r="E368" s="4" t="s">
        <v>51</v>
      </c>
      <c r="F368" s="4">
        <v>1</v>
      </c>
      <c r="G368" s="4">
        <v>371</v>
      </c>
      <c r="H368" s="4">
        <v>5</v>
      </c>
      <c r="I368" s="7">
        <v>46158</v>
      </c>
      <c r="J368" s="7">
        <v>46168</v>
      </c>
      <c r="K368" s="4" t="s">
        <v>49</v>
      </c>
      <c r="L368" s="4" t="str">
        <f t="shared" si="5"/>
        <v>Not Eligible</v>
      </c>
    </row>
    <row r="369" spans="1:12" x14ac:dyDescent="0.3">
      <c r="A369" s="9">
        <v>1368</v>
      </c>
      <c r="B369" s="9" t="s">
        <v>53</v>
      </c>
      <c r="C369" s="4" t="s">
        <v>38</v>
      </c>
      <c r="D369" s="4" t="s">
        <v>20</v>
      </c>
      <c r="E369" s="4" t="s">
        <v>36</v>
      </c>
      <c r="F369" s="4">
        <v>9</v>
      </c>
      <c r="G369" s="4">
        <v>115</v>
      </c>
      <c r="H369" s="4">
        <v>0</v>
      </c>
      <c r="I369" s="7">
        <v>46036</v>
      </c>
      <c r="J369" s="7">
        <v>46045</v>
      </c>
      <c r="K369" s="4" t="s">
        <v>80</v>
      </c>
      <c r="L369" s="4" t="str">
        <f t="shared" si="5"/>
        <v>Not Eligible</v>
      </c>
    </row>
    <row r="370" spans="1:12" x14ac:dyDescent="0.3">
      <c r="A370" s="9">
        <v>1369</v>
      </c>
      <c r="B370" s="9" t="s">
        <v>54</v>
      </c>
      <c r="C370" s="4" t="s">
        <v>27</v>
      </c>
      <c r="D370" s="4" t="s">
        <v>24</v>
      </c>
      <c r="E370" s="4" t="s">
        <v>7</v>
      </c>
      <c r="F370" s="4">
        <v>19</v>
      </c>
      <c r="G370" s="4">
        <v>5840</v>
      </c>
      <c r="H370" s="4">
        <v>5</v>
      </c>
      <c r="I370" s="7">
        <v>46062</v>
      </c>
      <c r="J370" s="7">
        <v>46067</v>
      </c>
      <c r="K370" s="4" t="s">
        <v>78</v>
      </c>
      <c r="L370" s="4" t="str">
        <f t="shared" si="5"/>
        <v>Not Eligible</v>
      </c>
    </row>
    <row r="371" spans="1:12" x14ac:dyDescent="0.3">
      <c r="A371" s="9">
        <v>1370</v>
      </c>
      <c r="B371" s="9" t="s">
        <v>56</v>
      </c>
      <c r="C371" s="4" t="s">
        <v>38</v>
      </c>
      <c r="D371" s="4" t="s">
        <v>20</v>
      </c>
      <c r="E371" s="4" t="s">
        <v>51</v>
      </c>
      <c r="F371" s="4">
        <v>13</v>
      </c>
      <c r="G371" s="4">
        <v>337</v>
      </c>
      <c r="H371" s="4">
        <v>7</v>
      </c>
      <c r="I371" s="7">
        <v>46184</v>
      </c>
      <c r="J371" s="7">
        <v>46188</v>
      </c>
      <c r="K371" s="4" t="s">
        <v>78</v>
      </c>
      <c r="L371" s="4" t="str">
        <f t="shared" si="5"/>
        <v>Not Eligible</v>
      </c>
    </row>
    <row r="372" spans="1:12" x14ac:dyDescent="0.3">
      <c r="A372" s="9">
        <v>1371</v>
      </c>
      <c r="B372" s="9" t="s">
        <v>46</v>
      </c>
      <c r="C372" s="4" t="s">
        <v>38</v>
      </c>
      <c r="D372" s="4" t="s">
        <v>24</v>
      </c>
      <c r="E372" s="4" t="s">
        <v>7</v>
      </c>
      <c r="F372" s="4">
        <v>19</v>
      </c>
      <c r="G372" s="4">
        <v>1087</v>
      </c>
      <c r="H372" s="4">
        <v>15</v>
      </c>
      <c r="I372" s="7">
        <v>46072</v>
      </c>
      <c r="J372" s="7">
        <v>46082</v>
      </c>
      <c r="K372" s="4" t="s">
        <v>79</v>
      </c>
      <c r="L372" s="4" t="str">
        <f t="shared" si="5"/>
        <v>Not Eligible</v>
      </c>
    </row>
    <row r="373" spans="1:12" x14ac:dyDescent="0.3">
      <c r="A373" s="9">
        <v>1372</v>
      </c>
      <c r="B373" s="9" t="s">
        <v>46</v>
      </c>
      <c r="C373" s="4" t="s">
        <v>23</v>
      </c>
      <c r="D373" s="4" t="s">
        <v>34</v>
      </c>
      <c r="E373" s="4" t="s">
        <v>5</v>
      </c>
      <c r="F373" s="4">
        <v>9</v>
      </c>
      <c r="G373" s="4">
        <v>9551</v>
      </c>
      <c r="H373" s="4">
        <v>10</v>
      </c>
      <c r="I373" s="7">
        <v>46161</v>
      </c>
      <c r="J373" s="7">
        <v>46168</v>
      </c>
      <c r="K373" s="4" t="s">
        <v>78</v>
      </c>
      <c r="L373" s="4" t="str">
        <f t="shared" si="5"/>
        <v>Eligible</v>
      </c>
    </row>
    <row r="374" spans="1:12" x14ac:dyDescent="0.3">
      <c r="A374" s="9">
        <v>1373</v>
      </c>
      <c r="B374" s="9" t="s">
        <v>52</v>
      </c>
      <c r="C374" s="4" t="s">
        <v>27</v>
      </c>
      <c r="D374" s="4" t="s">
        <v>34</v>
      </c>
      <c r="E374" s="4" t="s">
        <v>9</v>
      </c>
      <c r="F374" s="4">
        <v>11</v>
      </c>
      <c r="G374" s="4">
        <v>47930</v>
      </c>
      <c r="H374" s="4">
        <v>12</v>
      </c>
      <c r="I374" s="7">
        <v>46191</v>
      </c>
      <c r="J374" s="7">
        <v>46201</v>
      </c>
      <c r="K374" s="4" t="s">
        <v>79</v>
      </c>
      <c r="L374" s="4" t="str">
        <f t="shared" si="5"/>
        <v>Eligible</v>
      </c>
    </row>
    <row r="375" spans="1:12" x14ac:dyDescent="0.3">
      <c r="A375" s="9">
        <v>1374</v>
      </c>
      <c r="B375" s="9" t="s">
        <v>54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7">
        <v>46063</v>
      </c>
      <c r="J375" s="7">
        <v>46066</v>
      </c>
      <c r="K375" s="4" t="s">
        <v>81</v>
      </c>
      <c r="L375" s="4" t="str">
        <f t="shared" si="5"/>
        <v>Not Eligible</v>
      </c>
    </row>
    <row r="376" spans="1:12" x14ac:dyDescent="0.3">
      <c r="A376" s="9">
        <v>1375</v>
      </c>
      <c r="B376" s="9" t="s">
        <v>44</v>
      </c>
      <c r="C376" s="4" t="s">
        <v>42</v>
      </c>
      <c r="D376" s="4" t="s">
        <v>34</v>
      </c>
      <c r="E376" s="4" t="s">
        <v>6</v>
      </c>
      <c r="F376" s="4">
        <v>20</v>
      </c>
      <c r="G376" s="4">
        <v>56766</v>
      </c>
      <c r="H376" s="4">
        <v>0</v>
      </c>
      <c r="I376" s="7">
        <v>46052</v>
      </c>
      <c r="J376" s="7">
        <v>46061</v>
      </c>
      <c r="K376" s="4" t="s">
        <v>80</v>
      </c>
      <c r="L376" s="4" t="str">
        <f t="shared" si="5"/>
        <v>Not Eligible</v>
      </c>
    </row>
    <row r="377" spans="1:12" x14ac:dyDescent="0.3">
      <c r="A377" s="9">
        <v>1376</v>
      </c>
      <c r="B377" s="9" t="s">
        <v>50</v>
      </c>
      <c r="C377" s="4" t="s">
        <v>31</v>
      </c>
      <c r="D377" s="4" t="s">
        <v>20</v>
      </c>
      <c r="E377" s="4" t="s">
        <v>48</v>
      </c>
      <c r="F377" s="4">
        <v>20</v>
      </c>
      <c r="G377" s="4">
        <v>429</v>
      </c>
      <c r="H377" s="4">
        <v>5</v>
      </c>
      <c r="I377" s="7">
        <v>46178</v>
      </c>
      <c r="J377" s="7">
        <v>46184</v>
      </c>
      <c r="K377" s="4" t="s">
        <v>79</v>
      </c>
      <c r="L377" s="4" t="str">
        <f t="shared" si="5"/>
        <v>Not Eligible</v>
      </c>
    </row>
    <row r="378" spans="1:12" x14ac:dyDescent="0.3">
      <c r="A378" s="9">
        <v>1377</v>
      </c>
      <c r="B378" s="9" t="s">
        <v>32</v>
      </c>
      <c r="C378" s="4" t="s">
        <v>38</v>
      </c>
      <c r="D378" s="4" t="s">
        <v>24</v>
      </c>
      <c r="E378" s="4" t="s">
        <v>7</v>
      </c>
      <c r="F378" s="4">
        <v>3</v>
      </c>
      <c r="G378" s="4">
        <v>5480</v>
      </c>
      <c r="H378" s="4">
        <v>12</v>
      </c>
      <c r="I378" s="7">
        <v>46105</v>
      </c>
      <c r="J378" s="7">
        <v>46111</v>
      </c>
      <c r="K378" s="4" t="s">
        <v>80</v>
      </c>
      <c r="L378" s="4" t="str">
        <f t="shared" si="5"/>
        <v>Not Eligible</v>
      </c>
    </row>
    <row r="379" spans="1:12" x14ac:dyDescent="0.3">
      <c r="A379" s="9">
        <v>1378</v>
      </c>
      <c r="B379" s="9" t="s">
        <v>53</v>
      </c>
      <c r="C379" s="4" t="s">
        <v>26</v>
      </c>
      <c r="D379" s="4" t="s">
        <v>34</v>
      </c>
      <c r="E379" s="4" t="s">
        <v>6</v>
      </c>
      <c r="F379" s="4">
        <v>15</v>
      </c>
      <c r="G379" s="4">
        <v>22693</v>
      </c>
      <c r="H379" s="4">
        <v>12</v>
      </c>
      <c r="I379" s="7">
        <v>46074</v>
      </c>
      <c r="J379" s="7">
        <v>46080</v>
      </c>
      <c r="K379" s="4" t="s">
        <v>81</v>
      </c>
      <c r="L379" s="4" t="str">
        <f t="shared" si="5"/>
        <v>Eligible</v>
      </c>
    </row>
    <row r="380" spans="1:12" x14ac:dyDescent="0.3">
      <c r="A380" s="9">
        <v>1379</v>
      </c>
      <c r="B380" s="9" t="s">
        <v>45</v>
      </c>
      <c r="C380" s="4" t="s">
        <v>23</v>
      </c>
      <c r="D380" s="4" t="s">
        <v>20</v>
      </c>
      <c r="E380" s="4" t="s">
        <v>21</v>
      </c>
      <c r="F380" s="4">
        <v>11</v>
      </c>
      <c r="G380" s="4">
        <v>136</v>
      </c>
      <c r="H380" s="4">
        <v>15</v>
      </c>
      <c r="I380" s="7">
        <v>46106</v>
      </c>
      <c r="J380" s="7">
        <v>46107</v>
      </c>
      <c r="K380" s="4" t="s">
        <v>79</v>
      </c>
      <c r="L380" s="4" t="str">
        <f t="shared" si="5"/>
        <v>Not Eligible</v>
      </c>
    </row>
    <row r="381" spans="1:12" x14ac:dyDescent="0.3">
      <c r="A381" s="9">
        <v>1380</v>
      </c>
      <c r="B381" s="9" t="s">
        <v>50</v>
      </c>
      <c r="C381" s="4" t="s">
        <v>42</v>
      </c>
      <c r="D381" s="4" t="s">
        <v>20</v>
      </c>
      <c r="E381" s="4" t="s">
        <v>51</v>
      </c>
      <c r="F381" s="4">
        <v>3</v>
      </c>
      <c r="G381" s="4">
        <v>412</v>
      </c>
      <c r="H381" s="4">
        <v>7</v>
      </c>
      <c r="I381" s="7">
        <v>46128</v>
      </c>
      <c r="J381" s="7">
        <v>46138</v>
      </c>
      <c r="K381" s="4" t="s">
        <v>80</v>
      </c>
      <c r="L381" s="4" t="str">
        <f t="shared" si="5"/>
        <v>Not Eligible</v>
      </c>
    </row>
    <row r="382" spans="1:12" x14ac:dyDescent="0.3">
      <c r="A382" s="9">
        <v>1381</v>
      </c>
      <c r="B382" s="9" t="s">
        <v>53</v>
      </c>
      <c r="C382" s="4" t="s">
        <v>33</v>
      </c>
      <c r="D382" s="4" t="s">
        <v>24</v>
      </c>
      <c r="E382" s="4" t="s">
        <v>8</v>
      </c>
      <c r="F382" s="4">
        <v>5</v>
      </c>
      <c r="G382" s="4">
        <v>7484</v>
      </c>
      <c r="H382" s="4">
        <v>2</v>
      </c>
      <c r="I382" s="7">
        <v>46089</v>
      </c>
      <c r="J382" s="7">
        <v>46093</v>
      </c>
      <c r="K382" s="4" t="s">
        <v>79</v>
      </c>
      <c r="L382" s="4" t="str">
        <f t="shared" si="5"/>
        <v>Not Eligible</v>
      </c>
    </row>
    <row r="383" spans="1:12" x14ac:dyDescent="0.3">
      <c r="A383" s="9">
        <v>1382</v>
      </c>
      <c r="B383" s="9" t="s">
        <v>47</v>
      </c>
      <c r="C383" s="4" t="s">
        <v>33</v>
      </c>
      <c r="D383" s="4" t="s">
        <v>34</v>
      </c>
      <c r="E383" s="4" t="s">
        <v>9</v>
      </c>
      <c r="F383" s="4">
        <v>11</v>
      </c>
      <c r="G383" s="4">
        <v>36198</v>
      </c>
      <c r="H383" s="4">
        <v>0</v>
      </c>
      <c r="I383" s="7">
        <v>46130</v>
      </c>
      <c r="J383" s="7">
        <v>46134</v>
      </c>
      <c r="K383" s="4" t="s">
        <v>78</v>
      </c>
      <c r="L383" s="4" t="str">
        <f t="shared" si="5"/>
        <v>Not Eligible</v>
      </c>
    </row>
    <row r="384" spans="1:12" x14ac:dyDescent="0.3">
      <c r="A384" s="9">
        <v>1383</v>
      </c>
      <c r="B384" s="9" t="s">
        <v>32</v>
      </c>
      <c r="C384" s="4" t="s">
        <v>19</v>
      </c>
      <c r="D384" s="4" t="s">
        <v>20</v>
      </c>
      <c r="E384" s="4" t="s">
        <v>51</v>
      </c>
      <c r="F384" s="4">
        <v>14</v>
      </c>
      <c r="G384" s="4">
        <v>334</v>
      </c>
      <c r="H384" s="4">
        <v>10</v>
      </c>
      <c r="I384" s="7">
        <v>46196</v>
      </c>
      <c r="J384" s="7">
        <v>46203</v>
      </c>
      <c r="K384" s="4" t="s">
        <v>78</v>
      </c>
      <c r="L384" s="4" t="str">
        <f t="shared" si="5"/>
        <v>Not Eligible</v>
      </c>
    </row>
    <row r="385" spans="1:12" x14ac:dyDescent="0.3">
      <c r="A385" s="9">
        <v>1384</v>
      </c>
      <c r="B385" s="9" t="s">
        <v>56</v>
      </c>
      <c r="C385" s="4" t="s">
        <v>19</v>
      </c>
      <c r="D385" s="4" t="s">
        <v>34</v>
      </c>
      <c r="E385" s="4" t="s">
        <v>5</v>
      </c>
      <c r="F385" s="4">
        <v>15</v>
      </c>
      <c r="G385" s="4">
        <v>38116</v>
      </c>
      <c r="H385" s="4">
        <v>0</v>
      </c>
      <c r="I385" s="7">
        <v>46074</v>
      </c>
      <c r="J385" s="7">
        <v>46078</v>
      </c>
      <c r="K385" s="4" t="s">
        <v>49</v>
      </c>
      <c r="L385" s="4" t="str">
        <f t="shared" si="5"/>
        <v>Not Eligible</v>
      </c>
    </row>
    <row r="386" spans="1:12" x14ac:dyDescent="0.3">
      <c r="A386" s="9">
        <v>1385</v>
      </c>
      <c r="B386" s="9" t="s">
        <v>28</v>
      </c>
      <c r="C386" s="4" t="s">
        <v>33</v>
      </c>
      <c r="D386" s="4" t="s">
        <v>34</v>
      </c>
      <c r="E386" s="4" t="s">
        <v>5</v>
      </c>
      <c r="F386" s="4">
        <v>12</v>
      </c>
      <c r="G386" s="4">
        <v>61360</v>
      </c>
      <c r="H386" s="4">
        <v>10</v>
      </c>
      <c r="I386" s="7">
        <v>46048</v>
      </c>
      <c r="J386" s="7">
        <v>46053</v>
      </c>
      <c r="K386" s="4" t="s">
        <v>81</v>
      </c>
      <c r="L386" s="4" t="str">
        <f t="shared" si="5"/>
        <v>Eligible</v>
      </c>
    </row>
    <row r="387" spans="1:12" x14ac:dyDescent="0.3">
      <c r="A387" s="9">
        <v>1386</v>
      </c>
      <c r="B387" s="9" t="s">
        <v>29</v>
      </c>
      <c r="C387" s="4" t="s">
        <v>31</v>
      </c>
      <c r="D387" s="4" t="s">
        <v>24</v>
      </c>
      <c r="E387" s="4" t="s">
        <v>8</v>
      </c>
      <c r="F387" s="4">
        <v>9</v>
      </c>
      <c r="G387" s="4">
        <v>7509</v>
      </c>
      <c r="H387" s="4">
        <v>5</v>
      </c>
      <c r="I387" s="7">
        <v>46162</v>
      </c>
      <c r="J387" s="7">
        <v>46171</v>
      </c>
      <c r="K387" s="4" t="s">
        <v>81</v>
      </c>
      <c r="L387" s="4" t="str">
        <f t="shared" ref="L387:L401" si="6">IF(AND(D387="Electronics", H387&gt;=10), "Eligible", "Not Eligible")</f>
        <v>Not Eligible</v>
      </c>
    </row>
    <row r="388" spans="1:12" x14ac:dyDescent="0.3">
      <c r="A388" s="9">
        <v>1387</v>
      </c>
      <c r="B388" s="9" t="s">
        <v>52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7">
        <v>46102</v>
      </c>
      <c r="J388" s="7">
        <v>46112</v>
      </c>
      <c r="K388" s="4" t="s">
        <v>80</v>
      </c>
      <c r="L388" s="4" t="str">
        <f t="shared" si="6"/>
        <v>Not Eligible</v>
      </c>
    </row>
    <row r="389" spans="1:12" x14ac:dyDescent="0.3">
      <c r="A389" s="9">
        <v>1388</v>
      </c>
      <c r="B389" s="9" t="s">
        <v>53</v>
      </c>
      <c r="C389" s="4" t="s">
        <v>31</v>
      </c>
      <c r="D389" s="4" t="s">
        <v>24</v>
      </c>
      <c r="E389" s="4" t="s">
        <v>8</v>
      </c>
      <c r="F389" s="4">
        <v>12</v>
      </c>
      <c r="G389" s="4">
        <v>11662</v>
      </c>
      <c r="H389" s="4">
        <v>12</v>
      </c>
      <c r="I389" s="7">
        <v>46094</v>
      </c>
      <c r="J389" s="7">
        <v>46096</v>
      </c>
      <c r="K389" s="4" t="s">
        <v>79</v>
      </c>
      <c r="L389" s="4" t="str">
        <f t="shared" si="6"/>
        <v>Not Eligible</v>
      </c>
    </row>
    <row r="390" spans="1:12" x14ac:dyDescent="0.3">
      <c r="A390" s="9">
        <v>1389</v>
      </c>
      <c r="B390" s="9" t="s">
        <v>32</v>
      </c>
      <c r="C390" s="4" t="s">
        <v>19</v>
      </c>
      <c r="D390" s="4" t="s">
        <v>34</v>
      </c>
      <c r="E390" s="4" t="s">
        <v>40</v>
      </c>
      <c r="F390" s="4">
        <v>3</v>
      </c>
      <c r="G390" s="4">
        <v>56380</v>
      </c>
      <c r="H390" s="4">
        <v>5</v>
      </c>
      <c r="I390" s="7">
        <v>46044</v>
      </c>
      <c r="J390" s="7">
        <v>46048</v>
      </c>
      <c r="K390" s="4" t="s">
        <v>81</v>
      </c>
      <c r="L390" s="4" t="str">
        <f t="shared" si="6"/>
        <v>Not Eligible</v>
      </c>
    </row>
    <row r="391" spans="1:12" x14ac:dyDescent="0.3">
      <c r="A391" s="9">
        <v>1390</v>
      </c>
      <c r="B391" s="9" t="s">
        <v>55</v>
      </c>
      <c r="C391" s="4" t="s">
        <v>42</v>
      </c>
      <c r="D391" s="4" t="s">
        <v>24</v>
      </c>
      <c r="E391" s="4" t="s">
        <v>7</v>
      </c>
      <c r="F391" s="4">
        <v>9</v>
      </c>
      <c r="G391" s="4">
        <v>7670</v>
      </c>
      <c r="H391" s="4">
        <v>0</v>
      </c>
      <c r="I391" s="7">
        <v>46076</v>
      </c>
      <c r="J391" s="7">
        <v>46081</v>
      </c>
      <c r="K391" s="4" t="s">
        <v>81</v>
      </c>
      <c r="L391" s="4" t="str">
        <f t="shared" si="6"/>
        <v>Not Eligible</v>
      </c>
    </row>
    <row r="392" spans="1:12" x14ac:dyDescent="0.3">
      <c r="A392" s="9">
        <v>1391</v>
      </c>
      <c r="B392" s="9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7">
        <v>46100</v>
      </c>
      <c r="J392" s="7">
        <v>46103</v>
      </c>
      <c r="K392" s="4" t="s">
        <v>80</v>
      </c>
      <c r="L392" s="4" t="str">
        <f t="shared" si="6"/>
        <v>Not Eligible</v>
      </c>
    </row>
    <row r="393" spans="1:12" x14ac:dyDescent="0.3">
      <c r="A393" s="9">
        <v>1392</v>
      </c>
      <c r="B393" s="9" t="s">
        <v>49</v>
      </c>
      <c r="C393" s="4" t="s">
        <v>42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7">
        <v>46124</v>
      </c>
      <c r="J393" s="7">
        <v>46125</v>
      </c>
      <c r="K393" s="4" t="s">
        <v>49</v>
      </c>
      <c r="L393" s="4" t="str">
        <f t="shared" si="6"/>
        <v>Not Eligible</v>
      </c>
    </row>
    <row r="394" spans="1:12" x14ac:dyDescent="0.3">
      <c r="A394" s="9">
        <v>1393</v>
      </c>
      <c r="B394" s="9" t="s">
        <v>30</v>
      </c>
      <c r="C394" s="4" t="s">
        <v>27</v>
      </c>
      <c r="D394" s="4" t="s">
        <v>34</v>
      </c>
      <c r="E394" s="4" t="s">
        <v>6</v>
      </c>
      <c r="F394" s="4">
        <v>17</v>
      </c>
      <c r="G394" s="4">
        <v>30351</v>
      </c>
      <c r="H394" s="4">
        <v>15</v>
      </c>
      <c r="I394" s="7">
        <v>46047</v>
      </c>
      <c r="J394" s="7">
        <v>46051</v>
      </c>
      <c r="K394" s="4" t="s">
        <v>81</v>
      </c>
      <c r="L394" s="4" t="str">
        <f t="shared" si="6"/>
        <v>Eligible</v>
      </c>
    </row>
    <row r="395" spans="1:12" x14ac:dyDescent="0.3">
      <c r="A395" s="9">
        <v>1394</v>
      </c>
      <c r="B395" s="9" t="s">
        <v>52</v>
      </c>
      <c r="C395" s="4" t="s">
        <v>19</v>
      </c>
      <c r="D395" s="4" t="s">
        <v>20</v>
      </c>
      <c r="E395" s="4" t="s">
        <v>21</v>
      </c>
      <c r="F395" s="4">
        <v>10</v>
      </c>
      <c r="G395" s="4">
        <v>138</v>
      </c>
      <c r="H395" s="4">
        <v>2</v>
      </c>
      <c r="I395" s="7">
        <v>46056</v>
      </c>
      <c r="J395" s="7">
        <v>46057</v>
      </c>
      <c r="K395" s="4" t="s">
        <v>78</v>
      </c>
      <c r="L395" s="4" t="str">
        <f t="shared" si="6"/>
        <v>Not Eligible</v>
      </c>
    </row>
    <row r="396" spans="1:12" x14ac:dyDescent="0.3">
      <c r="A396" s="9">
        <v>1395</v>
      </c>
      <c r="B396" s="9" t="s">
        <v>52</v>
      </c>
      <c r="C396" s="4" t="s">
        <v>33</v>
      </c>
      <c r="D396" s="4" t="s">
        <v>24</v>
      </c>
      <c r="E396" s="4" t="s">
        <v>43</v>
      </c>
      <c r="F396" s="4">
        <v>18</v>
      </c>
      <c r="G396" s="4">
        <v>10402</v>
      </c>
      <c r="H396" s="4">
        <v>15</v>
      </c>
      <c r="I396" s="7">
        <v>46062</v>
      </c>
      <c r="J396" s="7">
        <v>46067</v>
      </c>
      <c r="K396" s="4" t="s">
        <v>49</v>
      </c>
      <c r="L396" s="4" t="str">
        <f t="shared" si="6"/>
        <v>Not Eligible</v>
      </c>
    </row>
    <row r="397" spans="1:12" x14ac:dyDescent="0.3">
      <c r="A397" s="9">
        <v>1396</v>
      </c>
      <c r="B397" s="9" t="s">
        <v>25</v>
      </c>
      <c r="C397" s="4" t="s">
        <v>38</v>
      </c>
      <c r="D397" s="4" t="s">
        <v>20</v>
      </c>
      <c r="E397" s="4" t="s">
        <v>51</v>
      </c>
      <c r="F397" s="4">
        <v>8</v>
      </c>
      <c r="G397" s="4">
        <v>54</v>
      </c>
      <c r="H397" s="4">
        <v>15</v>
      </c>
      <c r="I397" s="7">
        <v>46031</v>
      </c>
      <c r="J397" s="7">
        <v>46035</v>
      </c>
      <c r="K397" s="4" t="s">
        <v>78</v>
      </c>
      <c r="L397" s="4" t="str">
        <f t="shared" si="6"/>
        <v>Not Eligible</v>
      </c>
    </row>
    <row r="398" spans="1:12" x14ac:dyDescent="0.3">
      <c r="A398" s="9">
        <v>1397</v>
      </c>
      <c r="B398" s="9" t="s">
        <v>25</v>
      </c>
      <c r="C398" s="4" t="s">
        <v>33</v>
      </c>
      <c r="D398" s="4" t="s">
        <v>24</v>
      </c>
      <c r="E398" s="4" t="s">
        <v>10</v>
      </c>
      <c r="F398" s="4">
        <v>1</v>
      </c>
      <c r="G398" s="4">
        <v>8948</v>
      </c>
      <c r="H398" s="4">
        <v>5</v>
      </c>
      <c r="I398" s="7">
        <v>46194</v>
      </c>
      <c r="J398" s="7">
        <v>46201</v>
      </c>
      <c r="K398" s="4" t="s">
        <v>81</v>
      </c>
      <c r="L398" s="4" t="str">
        <f t="shared" si="6"/>
        <v>Not Eligible</v>
      </c>
    </row>
    <row r="399" spans="1:12" x14ac:dyDescent="0.3">
      <c r="A399" s="9">
        <v>1398</v>
      </c>
      <c r="B399" s="9" t="s">
        <v>55</v>
      </c>
      <c r="C399" s="4" t="s">
        <v>42</v>
      </c>
      <c r="D399" s="4" t="s">
        <v>34</v>
      </c>
      <c r="E399" s="4" t="s">
        <v>5</v>
      </c>
      <c r="F399" s="4">
        <v>12</v>
      </c>
      <c r="G399" s="4">
        <v>10668</v>
      </c>
      <c r="H399" s="4">
        <v>0</v>
      </c>
      <c r="I399" s="7">
        <v>46170</v>
      </c>
      <c r="J399" s="7">
        <v>46176</v>
      </c>
      <c r="K399" s="4" t="s">
        <v>78</v>
      </c>
      <c r="L399" s="4" t="str">
        <f t="shared" si="6"/>
        <v>Not Eligible</v>
      </c>
    </row>
    <row r="400" spans="1:12" x14ac:dyDescent="0.3">
      <c r="A400" s="9">
        <v>1399</v>
      </c>
      <c r="B400" s="9" t="s">
        <v>46</v>
      </c>
      <c r="C400" s="4" t="s">
        <v>31</v>
      </c>
      <c r="D400" s="4" t="s">
        <v>20</v>
      </c>
      <c r="E400" s="4" t="s">
        <v>21</v>
      </c>
      <c r="F400" s="4">
        <v>15</v>
      </c>
      <c r="G400" s="4">
        <v>87</v>
      </c>
      <c r="H400" s="4">
        <v>15</v>
      </c>
      <c r="I400" s="7">
        <v>46089</v>
      </c>
      <c r="J400" s="7">
        <v>46093</v>
      </c>
      <c r="K400" s="4" t="s">
        <v>79</v>
      </c>
      <c r="L400" s="4" t="str">
        <f t="shared" si="6"/>
        <v>Not Eligible</v>
      </c>
    </row>
    <row r="401" spans="1:12" x14ac:dyDescent="0.3">
      <c r="A401" s="9">
        <v>1400</v>
      </c>
      <c r="B401" s="9" t="s">
        <v>39</v>
      </c>
      <c r="C401" s="4" t="s">
        <v>26</v>
      </c>
      <c r="D401" s="4" t="s">
        <v>34</v>
      </c>
      <c r="E401" s="4" t="s">
        <v>35</v>
      </c>
      <c r="F401" s="4">
        <v>13</v>
      </c>
      <c r="G401" s="4">
        <v>52411</v>
      </c>
      <c r="H401" s="4">
        <v>15</v>
      </c>
      <c r="I401" s="7">
        <v>46090</v>
      </c>
      <c r="J401" s="7">
        <v>46092</v>
      </c>
      <c r="K401" s="4" t="s">
        <v>79</v>
      </c>
      <c r="L401" s="4" t="str">
        <f t="shared" si="6"/>
        <v>Eligible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95DC-1D55-4298-969B-B034B04C7FEE}">
  <dimension ref="A1:L401"/>
  <sheetViews>
    <sheetView workbookViewId="0">
      <pane ySplit="1" topLeftCell="A2" activePane="bottomLeft" state="frozen"/>
      <selection pane="bottomLeft" sqref="A1:L1"/>
    </sheetView>
  </sheetViews>
  <sheetFormatPr defaultRowHeight="14.4" x14ac:dyDescent="0.3"/>
  <cols>
    <col min="1" max="1" width="8.5546875" bestFit="1" customWidth="1"/>
    <col min="2" max="2" width="9.10937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.33203125" bestFit="1" customWidth="1"/>
    <col min="7" max="7" width="9.6640625" bestFit="1" customWidth="1"/>
    <col min="8" max="8" width="10.77734375" bestFit="1" customWidth="1"/>
    <col min="9" max="9" width="10.6640625" bestFit="1" customWidth="1"/>
    <col min="10" max="10" width="12.6640625" bestFit="1" customWidth="1"/>
    <col min="11" max="11" width="11" bestFit="1" customWidth="1"/>
    <col min="12" max="12" width="16.33203125" bestFit="1" customWidth="1"/>
  </cols>
  <sheetData>
    <row r="1" spans="1:12" x14ac:dyDescent="0.3">
      <c r="A1" s="11" t="s">
        <v>0</v>
      </c>
      <c r="B1" s="11" t="s">
        <v>13</v>
      </c>
      <c r="C1" s="10" t="s">
        <v>14</v>
      </c>
      <c r="D1" s="10" t="s">
        <v>15</v>
      </c>
      <c r="E1" s="10" t="s">
        <v>1</v>
      </c>
      <c r="F1" s="10" t="s">
        <v>4</v>
      </c>
      <c r="G1" s="10" t="s">
        <v>16</v>
      </c>
      <c r="H1" s="10" t="s">
        <v>17</v>
      </c>
      <c r="I1" s="10" t="s">
        <v>2</v>
      </c>
      <c r="J1" s="10" t="s">
        <v>3</v>
      </c>
      <c r="K1" s="13" t="s">
        <v>77</v>
      </c>
      <c r="L1" s="1" t="s">
        <v>64</v>
      </c>
    </row>
    <row r="2" spans="1:12" x14ac:dyDescent="0.3">
      <c r="A2" s="9">
        <v>1001</v>
      </c>
      <c r="B2" s="9" t="s">
        <v>18</v>
      </c>
      <c r="C2" s="4" t="s">
        <v>19</v>
      </c>
      <c r="D2" s="4" t="s">
        <v>20</v>
      </c>
      <c r="E2" s="4" t="s">
        <v>21</v>
      </c>
      <c r="F2" s="4">
        <v>3</v>
      </c>
      <c r="G2" s="4">
        <v>222</v>
      </c>
      <c r="H2" s="4">
        <v>15</v>
      </c>
      <c r="I2" s="7">
        <v>46081</v>
      </c>
      <c r="J2" s="7">
        <v>46083</v>
      </c>
      <c r="K2" s="4" t="s">
        <v>78</v>
      </c>
      <c r="L2" s="4" t="str">
        <f>IF(AND(C2="Mumbai",F2&gt;=15),"Priority Order","Normal")</f>
        <v>Normal</v>
      </c>
    </row>
    <row r="3" spans="1:12" x14ac:dyDescent="0.3">
      <c r="A3" s="9">
        <v>1002</v>
      </c>
      <c r="B3" s="9" t="s">
        <v>22</v>
      </c>
      <c r="C3" s="4" t="s">
        <v>23</v>
      </c>
      <c r="D3" s="4" t="s">
        <v>24</v>
      </c>
      <c r="E3" s="4" t="s">
        <v>7</v>
      </c>
      <c r="F3" s="4">
        <v>7</v>
      </c>
      <c r="G3" s="4">
        <v>8448</v>
      </c>
      <c r="H3" s="4">
        <v>12</v>
      </c>
      <c r="I3" s="7">
        <v>46174</v>
      </c>
      <c r="J3" s="7">
        <v>46179</v>
      </c>
      <c r="K3" s="4" t="s">
        <v>79</v>
      </c>
      <c r="L3" s="4" t="str">
        <f t="shared" ref="L3:L66" si="0">IF(AND(C3="Mumbai",F3&gt;=15),"Priority Order","Normal")</f>
        <v>Normal</v>
      </c>
    </row>
    <row r="4" spans="1:12" x14ac:dyDescent="0.3">
      <c r="A4" s="9">
        <v>1003</v>
      </c>
      <c r="B4" s="9" t="s">
        <v>25</v>
      </c>
      <c r="C4" s="4" t="s">
        <v>26</v>
      </c>
      <c r="D4" s="4" t="s">
        <v>24</v>
      </c>
      <c r="E4" s="4" t="s">
        <v>10</v>
      </c>
      <c r="F4" s="4">
        <v>20</v>
      </c>
      <c r="G4" s="4">
        <v>2123</v>
      </c>
      <c r="H4" s="4">
        <v>15</v>
      </c>
      <c r="I4" s="7">
        <v>46183</v>
      </c>
      <c r="J4" s="7">
        <v>46192</v>
      </c>
      <c r="K4" s="4" t="s">
        <v>80</v>
      </c>
      <c r="L4" s="4" t="str">
        <f t="shared" si="0"/>
        <v>Normal</v>
      </c>
    </row>
    <row r="5" spans="1:12" x14ac:dyDescent="0.3">
      <c r="A5" s="9">
        <v>1004</v>
      </c>
      <c r="B5" s="9" t="s">
        <v>22</v>
      </c>
      <c r="C5" s="4" t="s">
        <v>27</v>
      </c>
      <c r="D5" s="4" t="s">
        <v>24</v>
      </c>
      <c r="E5" s="4" t="s">
        <v>10</v>
      </c>
      <c r="F5" s="4">
        <v>16</v>
      </c>
      <c r="G5" s="4">
        <v>11739</v>
      </c>
      <c r="H5" s="4">
        <v>12</v>
      </c>
      <c r="I5" s="7">
        <v>46034</v>
      </c>
      <c r="J5" s="7">
        <v>46040</v>
      </c>
      <c r="K5" s="4" t="s">
        <v>79</v>
      </c>
      <c r="L5" s="4" t="str">
        <f t="shared" si="0"/>
        <v>Normal</v>
      </c>
    </row>
    <row r="6" spans="1:12" x14ac:dyDescent="0.3">
      <c r="A6" s="9">
        <v>1005</v>
      </c>
      <c r="B6" s="9" t="s">
        <v>28</v>
      </c>
      <c r="C6" s="4" t="s">
        <v>23</v>
      </c>
      <c r="D6" s="4" t="s">
        <v>20</v>
      </c>
      <c r="E6" s="4" t="s">
        <v>21</v>
      </c>
      <c r="F6" s="4">
        <v>18</v>
      </c>
      <c r="G6" s="4">
        <v>70</v>
      </c>
      <c r="H6" s="4">
        <v>0</v>
      </c>
      <c r="I6" s="7">
        <v>46171</v>
      </c>
      <c r="J6" s="7">
        <v>46179</v>
      </c>
      <c r="K6" s="4" t="s">
        <v>80</v>
      </c>
      <c r="L6" s="4" t="str">
        <f t="shared" si="0"/>
        <v>Normal</v>
      </c>
    </row>
    <row r="7" spans="1:12" x14ac:dyDescent="0.3">
      <c r="A7" s="9">
        <v>1006</v>
      </c>
      <c r="B7" s="9" t="s">
        <v>29</v>
      </c>
      <c r="C7" s="4" t="s">
        <v>27</v>
      </c>
      <c r="D7" s="4" t="s">
        <v>24</v>
      </c>
      <c r="E7" s="4" t="s">
        <v>8</v>
      </c>
      <c r="F7" s="4">
        <v>3</v>
      </c>
      <c r="G7" s="4">
        <v>2714</v>
      </c>
      <c r="H7" s="4">
        <v>5</v>
      </c>
      <c r="I7" s="7">
        <v>46055</v>
      </c>
      <c r="J7" s="7">
        <v>46062</v>
      </c>
      <c r="K7" s="4" t="s">
        <v>49</v>
      </c>
      <c r="L7" s="4" t="str">
        <f t="shared" si="0"/>
        <v>Normal</v>
      </c>
    </row>
    <row r="8" spans="1:12" x14ac:dyDescent="0.3">
      <c r="A8" s="9">
        <v>1007</v>
      </c>
      <c r="B8" s="9" t="s">
        <v>25</v>
      </c>
      <c r="C8" s="4" t="s">
        <v>26</v>
      </c>
      <c r="D8" s="4" t="s">
        <v>20</v>
      </c>
      <c r="E8" s="4" t="s">
        <v>21</v>
      </c>
      <c r="F8" s="4">
        <v>19</v>
      </c>
      <c r="G8" s="4">
        <v>149</v>
      </c>
      <c r="H8" s="4">
        <v>7</v>
      </c>
      <c r="I8" s="7">
        <v>46162</v>
      </c>
      <c r="J8" s="7">
        <v>46168</v>
      </c>
      <c r="K8" s="4" t="s">
        <v>80</v>
      </c>
      <c r="L8" s="4" t="str">
        <f t="shared" si="0"/>
        <v>Normal</v>
      </c>
    </row>
    <row r="9" spans="1:12" x14ac:dyDescent="0.3">
      <c r="A9" s="9">
        <v>1008</v>
      </c>
      <c r="B9" s="9" t="s">
        <v>30</v>
      </c>
      <c r="C9" s="4" t="s">
        <v>31</v>
      </c>
      <c r="D9" s="4" t="s">
        <v>24</v>
      </c>
      <c r="E9" s="4" t="s">
        <v>8</v>
      </c>
      <c r="F9" s="4">
        <v>1</v>
      </c>
      <c r="G9" s="4">
        <v>1134</v>
      </c>
      <c r="H9" s="4">
        <v>0</v>
      </c>
      <c r="I9" s="7">
        <v>46033</v>
      </c>
      <c r="J9" s="7">
        <v>46041</v>
      </c>
      <c r="K9" s="4" t="s">
        <v>80</v>
      </c>
      <c r="L9" s="4" t="str">
        <f t="shared" si="0"/>
        <v>Normal</v>
      </c>
    </row>
    <row r="10" spans="1:12" x14ac:dyDescent="0.3">
      <c r="A10" s="9">
        <v>1009</v>
      </c>
      <c r="B10" s="9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7">
        <v>46183</v>
      </c>
      <c r="J10" s="7">
        <v>46193</v>
      </c>
      <c r="K10" s="4" t="s">
        <v>80</v>
      </c>
      <c r="L10" s="4" t="str">
        <f t="shared" si="0"/>
        <v>Normal</v>
      </c>
    </row>
    <row r="11" spans="1:12" x14ac:dyDescent="0.3">
      <c r="A11" s="9">
        <v>1010</v>
      </c>
      <c r="B11" s="9" t="s">
        <v>18</v>
      </c>
      <c r="C11" s="4" t="s">
        <v>23</v>
      </c>
      <c r="D11" s="4" t="s">
        <v>20</v>
      </c>
      <c r="E11" s="4" t="s">
        <v>36</v>
      </c>
      <c r="F11" s="4">
        <v>14</v>
      </c>
      <c r="G11" s="4">
        <v>470</v>
      </c>
      <c r="H11" s="4">
        <v>5</v>
      </c>
      <c r="I11" s="7">
        <v>46062</v>
      </c>
      <c r="J11" s="7">
        <v>46068</v>
      </c>
      <c r="K11" s="4" t="s">
        <v>78</v>
      </c>
      <c r="L11" s="4" t="str">
        <f t="shared" si="0"/>
        <v>Normal</v>
      </c>
    </row>
    <row r="12" spans="1:12" x14ac:dyDescent="0.3">
      <c r="A12" s="9">
        <v>1011</v>
      </c>
      <c r="B12" s="9" t="s">
        <v>18</v>
      </c>
      <c r="C12" s="4" t="s">
        <v>23</v>
      </c>
      <c r="D12" s="4" t="s">
        <v>20</v>
      </c>
      <c r="E12" s="4" t="s">
        <v>37</v>
      </c>
      <c r="F12" s="4">
        <v>14</v>
      </c>
      <c r="G12" s="4">
        <v>88</v>
      </c>
      <c r="H12" s="4">
        <v>12</v>
      </c>
      <c r="I12" s="7">
        <v>46161</v>
      </c>
      <c r="J12" s="7">
        <v>46163</v>
      </c>
      <c r="K12" s="4" t="s">
        <v>78</v>
      </c>
      <c r="L12" s="4" t="str">
        <f t="shared" si="0"/>
        <v>Normal</v>
      </c>
    </row>
    <row r="13" spans="1:12" x14ac:dyDescent="0.3">
      <c r="A13" s="9">
        <v>1012</v>
      </c>
      <c r="B13" s="9" t="s">
        <v>28</v>
      </c>
      <c r="C13" s="4" t="s">
        <v>38</v>
      </c>
      <c r="D13" s="4" t="s">
        <v>34</v>
      </c>
      <c r="E13" s="4" t="s">
        <v>5</v>
      </c>
      <c r="F13" s="4">
        <v>3</v>
      </c>
      <c r="G13" s="4">
        <v>64615</v>
      </c>
      <c r="H13" s="4">
        <v>10</v>
      </c>
      <c r="I13" s="7">
        <v>46086</v>
      </c>
      <c r="J13" s="7">
        <v>46095</v>
      </c>
      <c r="K13" s="4" t="s">
        <v>49</v>
      </c>
      <c r="L13" s="4" t="str">
        <f t="shared" si="0"/>
        <v>Normal</v>
      </c>
    </row>
    <row r="14" spans="1:12" x14ac:dyDescent="0.3">
      <c r="A14" s="9">
        <v>1013</v>
      </c>
      <c r="B14" s="9" t="s">
        <v>22</v>
      </c>
      <c r="C14" s="4" t="s">
        <v>31</v>
      </c>
      <c r="D14" s="4" t="s">
        <v>20</v>
      </c>
      <c r="E14" s="4" t="s">
        <v>36</v>
      </c>
      <c r="F14" s="4">
        <v>17</v>
      </c>
      <c r="G14" s="4">
        <v>459</v>
      </c>
      <c r="H14" s="4">
        <v>12</v>
      </c>
      <c r="I14" s="7">
        <v>46095</v>
      </c>
      <c r="J14" s="7">
        <v>46105</v>
      </c>
      <c r="K14" s="4" t="s">
        <v>49</v>
      </c>
      <c r="L14" s="4" t="str">
        <f t="shared" si="0"/>
        <v>Normal</v>
      </c>
    </row>
    <row r="15" spans="1:12" x14ac:dyDescent="0.3">
      <c r="A15" s="9">
        <v>1014</v>
      </c>
      <c r="B15" s="9" t="s">
        <v>39</v>
      </c>
      <c r="C15" s="4" t="s">
        <v>23</v>
      </c>
      <c r="D15" s="4" t="s">
        <v>34</v>
      </c>
      <c r="E15" s="4" t="s">
        <v>40</v>
      </c>
      <c r="F15" s="4">
        <v>19</v>
      </c>
      <c r="G15" s="4">
        <v>53683</v>
      </c>
      <c r="H15" s="4">
        <v>12</v>
      </c>
      <c r="I15" s="7">
        <v>46129</v>
      </c>
      <c r="J15" s="7">
        <v>46134</v>
      </c>
      <c r="K15" s="4" t="s">
        <v>49</v>
      </c>
      <c r="L15" s="4" t="str">
        <f t="shared" si="0"/>
        <v>Normal</v>
      </c>
    </row>
    <row r="16" spans="1:12" x14ac:dyDescent="0.3">
      <c r="A16" s="9">
        <v>1015</v>
      </c>
      <c r="B16" s="9" t="s">
        <v>41</v>
      </c>
      <c r="C16" s="4" t="s">
        <v>42</v>
      </c>
      <c r="D16" s="4" t="s">
        <v>24</v>
      </c>
      <c r="E16" s="4" t="s">
        <v>43</v>
      </c>
      <c r="F16" s="4">
        <v>11</v>
      </c>
      <c r="G16" s="4">
        <v>14511</v>
      </c>
      <c r="H16" s="4">
        <v>2</v>
      </c>
      <c r="I16" s="7">
        <v>46175</v>
      </c>
      <c r="J16" s="7">
        <v>46185</v>
      </c>
      <c r="K16" s="4" t="s">
        <v>79</v>
      </c>
      <c r="L16" s="4" t="str">
        <f t="shared" si="0"/>
        <v>Normal</v>
      </c>
    </row>
    <row r="17" spans="1:12" x14ac:dyDescent="0.3">
      <c r="A17" s="9">
        <v>1016</v>
      </c>
      <c r="B17" s="9" t="s">
        <v>32</v>
      </c>
      <c r="C17" s="4" t="s">
        <v>33</v>
      </c>
      <c r="D17" s="4" t="s">
        <v>34</v>
      </c>
      <c r="E17" s="4" t="s">
        <v>6</v>
      </c>
      <c r="F17" s="4">
        <v>16</v>
      </c>
      <c r="G17" s="4">
        <v>30234</v>
      </c>
      <c r="H17" s="4">
        <v>15</v>
      </c>
      <c r="I17" s="7">
        <v>46137</v>
      </c>
      <c r="J17" s="7">
        <v>46140</v>
      </c>
      <c r="K17" s="4" t="s">
        <v>80</v>
      </c>
      <c r="L17" s="4" t="str">
        <f t="shared" si="0"/>
        <v>Normal</v>
      </c>
    </row>
    <row r="18" spans="1:12" x14ac:dyDescent="0.3">
      <c r="A18" s="9">
        <v>1017</v>
      </c>
      <c r="B18" s="9" t="s">
        <v>44</v>
      </c>
      <c r="C18" s="4" t="s">
        <v>38</v>
      </c>
      <c r="D18" s="4" t="s">
        <v>20</v>
      </c>
      <c r="E18" s="4" t="s">
        <v>36</v>
      </c>
      <c r="F18" s="4">
        <v>8</v>
      </c>
      <c r="G18" s="4">
        <v>179</v>
      </c>
      <c r="H18" s="4">
        <v>15</v>
      </c>
      <c r="I18" s="7">
        <v>46082</v>
      </c>
      <c r="J18" s="7">
        <v>46084</v>
      </c>
      <c r="K18" s="4" t="s">
        <v>78</v>
      </c>
      <c r="L18" s="4" t="str">
        <f t="shared" si="0"/>
        <v>Normal</v>
      </c>
    </row>
    <row r="19" spans="1:12" x14ac:dyDescent="0.3">
      <c r="A19" s="9">
        <v>1018</v>
      </c>
      <c r="B19" s="9" t="s">
        <v>45</v>
      </c>
      <c r="C19" s="4" t="s">
        <v>27</v>
      </c>
      <c r="D19" s="4" t="s">
        <v>20</v>
      </c>
      <c r="E19" s="4" t="s">
        <v>21</v>
      </c>
      <c r="F19" s="4">
        <v>20</v>
      </c>
      <c r="G19" s="4">
        <v>301</v>
      </c>
      <c r="H19" s="4">
        <v>0</v>
      </c>
      <c r="I19" s="7">
        <v>46089</v>
      </c>
      <c r="J19" s="7">
        <v>46094</v>
      </c>
      <c r="K19" s="4" t="s">
        <v>49</v>
      </c>
      <c r="L19" s="4" t="str">
        <f t="shared" si="0"/>
        <v>Normal</v>
      </c>
    </row>
    <row r="20" spans="1:12" x14ac:dyDescent="0.3">
      <c r="A20" s="9">
        <v>1019</v>
      </c>
      <c r="B20" s="9" t="s">
        <v>18</v>
      </c>
      <c r="C20" s="4" t="s">
        <v>42</v>
      </c>
      <c r="D20" s="4" t="s">
        <v>34</v>
      </c>
      <c r="E20" s="4" t="s">
        <v>40</v>
      </c>
      <c r="F20" s="4">
        <v>18</v>
      </c>
      <c r="G20" s="4">
        <v>45652</v>
      </c>
      <c r="H20" s="4">
        <v>10</v>
      </c>
      <c r="I20" s="7">
        <v>46023</v>
      </c>
      <c r="J20" s="7">
        <v>46030</v>
      </c>
      <c r="K20" s="4" t="s">
        <v>79</v>
      </c>
      <c r="L20" s="4" t="str">
        <f t="shared" si="0"/>
        <v>Normal</v>
      </c>
    </row>
    <row r="21" spans="1:12" x14ac:dyDescent="0.3">
      <c r="A21" s="9">
        <v>1020</v>
      </c>
      <c r="B21" s="9" t="s">
        <v>44</v>
      </c>
      <c r="C21" s="4" t="s">
        <v>19</v>
      </c>
      <c r="D21" s="4" t="s">
        <v>24</v>
      </c>
      <c r="E21" s="4" t="s">
        <v>7</v>
      </c>
      <c r="F21" s="4">
        <v>5</v>
      </c>
      <c r="G21" s="4">
        <v>4582</v>
      </c>
      <c r="H21" s="4">
        <v>5</v>
      </c>
      <c r="I21" s="7">
        <v>46078</v>
      </c>
      <c r="J21" s="7">
        <v>46083</v>
      </c>
      <c r="K21" s="4" t="s">
        <v>78</v>
      </c>
      <c r="L21" s="4" t="str">
        <f t="shared" si="0"/>
        <v>Normal</v>
      </c>
    </row>
    <row r="22" spans="1:12" x14ac:dyDescent="0.3">
      <c r="A22" s="9">
        <v>1021</v>
      </c>
      <c r="B22" s="9" t="s">
        <v>46</v>
      </c>
      <c r="C22" s="4" t="s">
        <v>42</v>
      </c>
      <c r="D22" s="4" t="s">
        <v>20</v>
      </c>
      <c r="E22" s="4" t="s">
        <v>21</v>
      </c>
      <c r="F22" s="4">
        <v>3</v>
      </c>
      <c r="G22" s="4">
        <v>484</v>
      </c>
      <c r="H22" s="4">
        <v>2</v>
      </c>
      <c r="I22" s="7">
        <v>46144</v>
      </c>
      <c r="J22" s="7">
        <v>46148</v>
      </c>
      <c r="K22" s="4" t="s">
        <v>80</v>
      </c>
      <c r="L22" s="4" t="str">
        <f t="shared" si="0"/>
        <v>Normal</v>
      </c>
    </row>
    <row r="23" spans="1:12" x14ac:dyDescent="0.3">
      <c r="A23" s="9">
        <v>1022</v>
      </c>
      <c r="B23" s="9" t="s">
        <v>28</v>
      </c>
      <c r="C23" s="4" t="s">
        <v>23</v>
      </c>
      <c r="D23" s="4" t="s">
        <v>34</v>
      </c>
      <c r="E23" s="4" t="s">
        <v>6</v>
      </c>
      <c r="F23" s="4">
        <v>15</v>
      </c>
      <c r="G23" s="4">
        <v>11596</v>
      </c>
      <c r="H23" s="4">
        <v>0</v>
      </c>
      <c r="I23" s="7">
        <v>46117</v>
      </c>
      <c r="J23" s="7">
        <v>46121</v>
      </c>
      <c r="K23" s="4" t="s">
        <v>49</v>
      </c>
      <c r="L23" s="4" t="str">
        <f t="shared" si="0"/>
        <v>Normal</v>
      </c>
    </row>
    <row r="24" spans="1:12" x14ac:dyDescent="0.3">
      <c r="A24" s="9">
        <v>1023</v>
      </c>
      <c r="B24" s="9" t="s">
        <v>39</v>
      </c>
      <c r="C24" s="4" t="s">
        <v>19</v>
      </c>
      <c r="D24" s="4" t="s">
        <v>24</v>
      </c>
      <c r="E24" s="4" t="s">
        <v>43</v>
      </c>
      <c r="F24" s="4">
        <v>15</v>
      </c>
      <c r="G24" s="4">
        <v>3506</v>
      </c>
      <c r="H24" s="4">
        <v>2</v>
      </c>
      <c r="I24" s="7">
        <v>46193</v>
      </c>
      <c r="J24" s="7">
        <v>46194</v>
      </c>
      <c r="K24" s="4" t="s">
        <v>49</v>
      </c>
      <c r="L24" s="4" t="str">
        <f t="shared" si="0"/>
        <v>Normal</v>
      </c>
    </row>
    <row r="25" spans="1:12" x14ac:dyDescent="0.3">
      <c r="A25" s="9">
        <v>1024</v>
      </c>
      <c r="B25" s="9" t="s">
        <v>32</v>
      </c>
      <c r="C25" s="4" t="s">
        <v>38</v>
      </c>
      <c r="D25" s="4" t="s">
        <v>34</v>
      </c>
      <c r="E25" s="4" t="s">
        <v>40</v>
      </c>
      <c r="F25" s="4">
        <v>12</v>
      </c>
      <c r="G25" s="4">
        <v>1682</v>
      </c>
      <c r="H25" s="4">
        <v>5</v>
      </c>
      <c r="I25" s="7">
        <v>46161</v>
      </c>
      <c r="J25" s="7">
        <v>46165</v>
      </c>
      <c r="K25" s="4" t="s">
        <v>78</v>
      </c>
      <c r="L25" s="4" t="str">
        <f t="shared" si="0"/>
        <v>Normal</v>
      </c>
    </row>
    <row r="26" spans="1:12" x14ac:dyDescent="0.3">
      <c r="A26" s="9">
        <v>1025</v>
      </c>
      <c r="B26" s="9" t="s">
        <v>25</v>
      </c>
      <c r="C26" s="4" t="s">
        <v>19</v>
      </c>
      <c r="D26" s="4" t="s">
        <v>24</v>
      </c>
      <c r="E26" s="4" t="s">
        <v>7</v>
      </c>
      <c r="F26" s="4">
        <v>18</v>
      </c>
      <c r="G26" s="4">
        <v>7924</v>
      </c>
      <c r="H26" s="4">
        <v>0</v>
      </c>
      <c r="I26" s="7">
        <v>46175</v>
      </c>
      <c r="J26" s="7">
        <v>46181</v>
      </c>
      <c r="K26" s="4" t="s">
        <v>78</v>
      </c>
      <c r="L26" s="4" t="str">
        <f t="shared" si="0"/>
        <v>Normal</v>
      </c>
    </row>
    <row r="27" spans="1:12" x14ac:dyDescent="0.3">
      <c r="A27" s="9">
        <v>1026</v>
      </c>
      <c r="B27" s="9" t="s">
        <v>47</v>
      </c>
      <c r="C27" s="4" t="s">
        <v>31</v>
      </c>
      <c r="D27" s="4" t="s">
        <v>20</v>
      </c>
      <c r="E27" s="4" t="s">
        <v>48</v>
      </c>
      <c r="F27" s="4">
        <v>17</v>
      </c>
      <c r="G27" s="4">
        <v>323</v>
      </c>
      <c r="H27" s="4">
        <v>10</v>
      </c>
      <c r="I27" s="7">
        <v>46039</v>
      </c>
      <c r="J27" s="7">
        <v>46040</v>
      </c>
      <c r="K27" s="4" t="s">
        <v>49</v>
      </c>
      <c r="L27" s="4" t="str">
        <f t="shared" si="0"/>
        <v>Normal</v>
      </c>
    </row>
    <row r="28" spans="1:12" x14ac:dyDescent="0.3">
      <c r="A28" s="9">
        <v>1027</v>
      </c>
      <c r="B28" s="9" t="s">
        <v>49</v>
      </c>
      <c r="C28" s="4" t="s">
        <v>42</v>
      </c>
      <c r="D28" s="4" t="s">
        <v>20</v>
      </c>
      <c r="E28" s="4" t="s">
        <v>48</v>
      </c>
      <c r="F28" s="4">
        <v>4</v>
      </c>
      <c r="G28" s="4">
        <v>264</v>
      </c>
      <c r="H28" s="4">
        <v>0</v>
      </c>
      <c r="I28" s="7">
        <v>46155</v>
      </c>
      <c r="J28" s="7">
        <v>46161</v>
      </c>
      <c r="K28" s="4" t="s">
        <v>81</v>
      </c>
      <c r="L28" s="4" t="str">
        <f t="shared" si="0"/>
        <v>Normal</v>
      </c>
    </row>
    <row r="29" spans="1:12" x14ac:dyDescent="0.3">
      <c r="A29" s="9">
        <v>1028</v>
      </c>
      <c r="B29" s="9" t="s">
        <v>45</v>
      </c>
      <c r="C29" s="4" t="s">
        <v>26</v>
      </c>
      <c r="D29" s="4" t="s">
        <v>20</v>
      </c>
      <c r="E29" s="4" t="s">
        <v>36</v>
      </c>
      <c r="F29" s="4">
        <v>13</v>
      </c>
      <c r="G29" s="4">
        <v>433</v>
      </c>
      <c r="H29" s="4">
        <v>2</v>
      </c>
      <c r="I29" s="7">
        <v>46116</v>
      </c>
      <c r="J29" s="7">
        <v>46121</v>
      </c>
      <c r="K29" s="4" t="s">
        <v>80</v>
      </c>
      <c r="L29" s="4" t="str">
        <f t="shared" si="0"/>
        <v>Normal</v>
      </c>
    </row>
    <row r="30" spans="1:12" x14ac:dyDescent="0.3">
      <c r="A30" s="9">
        <v>1029</v>
      </c>
      <c r="B30" s="9" t="s">
        <v>30</v>
      </c>
      <c r="C30" s="4" t="s">
        <v>27</v>
      </c>
      <c r="D30" s="4" t="s">
        <v>20</v>
      </c>
      <c r="E30" s="4" t="s">
        <v>36</v>
      </c>
      <c r="F30" s="4">
        <v>18</v>
      </c>
      <c r="G30" s="4">
        <v>443</v>
      </c>
      <c r="H30" s="4">
        <v>5</v>
      </c>
      <c r="I30" s="7">
        <v>46046</v>
      </c>
      <c r="J30" s="7">
        <v>46054</v>
      </c>
      <c r="K30" s="4" t="s">
        <v>80</v>
      </c>
      <c r="L30" s="4" t="str">
        <f t="shared" si="0"/>
        <v>Normal</v>
      </c>
    </row>
    <row r="31" spans="1:12" x14ac:dyDescent="0.3">
      <c r="A31" s="9">
        <v>1030</v>
      </c>
      <c r="B31" s="9" t="s">
        <v>50</v>
      </c>
      <c r="C31" s="4" t="s">
        <v>19</v>
      </c>
      <c r="D31" s="4" t="s">
        <v>20</v>
      </c>
      <c r="E31" s="4" t="s">
        <v>51</v>
      </c>
      <c r="F31" s="4">
        <v>13</v>
      </c>
      <c r="G31" s="4">
        <v>336</v>
      </c>
      <c r="H31" s="4">
        <v>10</v>
      </c>
      <c r="I31" s="7">
        <v>46098</v>
      </c>
      <c r="J31" s="7">
        <v>46108</v>
      </c>
      <c r="K31" s="4" t="s">
        <v>78</v>
      </c>
      <c r="L31" s="4" t="str">
        <f t="shared" si="0"/>
        <v>Normal</v>
      </c>
    </row>
    <row r="32" spans="1:12" x14ac:dyDescent="0.3">
      <c r="A32" s="9">
        <v>1031</v>
      </c>
      <c r="B32" s="9" t="s">
        <v>52</v>
      </c>
      <c r="C32" s="4" t="s">
        <v>31</v>
      </c>
      <c r="D32" s="4" t="s">
        <v>20</v>
      </c>
      <c r="E32" s="4" t="s">
        <v>51</v>
      </c>
      <c r="F32" s="4">
        <v>2</v>
      </c>
      <c r="G32" s="4">
        <v>184</v>
      </c>
      <c r="H32" s="4">
        <v>5</v>
      </c>
      <c r="I32" s="7">
        <v>46089</v>
      </c>
      <c r="J32" s="7">
        <v>46093</v>
      </c>
      <c r="K32" s="4" t="s">
        <v>79</v>
      </c>
      <c r="L32" s="4" t="str">
        <f t="shared" si="0"/>
        <v>Normal</v>
      </c>
    </row>
    <row r="33" spans="1:12" x14ac:dyDescent="0.3">
      <c r="A33" s="9">
        <v>1032</v>
      </c>
      <c r="B33" s="9" t="s">
        <v>52</v>
      </c>
      <c r="C33" s="4" t="s">
        <v>42</v>
      </c>
      <c r="D33" s="4" t="s">
        <v>34</v>
      </c>
      <c r="E33" s="4" t="s">
        <v>5</v>
      </c>
      <c r="F33" s="4">
        <v>20</v>
      </c>
      <c r="G33" s="4">
        <v>11305</v>
      </c>
      <c r="H33" s="4">
        <v>2</v>
      </c>
      <c r="I33" s="7">
        <v>46163</v>
      </c>
      <c r="J33" s="7">
        <v>46165</v>
      </c>
      <c r="K33" s="4" t="s">
        <v>49</v>
      </c>
      <c r="L33" s="4" t="str">
        <f t="shared" si="0"/>
        <v>Normal</v>
      </c>
    </row>
    <row r="34" spans="1:12" x14ac:dyDescent="0.3">
      <c r="A34" s="9">
        <v>1033</v>
      </c>
      <c r="B34" s="9" t="s">
        <v>18</v>
      </c>
      <c r="C34" s="4" t="s">
        <v>42</v>
      </c>
      <c r="D34" s="4" t="s">
        <v>24</v>
      </c>
      <c r="E34" s="4" t="s">
        <v>7</v>
      </c>
      <c r="F34" s="4">
        <v>9</v>
      </c>
      <c r="G34" s="4">
        <v>4895</v>
      </c>
      <c r="H34" s="4">
        <v>2</v>
      </c>
      <c r="I34" s="7">
        <v>46082</v>
      </c>
      <c r="J34" s="7">
        <v>46084</v>
      </c>
      <c r="K34" s="4" t="s">
        <v>49</v>
      </c>
      <c r="L34" s="4" t="str">
        <f t="shared" si="0"/>
        <v>Normal</v>
      </c>
    </row>
    <row r="35" spans="1:12" x14ac:dyDescent="0.3">
      <c r="A35" s="9">
        <v>1034</v>
      </c>
      <c r="B35" s="9" t="s">
        <v>53</v>
      </c>
      <c r="C35" s="4" t="s">
        <v>33</v>
      </c>
      <c r="D35" s="4" t="s">
        <v>24</v>
      </c>
      <c r="E35" s="4" t="s">
        <v>8</v>
      </c>
      <c r="F35" s="4">
        <v>17</v>
      </c>
      <c r="G35" s="4">
        <v>5104</v>
      </c>
      <c r="H35" s="4">
        <v>12</v>
      </c>
      <c r="I35" s="7">
        <v>46052</v>
      </c>
      <c r="J35" s="7">
        <v>46061</v>
      </c>
      <c r="K35" s="4" t="s">
        <v>81</v>
      </c>
      <c r="L35" s="4" t="str">
        <f t="shared" si="0"/>
        <v>Normal</v>
      </c>
    </row>
    <row r="36" spans="1:12" x14ac:dyDescent="0.3">
      <c r="A36" s="9">
        <v>1035</v>
      </c>
      <c r="B36" s="9" t="s">
        <v>47</v>
      </c>
      <c r="C36" s="4" t="s">
        <v>42</v>
      </c>
      <c r="D36" s="4" t="s">
        <v>24</v>
      </c>
      <c r="E36" s="4" t="s">
        <v>11</v>
      </c>
      <c r="F36" s="4">
        <v>3</v>
      </c>
      <c r="G36" s="4">
        <v>9149</v>
      </c>
      <c r="H36" s="4">
        <v>0</v>
      </c>
      <c r="I36" s="7">
        <v>46031</v>
      </c>
      <c r="J36" s="7">
        <v>46034</v>
      </c>
      <c r="K36" s="4" t="s">
        <v>80</v>
      </c>
      <c r="L36" s="4" t="str">
        <f t="shared" si="0"/>
        <v>Normal</v>
      </c>
    </row>
    <row r="37" spans="1:12" x14ac:dyDescent="0.3">
      <c r="A37" s="9">
        <v>1036</v>
      </c>
      <c r="B37" s="9" t="s">
        <v>18</v>
      </c>
      <c r="C37" s="4" t="s">
        <v>27</v>
      </c>
      <c r="D37" s="4" t="s">
        <v>20</v>
      </c>
      <c r="E37" s="4" t="s">
        <v>36</v>
      </c>
      <c r="F37" s="4">
        <v>20</v>
      </c>
      <c r="G37" s="4">
        <v>161</v>
      </c>
      <c r="H37" s="4">
        <v>7</v>
      </c>
      <c r="I37" s="7">
        <v>46071</v>
      </c>
      <c r="J37" s="7">
        <v>46077</v>
      </c>
      <c r="K37" s="4" t="s">
        <v>80</v>
      </c>
      <c r="L37" s="4" t="str">
        <f t="shared" si="0"/>
        <v>Normal</v>
      </c>
    </row>
    <row r="38" spans="1:12" x14ac:dyDescent="0.3">
      <c r="A38" s="9">
        <v>1037</v>
      </c>
      <c r="B38" s="9" t="s">
        <v>44</v>
      </c>
      <c r="C38" s="4" t="s">
        <v>42</v>
      </c>
      <c r="D38" s="4" t="s">
        <v>24</v>
      </c>
      <c r="E38" s="4" t="s">
        <v>11</v>
      </c>
      <c r="F38" s="4">
        <v>6</v>
      </c>
      <c r="G38" s="4">
        <v>14385</v>
      </c>
      <c r="H38" s="4">
        <v>12</v>
      </c>
      <c r="I38" s="7">
        <v>46033</v>
      </c>
      <c r="J38" s="7">
        <v>46043</v>
      </c>
      <c r="K38" s="4" t="s">
        <v>80</v>
      </c>
      <c r="L38" s="4" t="str">
        <f t="shared" si="0"/>
        <v>Normal</v>
      </c>
    </row>
    <row r="39" spans="1:12" x14ac:dyDescent="0.3">
      <c r="A39" s="9">
        <v>1038</v>
      </c>
      <c r="B39" s="9" t="s">
        <v>53</v>
      </c>
      <c r="C39" s="4" t="s">
        <v>23</v>
      </c>
      <c r="D39" s="4" t="s">
        <v>20</v>
      </c>
      <c r="E39" s="4" t="s">
        <v>36</v>
      </c>
      <c r="F39" s="4">
        <v>17</v>
      </c>
      <c r="G39" s="4">
        <v>223</v>
      </c>
      <c r="H39" s="4">
        <v>7</v>
      </c>
      <c r="I39" s="7">
        <v>46030</v>
      </c>
      <c r="J39" s="7">
        <v>46031</v>
      </c>
      <c r="K39" s="4" t="s">
        <v>81</v>
      </c>
      <c r="L39" s="4" t="str">
        <f t="shared" si="0"/>
        <v>Normal</v>
      </c>
    </row>
    <row r="40" spans="1:12" x14ac:dyDescent="0.3">
      <c r="A40" s="9">
        <v>1039</v>
      </c>
      <c r="B40" s="9" t="s">
        <v>46</v>
      </c>
      <c r="C40" s="4" t="s">
        <v>38</v>
      </c>
      <c r="D40" s="4" t="s">
        <v>34</v>
      </c>
      <c r="E40" s="4" t="s">
        <v>6</v>
      </c>
      <c r="F40" s="4">
        <v>5</v>
      </c>
      <c r="G40" s="4">
        <v>60236</v>
      </c>
      <c r="H40" s="4">
        <v>10</v>
      </c>
      <c r="I40" s="7">
        <v>46107</v>
      </c>
      <c r="J40" s="7">
        <v>46110</v>
      </c>
      <c r="K40" s="4" t="s">
        <v>79</v>
      </c>
      <c r="L40" s="4" t="str">
        <f t="shared" si="0"/>
        <v>Normal</v>
      </c>
    </row>
    <row r="41" spans="1:12" x14ac:dyDescent="0.3">
      <c r="A41" s="9">
        <v>1040</v>
      </c>
      <c r="B41" s="9" t="s">
        <v>47</v>
      </c>
      <c r="C41" s="4" t="s">
        <v>38</v>
      </c>
      <c r="D41" s="4" t="s">
        <v>24</v>
      </c>
      <c r="E41" s="4" t="s">
        <v>8</v>
      </c>
      <c r="F41" s="4">
        <v>10</v>
      </c>
      <c r="G41" s="4">
        <v>7531</v>
      </c>
      <c r="H41" s="4">
        <v>2</v>
      </c>
      <c r="I41" s="7">
        <v>46171</v>
      </c>
      <c r="J41" s="7">
        <v>46178</v>
      </c>
      <c r="K41" s="4" t="s">
        <v>80</v>
      </c>
      <c r="L41" s="4" t="str">
        <f t="shared" si="0"/>
        <v>Normal</v>
      </c>
    </row>
    <row r="42" spans="1:12" x14ac:dyDescent="0.3">
      <c r="A42" s="9">
        <v>1041</v>
      </c>
      <c r="B42" s="9" t="s">
        <v>52</v>
      </c>
      <c r="C42" s="4" t="s">
        <v>38</v>
      </c>
      <c r="D42" s="4" t="s">
        <v>20</v>
      </c>
      <c r="E42" s="4" t="s">
        <v>48</v>
      </c>
      <c r="F42" s="4">
        <v>9</v>
      </c>
      <c r="G42" s="4">
        <v>71</v>
      </c>
      <c r="H42" s="4">
        <v>7</v>
      </c>
      <c r="I42" s="7">
        <v>46185</v>
      </c>
      <c r="J42" s="7">
        <v>46188</v>
      </c>
      <c r="K42" s="4" t="s">
        <v>78</v>
      </c>
      <c r="L42" s="4" t="str">
        <f t="shared" si="0"/>
        <v>Normal</v>
      </c>
    </row>
    <row r="43" spans="1:12" x14ac:dyDescent="0.3">
      <c r="A43" s="9">
        <v>1042</v>
      </c>
      <c r="B43" s="9" t="s">
        <v>44</v>
      </c>
      <c r="C43" s="4" t="s">
        <v>33</v>
      </c>
      <c r="D43" s="4" t="s">
        <v>20</v>
      </c>
      <c r="E43" s="4" t="s">
        <v>51</v>
      </c>
      <c r="F43" s="4">
        <v>16</v>
      </c>
      <c r="G43" s="4">
        <v>232</v>
      </c>
      <c r="H43" s="4">
        <v>0</v>
      </c>
      <c r="I43" s="7">
        <v>46081</v>
      </c>
      <c r="J43" s="7">
        <v>46088</v>
      </c>
      <c r="K43" s="4" t="s">
        <v>49</v>
      </c>
      <c r="L43" s="4" t="str">
        <f t="shared" si="0"/>
        <v>Normal</v>
      </c>
    </row>
    <row r="44" spans="1:12" x14ac:dyDescent="0.3">
      <c r="A44" s="9">
        <v>1043</v>
      </c>
      <c r="B44" s="9" t="s">
        <v>47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7">
        <v>46091</v>
      </c>
      <c r="J44" s="7">
        <v>46098</v>
      </c>
      <c r="K44" s="4" t="s">
        <v>49</v>
      </c>
      <c r="L44" s="4" t="str">
        <f t="shared" si="0"/>
        <v>Priority Order</v>
      </c>
    </row>
    <row r="45" spans="1:12" x14ac:dyDescent="0.3">
      <c r="A45" s="9">
        <v>1044</v>
      </c>
      <c r="B45" s="9" t="s">
        <v>46</v>
      </c>
      <c r="C45" s="4" t="s">
        <v>38</v>
      </c>
      <c r="D45" s="4" t="s">
        <v>24</v>
      </c>
      <c r="E45" s="4" t="s">
        <v>7</v>
      </c>
      <c r="F45" s="4">
        <v>4</v>
      </c>
      <c r="G45" s="4">
        <v>14731</v>
      </c>
      <c r="H45" s="4">
        <v>2</v>
      </c>
      <c r="I45" s="7">
        <v>46173</v>
      </c>
      <c r="J45" s="7">
        <v>46176</v>
      </c>
      <c r="K45" s="4" t="s">
        <v>79</v>
      </c>
      <c r="L45" s="4" t="str">
        <f t="shared" si="0"/>
        <v>Normal</v>
      </c>
    </row>
    <row r="46" spans="1:12" x14ac:dyDescent="0.3">
      <c r="A46" s="9">
        <v>1045</v>
      </c>
      <c r="B46" s="9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7">
        <v>46038</v>
      </c>
      <c r="J46" s="7">
        <v>46039</v>
      </c>
      <c r="K46" s="4" t="s">
        <v>49</v>
      </c>
      <c r="L46" s="4" t="str">
        <f t="shared" si="0"/>
        <v>Normal</v>
      </c>
    </row>
    <row r="47" spans="1:12" x14ac:dyDescent="0.3">
      <c r="A47" s="9">
        <v>1046</v>
      </c>
      <c r="B47" s="9" t="s">
        <v>54</v>
      </c>
      <c r="C47" s="4" t="s">
        <v>38</v>
      </c>
      <c r="D47" s="4" t="s">
        <v>34</v>
      </c>
      <c r="E47" s="4" t="s">
        <v>6</v>
      </c>
      <c r="F47" s="4">
        <v>3</v>
      </c>
      <c r="G47" s="4">
        <v>19443</v>
      </c>
      <c r="H47" s="4">
        <v>10</v>
      </c>
      <c r="I47" s="7">
        <v>46153</v>
      </c>
      <c r="J47" s="7">
        <v>46158</v>
      </c>
      <c r="K47" s="4" t="s">
        <v>49</v>
      </c>
      <c r="L47" s="4" t="str">
        <f t="shared" si="0"/>
        <v>Normal</v>
      </c>
    </row>
    <row r="48" spans="1:12" x14ac:dyDescent="0.3">
      <c r="A48" s="9">
        <v>1047</v>
      </c>
      <c r="B48" s="9" t="s">
        <v>55</v>
      </c>
      <c r="C48" s="4" t="s">
        <v>38</v>
      </c>
      <c r="D48" s="4" t="s">
        <v>24</v>
      </c>
      <c r="E48" s="4" t="s">
        <v>11</v>
      </c>
      <c r="F48" s="4">
        <v>11</v>
      </c>
      <c r="G48" s="4">
        <v>9976</v>
      </c>
      <c r="H48" s="4">
        <v>12</v>
      </c>
      <c r="I48" s="7">
        <v>46200</v>
      </c>
      <c r="J48" s="7">
        <v>46209</v>
      </c>
      <c r="K48" s="4" t="s">
        <v>78</v>
      </c>
      <c r="L48" s="4" t="str">
        <f t="shared" si="0"/>
        <v>Normal</v>
      </c>
    </row>
    <row r="49" spans="1:12" x14ac:dyDescent="0.3">
      <c r="A49" s="9">
        <v>1048</v>
      </c>
      <c r="B49" s="9" t="s">
        <v>56</v>
      </c>
      <c r="C49" s="4" t="s">
        <v>27</v>
      </c>
      <c r="D49" s="4" t="s">
        <v>34</v>
      </c>
      <c r="E49" s="4" t="s">
        <v>9</v>
      </c>
      <c r="F49" s="4">
        <v>14</v>
      </c>
      <c r="G49" s="4">
        <v>11762</v>
      </c>
      <c r="H49" s="4">
        <v>7</v>
      </c>
      <c r="I49" s="7">
        <v>46180</v>
      </c>
      <c r="J49" s="7">
        <v>46186</v>
      </c>
      <c r="K49" s="4" t="s">
        <v>80</v>
      </c>
      <c r="L49" s="4" t="str">
        <f t="shared" si="0"/>
        <v>Normal</v>
      </c>
    </row>
    <row r="50" spans="1:12" x14ac:dyDescent="0.3">
      <c r="A50" s="9">
        <v>1049</v>
      </c>
      <c r="B50" s="9" t="s">
        <v>50</v>
      </c>
      <c r="C50" s="4" t="s">
        <v>27</v>
      </c>
      <c r="D50" s="4" t="s">
        <v>34</v>
      </c>
      <c r="E50" s="4" t="s">
        <v>6</v>
      </c>
      <c r="F50" s="4">
        <v>2</v>
      </c>
      <c r="G50" s="4">
        <v>40789</v>
      </c>
      <c r="H50" s="4">
        <v>0</v>
      </c>
      <c r="I50" s="7">
        <v>46102</v>
      </c>
      <c r="J50" s="7">
        <v>46108</v>
      </c>
      <c r="K50" s="4" t="s">
        <v>80</v>
      </c>
      <c r="L50" s="4" t="str">
        <f t="shared" si="0"/>
        <v>Normal</v>
      </c>
    </row>
    <row r="51" spans="1:12" x14ac:dyDescent="0.3">
      <c r="A51" s="9">
        <v>1050</v>
      </c>
      <c r="B51" s="9" t="s">
        <v>32</v>
      </c>
      <c r="C51" s="4" t="s">
        <v>27</v>
      </c>
      <c r="D51" s="4" t="s">
        <v>20</v>
      </c>
      <c r="E51" s="4" t="s">
        <v>51</v>
      </c>
      <c r="F51" s="4">
        <v>12</v>
      </c>
      <c r="G51" s="4">
        <v>360</v>
      </c>
      <c r="H51" s="4">
        <v>5</v>
      </c>
      <c r="I51" s="7">
        <v>46127</v>
      </c>
      <c r="J51" s="7">
        <v>46137</v>
      </c>
      <c r="K51" s="4" t="s">
        <v>49</v>
      </c>
      <c r="L51" s="4" t="str">
        <f t="shared" si="0"/>
        <v>Normal</v>
      </c>
    </row>
    <row r="52" spans="1:12" x14ac:dyDescent="0.3">
      <c r="A52" s="9">
        <v>1051</v>
      </c>
      <c r="B52" s="9" t="s">
        <v>55</v>
      </c>
      <c r="C52" s="4" t="s">
        <v>23</v>
      </c>
      <c r="D52" s="4" t="s">
        <v>20</v>
      </c>
      <c r="E52" s="4" t="s">
        <v>36</v>
      </c>
      <c r="F52" s="4">
        <v>12</v>
      </c>
      <c r="G52" s="4">
        <v>47</v>
      </c>
      <c r="H52" s="4">
        <v>2</v>
      </c>
      <c r="I52" s="7">
        <v>46037</v>
      </c>
      <c r="J52" s="7">
        <v>46045</v>
      </c>
      <c r="K52" s="4" t="s">
        <v>78</v>
      </c>
      <c r="L52" s="4" t="str">
        <f t="shared" si="0"/>
        <v>Normal</v>
      </c>
    </row>
    <row r="53" spans="1:12" x14ac:dyDescent="0.3">
      <c r="A53" s="9">
        <v>1052</v>
      </c>
      <c r="B53" s="9" t="s">
        <v>53</v>
      </c>
      <c r="C53" s="4" t="s">
        <v>19</v>
      </c>
      <c r="D53" s="4" t="s">
        <v>20</v>
      </c>
      <c r="E53" s="4" t="s">
        <v>21</v>
      </c>
      <c r="F53" s="4">
        <v>17</v>
      </c>
      <c r="G53" s="4">
        <v>172</v>
      </c>
      <c r="H53" s="4">
        <v>10</v>
      </c>
      <c r="I53" s="7">
        <v>46159</v>
      </c>
      <c r="J53" s="7">
        <v>46165</v>
      </c>
      <c r="K53" s="4" t="s">
        <v>79</v>
      </c>
      <c r="L53" s="4" t="str">
        <f t="shared" si="0"/>
        <v>Normal</v>
      </c>
    </row>
    <row r="54" spans="1:12" x14ac:dyDescent="0.3">
      <c r="A54" s="9">
        <v>1053</v>
      </c>
      <c r="B54" s="9" t="s">
        <v>22</v>
      </c>
      <c r="C54" s="4" t="s">
        <v>33</v>
      </c>
      <c r="D54" s="4" t="s">
        <v>24</v>
      </c>
      <c r="E54" s="4" t="s">
        <v>8</v>
      </c>
      <c r="F54" s="4">
        <v>1</v>
      </c>
      <c r="G54" s="4">
        <v>9749</v>
      </c>
      <c r="H54" s="4">
        <v>15</v>
      </c>
      <c r="I54" s="7">
        <v>46064</v>
      </c>
      <c r="J54" s="7">
        <v>46070</v>
      </c>
      <c r="K54" s="4" t="s">
        <v>80</v>
      </c>
      <c r="L54" s="4" t="str">
        <f t="shared" si="0"/>
        <v>Normal</v>
      </c>
    </row>
    <row r="55" spans="1:12" x14ac:dyDescent="0.3">
      <c r="A55" s="9">
        <v>1054</v>
      </c>
      <c r="B55" s="9" t="s">
        <v>28</v>
      </c>
      <c r="C55" s="4" t="s">
        <v>27</v>
      </c>
      <c r="D55" s="4" t="s">
        <v>24</v>
      </c>
      <c r="E55" s="4" t="s">
        <v>10</v>
      </c>
      <c r="F55" s="4">
        <v>8</v>
      </c>
      <c r="G55" s="4">
        <v>9798</v>
      </c>
      <c r="H55" s="4">
        <v>12</v>
      </c>
      <c r="I55" s="7">
        <v>46200</v>
      </c>
      <c r="J55" s="7">
        <v>46201</v>
      </c>
      <c r="K55" s="4" t="s">
        <v>81</v>
      </c>
      <c r="L55" s="4" t="str">
        <f t="shared" si="0"/>
        <v>Normal</v>
      </c>
    </row>
    <row r="56" spans="1:12" x14ac:dyDescent="0.3">
      <c r="A56" s="9">
        <v>1055</v>
      </c>
      <c r="B56" s="9" t="s">
        <v>46</v>
      </c>
      <c r="C56" s="4" t="s">
        <v>19</v>
      </c>
      <c r="D56" s="4" t="s">
        <v>20</v>
      </c>
      <c r="E56" s="4" t="s">
        <v>37</v>
      </c>
      <c r="F56" s="4">
        <v>18</v>
      </c>
      <c r="G56" s="4">
        <v>185</v>
      </c>
      <c r="H56" s="4">
        <v>15</v>
      </c>
      <c r="I56" s="7">
        <v>46077</v>
      </c>
      <c r="J56" s="7">
        <v>46078</v>
      </c>
      <c r="K56" s="4" t="s">
        <v>78</v>
      </c>
      <c r="L56" s="4" t="str">
        <f t="shared" si="0"/>
        <v>Normal</v>
      </c>
    </row>
    <row r="57" spans="1:12" x14ac:dyDescent="0.3">
      <c r="A57" s="9">
        <v>1056</v>
      </c>
      <c r="B57" s="9" t="s">
        <v>18</v>
      </c>
      <c r="C57" s="4" t="s">
        <v>26</v>
      </c>
      <c r="D57" s="4" t="s">
        <v>24</v>
      </c>
      <c r="E57" s="4" t="s">
        <v>7</v>
      </c>
      <c r="F57" s="4">
        <v>3</v>
      </c>
      <c r="G57" s="4">
        <v>9771</v>
      </c>
      <c r="H57" s="4">
        <v>5</v>
      </c>
      <c r="I57" s="7">
        <v>46133</v>
      </c>
      <c r="J57" s="7">
        <v>46139</v>
      </c>
      <c r="K57" s="4" t="s">
        <v>80</v>
      </c>
      <c r="L57" s="4" t="str">
        <f t="shared" si="0"/>
        <v>Normal</v>
      </c>
    </row>
    <row r="58" spans="1:12" x14ac:dyDescent="0.3">
      <c r="A58" s="9">
        <v>1057</v>
      </c>
      <c r="B58" s="9" t="s">
        <v>56</v>
      </c>
      <c r="C58" s="4" t="s">
        <v>26</v>
      </c>
      <c r="D58" s="4" t="s">
        <v>24</v>
      </c>
      <c r="E58" s="4" t="s">
        <v>8</v>
      </c>
      <c r="F58" s="4">
        <v>2</v>
      </c>
      <c r="G58" s="4">
        <v>9531</v>
      </c>
      <c r="H58" s="4">
        <v>15</v>
      </c>
      <c r="I58" s="7">
        <v>46067</v>
      </c>
      <c r="J58" s="7">
        <v>46076</v>
      </c>
      <c r="K58" s="4" t="s">
        <v>81</v>
      </c>
      <c r="L58" s="4" t="str">
        <f t="shared" si="0"/>
        <v>Normal</v>
      </c>
    </row>
    <row r="59" spans="1:12" x14ac:dyDescent="0.3">
      <c r="A59" s="9">
        <v>1058</v>
      </c>
      <c r="B59" s="9" t="s">
        <v>50</v>
      </c>
      <c r="C59" s="4" t="s">
        <v>38</v>
      </c>
      <c r="D59" s="4" t="s">
        <v>24</v>
      </c>
      <c r="E59" s="4" t="s">
        <v>8</v>
      </c>
      <c r="F59" s="4">
        <v>10</v>
      </c>
      <c r="G59" s="4">
        <v>5532</v>
      </c>
      <c r="H59" s="4">
        <v>7</v>
      </c>
      <c r="I59" s="7">
        <v>46074</v>
      </c>
      <c r="J59" s="7">
        <v>46084</v>
      </c>
      <c r="K59" s="4" t="s">
        <v>80</v>
      </c>
      <c r="L59" s="4" t="str">
        <f t="shared" si="0"/>
        <v>Normal</v>
      </c>
    </row>
    <row r="60" spans="1:12" x14ac:dyDescent="0.3">
      <c r="A60" s="9">
        <v>1059</v>
      </c>
      <c r="B60" s="9" t="s">
        <v>52</v>
      </c>
      <c r="C60" s="4" t="s">
        <v>27</v>
      </c>
      <c r="D60" s="4" t="s">
        <v>20</v>
      </c>
      <c r="E60" s="4" t="s">
        <v>48</v>
      </c>
      <c r="F60" s="4">
        <v>20</v>
      </c>
      <c r="G60" s="4">
        <v>112</v>
      </c>
      <c r="H60" s="4">
        <v>10</v>
      </c>
      <c r="I60" s="7">
        <v>46113</v>
      </c>
      <c r="J60" s="7">
        <v>46122</v>
      </c>
      <c r="K60" s="4" t="s">
        <v>81</v>
      </c>
      <c r="L60" s="4" t="str">
        <f t="shared" si="0"/>
        <v>Normal</v>
      </c>
    </row>
    <row r="61" spans="1:12" x14ac:dyDescent="0.3">
      <c r="A61" s="9">
        <v>1060</v>
      </c>
      <c r="B61" s="9" t="s">
        <v>47</v>
      </c>
      <c r="C61" s="4" t="s">
        <v>19</v>
      </c>
      <c r="D61" s="4" t="s">
        <v>24</v>
      </c>
      <c r="E61" s="4" t="s">
        <v>43</v>
      </c>
      <c r="F61" s="4">
        <v>9</v>
      </c>
      <c r="G61" s="4">
        <v>9727</v>
      </c>
      <c r="H61" s="4">
        <v>2</v>
      </c>
      <c r="I61" s="7">
        <v>46024</v>
      </c>
      <c r="J61" s="7">
        <v>46030</v>
      </c>
      <c r="K61" s="4" t="s">
        <v>79</v>
      </c>
      <c r="L61" s="4" t="str">
        <f t="shared" si="0"/>
        <v>Normal</v>
      </c>
    </row>
    <row r="62" spans="1:12" x14ac:dyDescent="0.3">
      <c r="A62" s="9">
        <v>1061</v>
      </c>
      <c r="B62" s="9" t="s">
        <v>54</v>
      </c>
      <c r="C62" s="4" t="s">
        <v>19</v>
      </c>
      <c r="D62" s="4" t="s">
        <v>34</v>
      </c>
      <c r="E62" s="4" t="s">
        <v>40</v>
      </c>
      <c r="F62" s="4">
        <v>16</v>
      </c>
      <c r="G62" s="4">
        <v>59084</v>
      </c>
      <c r="H62" s="4">
        <v>0</v>
      </c>
      <c r="I62" s="7">
        <v>46060</v>
      </c>
      <c r="J62" s="7">
        <v>46069</v>
      </c>
      <c r="K62" s="4" t="s">
        <v>79</v>
      </c>
      <c r="L62" s="4" t="str">
        <f t="shared" si="0"/>
        <v>Normal</v>
      </c>
    </row>
    <row r="63" spans="1:12" x14ac:dyDescent="0.3">
      <c r="A63" s="9">
        <v>1062</v>
      </c>
      <c r="B63" s="9" t="s">
        <v>39</v>
      </c>
      <c r="C63" s="4" t="s">
        <v>42</v>
      </c>
      <c r="D63" s="4" t="s">
        <v>24</v>
      </c>
      <c r="E63" s="4" t="s">
        <v>10</v>
      </c>
      <c r="F63" s="4">
        <v>8</v>
      </c>
      <c r="G63" s="4">
        <v>8360</v>
      </c>
      <c r="H63" s="4">
        <v>2</v>
      </c>
      <c r="I63" s="7">
        <v>46190</v>
      </c>
      <c r="J63" s="7">
        <v>46200</v>
      </c>
      <c r="K63" s="4" t="s">
        <v>81</v>
      </c>
      <c r="L63" s="4" t="str">
        <f t="shared" si="0"/>
        <v>Normal</v>
      </c>
    </row>
    <row r="64" spans="1:12" x14ac:dyDescent="0.3">
      <c r="A64" s="9">
        <v>1063</v>
      </c>
      <c r="B64" s="9" t="s">
        <v>52</v>
      </c>
      <c r="C64" s="4" t="s">
        <v>26</v>
      </c>
      <c r="D64" s="4" t="s">
        <v>34</v>
      </c>
      <c r="E64" s="4" t="s">
        <v>6</v>
      </c>
      <c r="F64" s="4">
        <v>7</v>
      </c>
      <c r="G64" s="4">
        <v>66744</v>
      </c>
      <c r="H64" s="4">
        <v>7</v>
      </c>
      <c r="I64" s="7">
        <v>46148</v>
      </c>
      <c r="J64" s="7">
        <v>46155</v>
      </c>
      <c r="K64" s="4" t="s">
        <v>78</v>
      </c>
      <c r="L64" s="4" t="str">
        <f t="shared" si="0"/>
        <v>Normal</v>
      </c>
    </row>
    <row r="65" spans="1:12" x14ac:dyDescent="0.3">
      <c r="A65" s="9">
        <v>1064</v>
      </c>
      <c r="B65" s="9" t="s">
        <v>28</v>
      </c>
      <c r="C65" s="4" t="s">
        <v>23</v>
      </c>
      <c r="D65" s="4" t="s">
        <v>20</v>
      </c>
      <c r="E65" s="4" t="s">
        <v>48</v>
      </c>
      <c r="F65" s="4">
        <v>20</v>
      </c>
      <c r="G65" s="4">
        <v>191</v>
      </c>
      <c r="H65" s="4">
        <v>7</v>
      </c>
      <c r="I65" s="7">
        <v>46185</v>
      </c>
      <c r="J65" s="7">
        <v>46195</v>
      </c>
      <c r="K65" s="4" t="s">
        <v>49</v>
      </c>
      <c r="L65" s="4" t="str">
        <f t="shared" si="0"/>
        <v>Normal</v>
      </c>
    </row>
    <row r="66" spans="1:12" x14ac:dyDescent="0.3">
      <c r="A66" s="9">
        <v>1065</v>
      </c>
      <c r="B66" s="9" t="s">
        <v>41</v>
      </c>
      <c r="C66" s="4" t="s">
        <v>42</v>
      </c>
      <c r="D66" s="4" t="s">
        <v>24</v>
      </c>
      <c r="E66" s="4" t="s">
        <v>43</v>
      </c>
      <c r="F66" s="4">
        <v>1</v>
      </c>
      <c r="G66" s="4">
        <v>7730</v>
      </c>
      <c r="H66" s="4">
        <v>5</v>
      </c>
      <c r="I66" s="7">
        <v>46192</v>
      </c>
      <c r="J66" s="7">
        <v>46195</v>
      </c>
      <c r="K66" s="4" t="s">
        <v>81</v>
      </c>
      <c r="L66" s="4" t="str">
        <f t="shared" si="0"/>
        <v>Normal</v>
      </c>
    </row>
    <row r="67" spans="1:12" x14ac:dyDescent="0.3">
      <c r="A67" s="9">
        <v>1066</v>
      </c>
      <c r="B67" s="9" t="s">
        <v>45</v>
      </c>
      <c r="C67" s="4" t="s">
        <v>27</v>
      </c>
      <c r="D67" s="4" t="s">
        <v>24</v>
      </c>
      <c r="E67" s="4" t="s">
        <v>43</v>
      </c>
      <c r="F67" s="4">
        <v>15</v>
      </c>
      <c r="G67" s="4">
        <v>11987</v>
      </c>
      <c r="H67" s="4">
        <v>5</v>
      </c>
      <c r="I67" s="7">
        <v>46082</v>
      </c>
      <c r="J67" s="7">
        <v>46083</v>
      </c>
      <c r="K67" s="4" t="s">
        <v>78</v>
      </c>
      <c r="L67" s="4" t="str">
        <f t="shared" ref="L67:L130" si="1">IF(AND(C67="Mumbai",F67&gt;=15),"Priority Order","Normal")</f>
        <v>Normal</v>
      </c>
    </row>
    <row r="68" spans="1:12" x14ac:dyDescent="0.3">
      <c r="A68" s="9">
        <v>1067</v>
      </c>
      <c r="B68" s="9" t="s">
        <v>32</v>
      </c>
      <c r="C68" s="4" t="s">
        <v>42</v>
      </c>
      <c r="D68" s="4" t="s">
        <v>24</v>
      </c>
      <c r="E68" s="4" t="s">
        <v>11</v>
      </c>
      <c r="F68" s="4">
        <v>14</v>
      </c>
      <c r="G68" s="4">
        <v>10869</v>
      </c>
      <c r="H68" s="4">
        <v>0</v>
      </c>
      <c r="I68" s="7">
        <v>46058</v>
      </c>
      <c r="J68" s="7">
        <v>46062</v>
      </c>
      <c r="K68" s="4" t="s">
        <v>49</v>
      </c>
      <c r="L68" s="4" t="str">
        <f t="shared" si="1"/>
        <v>Normal</v>
      </c>
    </row>
    <row r="69" spans="1:12" x14ac:dyDescent="0.3">
      <c r="A69" s="9">
        <v>1068</v>
      </c>
      <c r="B69" s="9" t="s">
        <v>50</v>
      </c>
      <c r="C69" s="4" t="s">
        <v>42</v>
      </c>
      <c r="D69" s="4" t="s">
        <v>34</v>
      </c>
      <c r="E69" s="4" t="s">
        <v>9</v>
      </c>
      <c r="F69" s="4">
        <v>15</v>
      </c>
      <c r="G69" s="4">
        <v>14534</v>
      </c>
      <c r="H69" s="4">
        <v>5</v>
      </c>
      <c r="I69" s="7">
        <v>46196</v>
      </c>
      <c r="J69" s="7">
        <v>46199</v>
      </c>
      <c r="K69" s="4" t="s">
        <v>49</v>
      </c>
      <c r="L69" s="4" t="str">
        <f t="shared" si="1"/>
        <v>Normal</v>
      </c>
    </row>
    <row r="70" spans="1:12" x14ac:dyDescent="0.3">
      <c r="A70" s="9">
        <v>1069</v>
      </c>
      <c r="B70" s="9" t="s">
        <v>50</v>
      </c>
      <c r="C70" s="4" t="s">
        <v>31</v>
      </c>
      <c r="D70" s="4" t="s">
        <v>24</v>
      </c>
      <c r="E70" s="4" t="s">
        <v>8</v>
      </c>
      <c r="F70" s="4">
        <v>9</v>
      </c>
      <c r="G70" s="4">
        <v>4415</v>
      </c>
      <c r="H70" s="4">
        <v>5</v>
      </c>
      <c r="I70" s="7">
        <v>46039</v>
      </c>
      <c r="J70" s="7">
        <v>46046</v>
      </c>
      <c r="K70" s="4" t="s">
        <v>78</v>
      </c>
      <c r="L70" s="4" t="str">
        <f t="shared" si="1"/>
        <v>Normal</v>
      </c>
    </row>
    <row r="71" spans="1:12" x14ac:dyDescent="0.3">
      <c r="A71" s="9">
        <v>1070</v>
      </c>
      <c r="B71" s="9" t="s">
        <v>50</v>
      </c>
      <c r="C71" s="4" t="s">
        <v>42</v>
      </c>
      <c r="D71" s="4" t="s">
        <v>20</v>
      </c>
      <c r="E71" s="4" t="s">
        <v>36</v>
      </c>
      <c r="F71" s="4">
        <v>10</v>
      </c>
      <c r="G71" s="4">
        <v>233</v>
      </c>
      <c r="H71" s="4">
        <v>7</v>
      </c>
      <c r="I71" s="7">
        <v>46076</v>
      </c>
      <c r="J71" s="7">
        <v>46077</v>
      </c>
      <c r="K71" s="4" t="s">
        <v>49</v>
      </c>
      <c r="L71" s="4" t="str">
        <f t="shared" si="1"/>
        <v>Normal</v>
      </c>
    </row>
    <row r="72" spans="1:12" x14ac:dyDescent="0.3">
      <c r="A72" s="9">
        <v>1071</v>
      </c>
      <c r="B72" s="9" t="s">
        <v>56</v>
      </c>
      <c r="C72" s="4" t="s">
        <v>26</v>
      </c>
      <c r="D72" s="4" t="s">
        <v>34</v>
      </c>
      <c r="E72" s="4" t="s">
        <v>12</v>
      </c>
      <c r="F72" s="4">
        <v>18</v>
      </c>
      <c r="G72" s="4">
        <v>32197</v>
      </c>
      <c r="H72" s="4">
        <v>5</v>
      </c>
      <c r="I72" s="7">
        <v>46129</v>
      </c>
      <c r="J72" s="7">
        <v>46137</v>
      </c>
      <c r="K72" s="4" t="s">
        <v>79</v>
      </c>
      <c r="L72" s="4" t="str">
        <f t="shared" si="1"/>
        <v>Normal</v>
      </c>
    </row>
    <row r="73" spans="1:12" x14ac:dyDescent="0.3">
      <c r="A73" s="9">
        <v>1072</v>
      </c>
      <c r="B73" s="9" t="s">
        <v>22</v>
      </c>
      <c r="C73" s="4" t="s">
        <v>27</v>
      </c>
      <c r="D73" s="4" t="s">
        <v>34</v>
      </c>
      <c r="E73" s="4" t="s">
        <v>12</v>
      </c>
      <c r="F73" s="4">
        <v>20</v>
      </c>
      <c r="G73" s="4">
        <v>58779</v>
      </c>
      <c r="H73" s="4">
        <v>0</v>
      </c>
      <c r="I73" s="7">
        <v>46035</v>
      </c>
      <c r="J73" s="7">
        <v>46036</v>
      </c>
      <c r="K73" s="4" t="s">
        <v>80</v>
      </c>
      <c r="L73" s="4" t="str">
        <f t="shared" si="1"/>
        <v>Normal</v>
      </c>
    </row>
    <row r="74" spans="1:12" x14ac:dyDescent="0.3">
      <c r="A74" s="9">
        <v>1073</v>
      </c>
      <c r="B74" s="9" t="s">
        <v>55</v>
      </c>
      <c r="C74" s="4" t="s">
        <v>23</v>
      </c>
      <c r="D74" s="4" t="s">
        <v>24</v>
      </c>
      <c r="E74" s="4" t="s">
        <v>11</v>
      </c>
      <c r="F74" s="4">
        <v>4</v>
      </c>
      <c r="G74" s="4">
        <v>2453</v>
      </c>
      <c r="H74" s="4">
        <v>7</v>
      </c>
      <c r="I74" s="7">
        <v>46126</v>
      </c>
      <c r="J74" s="7">
        <v>46129</v>
      </c>
      <c r="K74" s="4" t="s">
        <v>81</v>
      </c>
      <c r="L74" s="4" t="str">
        <f t="shared" si="1"/>
        <v>Normal</v>
      </c>
    </row>
    <row r="75" spans="1:12" x14ac:dyDescent="0.3">
      <c r="A75" s="9">
        <v>1074</v>
      </c>
      <c r="B75" s="9" t="s">
        <v>28</v>
      </c>
      <c r="C75" s="4" t="s">
        <v>31</v>
      </c>
      <c r="D75" s="4" t="s">
        <v>20</v>
      </c>
      <c r="E75" s="4" t="s">
        <v>48</v>
      </c>
      <c r="F75" s="4">
        <v>11</v>
      </c>
      <c r="G75" s="4">
        <v>390</v>
      </c>
      <c r="H75" s="4">
        <v>15</v>
      </c>
      <c r="I75" s="7">
        <v>46114</v>
      </c>
      <c r="J75" s="7">
        <v>46123</v>
      </c>
      <c r="K75" s="4" t="s">
        <v>49</v>
      </c>
      <c r="L75" s="4" t="str">
        <f t="shared" si="1"/>
        <v>Normal</v>
      </c>
    </row>
    <row r="76" spans="1:12" x14ac:dyDescent="0.3">
      <c r="A76" s="9">
        <v>1075</v>
      </c>
      <c r="B76" s="9" t="s">
        <v>41</v>
      </c>
      <c r="C76" s="4" t="s">
        <v>42</v>
      </c>
      <c r="D76" s="4" t="s">
        <v>34</v>
      </c>
      <c r="E76" s="4" t="s">
        <v>12</v>
      </c>
      <c r="F76" s="4">
        <v>4</v>
      </c>
      <c r="G76" s="4">
        <v>64773</v>
      </c>
      <c r="H76" s="4">
        <v>10</v>
      </c>
      <c r="I76" s="7">
        <v>46185</v>
      </c>
      <c r="J76" s="7">
        <v>46186</v>
      </c>
      <c r="K76" s="4" t="s">
        <v>81</v>
      </c>
      <c r="L76" s="4" t="str">
        <f t="shared" si="1"/>
        <v>Normal</v>
      </c>
    </row>
    <row r="77" spans="1:12" x14ac:dyDescent="0.3">
      <c r="A77" s="9">
        <v>1076</v>
      </c>
      <c r="B77" s="9" t="s">
        <v>49</v>
      </c>
      <c r="C77" s="4" t="s">
        <v>23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7">
        <v>46045</v>
      </c>
      <c r="J77" s="7">
        <v>46055</v>
      </c>
      <c r="K77" s="4" t="s">
        <v>49</v>
      </c>
      <c r="L77" s="4" t="str">
        <f t="shared" si="1"/>
        <v>Normal</v>
      </c>
    </row>
    <row r="78" spans="1:12" x14ac:dyDescent="0.3">
      <c r="A78" s="9">
        <v>1077</v>
      </c>
      <c r="B78" s="9" t="s">
        <v>53</v>
      </c>
      <c r="C78" s="4" t="s">
        <v>27</v>
      </c>
      <c r="D78" s="4" t="s">
        <v>20</v>
      </c>
      <c r="E78" s="4" t="s">
        <v>21</v>
      </c>
      <c r="F78" s="4">
        <v>1</v>
      </c>
      <c r="G78" s="4">
        <v>123</v>
      </c>
      <c r="H78" s="4">
        <v>10</v>
      </c>
      <c r="I78" s="7">
        <v>46113</v>
      </c>
      <c r="J78" s="7">
        <v>46121</v>
      </c>
      <c r="K78" s="4" t="s">
        <v>81</v>
      </c>
      <c r="L78" s="4" t="str">
        <f t="shared" si="1"/>
        <v>Normal</v>
      </c>
    </row>
    <row r="79" spans="1:12" x14ac:dyDescent="0.3">
      <c r="A79" s="9">
        <v>1078</v>
      </c>
      <c r="B79" s="9" t="s">
        <v>50</v>
      </c>
      <c r="C79" s="4" t="s">
        <v>23</v>
      </c>
      <c r="D79" s="4" t="s">
        <v>34</v>
      </c>
      <c r="E79" s="4" t="s">
        <v>5</v>
      </c>
      <c r="F79" s="4">
        <v>11</v>
      </c>
      <c r="G79" s="4">
        <v>24278</v>
      </c>
      <c r="H79" s="4">
        <v>12</v>
      </c>
      <c r="I79" s="7">
        <v>46084</v>
      </c>
      <c r="J79" s="7">
        <v>46090</v>
      </c>
      <c r="K79" s="4" t="s">
        <v>49</v>
      </c>
      <c r="L79" s="4" t="str">
        <f t="shared" si="1"/>
        <v>Normal</v>
      </c>
    </row>
    <row r="80" spans="1:12" x14ac:dyDescent="0.3">
      <c r="A80" s="9">
        <v>1079</v>
      </c>
      <c r="B80" s="9" t="s">
        <v>28</v>
      </c>
      <c r="C80" s="4" t="s">
        <v>38</v>
      </c>
      <c r="D80" s="4" t="s">
        <v>34</v>
      </c>
      <c r="E80" s="4" t="s">
        <v>40</v>
      </c>
      <c r="F80" s="4">
        <v>19</v>
      </c>
      <c r="G80" s="4">
        <v>48956</v>
      </c>
      <c r="H80" s="4">
        <v>12</v>
      </c>
      <c r="I80" s="7">
        <v>46170</v>
      </c>
      <c r="J80" s="7">
        <v>46177</v>
      </c>
      <c r="K80" s="4" t="s">
        <v>81</v>
      </c>
      <c r="L80" s="4" t="str">
        <f t="shared" si="1"/>
        <v>Priority Order</v>
      </c>
    </row>
    <row r="81" spans="1:12" x14ac:dyDescent="0.3">
      <c r="A81" s="9">
        <v>1080</v>
      </c>
      <c r="B81" s="9" t="s">
        <v>25</v>
      </c>
      <c r="C81" s="4" t="s">
        <v>26</v>
      </c>
      <c r="D81" s="4" t="s">
        <v>34</v>
      </c>
      <c r="E81" s="4" t="s">
        <v>40</v>
      </c>
      <c r="F81" s="4">
        <v>12</v>
      </c>
      <c r="G81" s="4">
        <v>54161</v>
      </c>
      <c r="H81" s="4">
        <v>15</v>
      </c>
      <c r="I81" s="7">
        <v>46133</v>
      </c>
      <c r="J81" s="7">
        <v>46143</v>
      </c>
      <c r="K81" s="4" t="s">
        <v>80</v>
      </c>
      <c r="L81" s="4" t="str">
        <f t="shared" si="1"/>
        <v>Normal</v>
      </c>
    </row>
    <row r="82" spans="1:12" x14ac:dyDescent="0.3">
      <c r="A82" s="9">
        <v>1081</v>
      </c>
      <c r="B82" s="9" t="s">
        <v>45</v>
      </c>
      <c r="C82" s="4" t="s">
        <v>19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7">
        <v>46058</v>
      </c>
      <c r="J82" s="7">
        <v>46060</v>
      </c>
      <c r="K82" s="4" t="s">
        <v>81</v>
      </c>
      <c r="L82" s="4" t="str">
        <f t="shared" si="1"/>
        <v>Normal</v>
      </c>
    </row>
    <row r="83" spans="1:12" x14ac:dyDescent="0.3">
      <c r="A83" s="9">
        <v>1082</v>
      </c>
      <c r="B83" s="9" t="s">
        <v>25</v>
      </c>
      <c r="C83" s="4" t="s">
        <v>19</v>
      </c>
      <c r="D83" s="4" t="s">
        <v>20</v>
      </c>
      <c r="E83" s="4" t="s">
        <v>21</v>
      </c>
      <c r="F83" s="4">
        <v>7</v>
      </c>
      <c r="G83" s="4">
        <v>133</v>
      </c>
      <c r="H83" s="4">
        <v>10</v>
      </c>
      <c r="I83" s="7">
        <v>46075</v>
      </c>
      <c r="J83" s="7">
        <v>46085</v>
      </c>
      <c r="K83" s="4" t="s">
        <v>81</v>
      </c>
      <c r="L83" s="4" t="str">
        <f t="shared" si="1"/>
        <v>Normal</v>
      </c>
    </row>
    <row r="84" spans="1:12" x14ac:dyDescent="0.3">
      <c r="A84" s="9">
        <v>1083</v>
      </c>
      <c r="B84" s="9" t="s">
        <v>53</v>
      </c>
      <c r="C84" s="4" t="s">
        <v>33</v>
      </c>
      <c r="D84" s="4" t="s">
        <v>20</v>
      </c>
      <c r="E84" s="4" t="s">
        <v>51</v>
      </c>
      <c r="F84" s="4">
        <v>4</v>
      </c>
      <c r="G84" s="4">
        <v>397</v>
      </c>
      <c r="H84" s="4">
        <v>7</v>
      </c>
      <c r="I84" s="7">
        <v>46185</v>
      </c>
      <c r="J84" s="7">
        <v>46193</v>
      </c>
      <c r="K84" s="4" t="s">
        <v>78</v>
      </c>
      <c r="L84" s="4" t="str">
        <f t="shared" si="1"/>
        <v>Normal</v>
      </c>
    </row>
    <row r="85" spans="1:12" x14ac:dyDescent="0.3">
      <c r="A85" s="9">
        <v>1084</v>
      </c>
      <c r="B85" s="9" t="s">
        <v>47</v>
      </c>
      <c r="C85" s="4" t="s">
        <v>31</v>
      </c>
      <c r="D85" s="4" t="s">
        <v>24</v>
      </c>
      <c r="E85" s="4" t="s">
        <v>8</v>
      </c>
      <c r="F85" s="4">
        <v>4</v>
      </c>
      <c r="G85" s="4">
        <v>6901</v>
      </c>
      <c r="H85" s="4">
        <v>10</v>
      </c>
      <c r="I85" s="7">
        <v>46047</v>
      </c>
      <c r="J85" s="7">
        <v>46057</v>
      </c>
      <c r="K85" s="4" t="s">
        <v>79</v>
      </c>
      <c r="L85" s="4" t="str">
        <f t="shared" si="1"/>
        <v>Normal</v>
      </c>
    </row>
    <row r="86" spans="1:12" x14ac:dyDescent="0.3">
      <c r="A86" s="9">
        <v>1085</v>
      </c>
      <c r="B86" s="9" t="s">
        <v>32</v>
      </c>
      <c r="C86" s="4" t="s">
        <v>38</v>
      </c>
      <c r="D86" s="4" t="s">
        <v>34</v>
      </c>
      <c r="E86" s="4" t="s">
        <v>9</v>
      </c>
      <c r="F86" s="4">
        <v>19</v>
      </c>
      <c r="G86" s="4">
        <v>45307</v>
      </c>
      <c r="H86" s="4">
        <v>12</v>
      </c>
      <c r="I86" s="7">
        <v>46146</v>
      </c>
      <c r="J86" s="7">
        <v>46150</v>
      </c>
      <c r="K86" s="4" t="s">
        <v>80</v>
      </c>
      <c r="L86" s="4" t="str">
        <f t="shared" si="1"/>
        <v>Priority Order</v>
      </c>
    </row>
    <row r="87" spans="1:12" x14ac:dyDescent="0.3">
      <c r="A87" s="9">
        <v>1086</v>
      </c>
      <c r="B87" s="9" t="s">
        <v>32</v>
      </c>
      <c r="C87" s="4" t="s">
        <v>19</v>
      </c>
      <c r="D87" s="4" t="s">
        <v>20</v>
      </c>
      <c r="E87" s="4" t="s">
        <v>51</v>
      </c>
      <c r="F87" s="4">
        <v>15</v>
      </c>
      <c r="G87" s="4">
        <v>40</v>
      </c>
      <c r="H87" s="4">
        <v>10</v>
      </c>
      <c r="I87" s="7">
        <v>46045</v>
      </c>
      <c r="J87" s="7">
        <v>46049</v>
      </c>
      <c r="K87" s="4" t="s">
        <v>80</v>
      </c>
      <c r="L87" s="4" t="str">
        <f t="shared" si="1"/>
        <v>Normal</v>
      </c>
    </row>
    <row r="88" spans="1:12" x14ac:dyDescent="0.3">
      <c r="A88" s="9">
        <v>1087</v>
      </c>
      <c r="B88" s="9" t="s">
        <v>18</v>
      </c>
      <c r="C88" s="4" t="s">
        <v>31</v>
      </c>
      <c r="D88" s="4" t="s">
        <v>20</v>
      </c>
      <c r="E88" s="4" t="s">
        <v>37</v>
      </c>
      <c r="F88" s="4">
        <v>13</v>
      </c>
      <c r="G88" s="4">
        <v>387</v>
      </c>
      <c r="H88" s="4">
        <v>7</v>
      </c>
      <c r="I88" s="7">
        <v>46171</v>
      </c>
      <c r="J88" s="7">
        <v>46176</v>
      </c>
      <c r="K88" s="4" t="s">
        <v>80</v>
      </c>
      <c r="L88" s="4" t="str">
        <f t="shared" si="1"/>
        <v>Normal</v>
      </c>
    </row>
    <row r="89" spans="1:12" x14ac:dyDescent="0.3">
      <c r="A89" s="9">
        <v>1088</v>
      </c>
      <c r="B89" s="9" t="s">
        <v>39</v>
      </c>
      <c r="C89" s="4" t="s">
        <v>33</v>
      </c>
      <c r="D89" s="4" t="s">
        <v>34</v>
      </c>
      <c r="E89" s="4" t="s">
        <v>40</v>
      </c>
      <c r="F89" s="4">
        <v>20</v>
      </c>
      <c r="G89" s="4">
        <v>41165</v>
      </c>
      <c r="H89" s="4">
        <v>0</v>
      </c>
      <c r="I89" s="7">
        <v>46068</v>
      </c>
      <c r="J89" s="7">
        <v>46069</v>
      </c>
      <c r="K89" s="4" t="s">
        <v>79</v>
      </c>
      <c r="L89" s="4" t="str">
        <f t="shared" si="1"/>
        <v>Normal</v>
      </c>
    </row>
    <row r="90" spans="1:12" x14ac:dyDescent="0.3">
      <c r="A90" s="9">
        <v>1089</v>
      </c>
      <c r="B90" s="9" t="s">
        <v>44</v>
      </c>
      <c r="C90" s="4" t="s">
        <v>19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7">
        <v>46066</v>
      </c>
      <c r="J90" s="7">
        <v>46071</v>
      </c>
      <c r="K90" s="4" t="s">
        <v>80</v>
      </c>
      <c r="L90" s="4" t="str">
        <f t="shared" si="1"/>
        <v>Normal</v>
      </c>
    </row>
    <row r="91" spans="1:12" x14ac:dyDescent="0.3">
      <c r="A91" s="9">
        <v>1090</v>
      </c>
      <c r="B91" s="9" t="s">
        <v>47</v>
      </c>
      <c r="C91" s="4" t="s">
        <v>31</v>
      </c>
      <c r="D91" s="4" t="s">
        <v>34</v>
      </c>
      <c r="E91" s="4" t="s">
        <v>6</v>
      </c>
      <c r="F91" s="4">
        <v>19</v>
      </c>
      <c r="G91" s="4">
        <v>66139</v>
      </c>
      <c r="H91" s="4">
        <v>5</v>
      </c>
      <c r="I91" s="7">
        <v>46088</v>
      </c>
      <c r="J91" s="7">
        <v>46095</v>
      </c>
      <c r="K91" s="4" t="s">
        <v>80</v>
      </c>
      <c r="L91" s="4" t="str">
        <f t="shared" si="1"/>
        <v>Normal</v>
      </c>
    </row>
    <row r="92" spans="1:12" x14ac:dyDescent="0.3">
      <c r="A92" s="9">
        <v>1091</v>
      </c>
      <c r="B92" s="9" t="s">
        <v>53</v>
      </c>
      <c r="C92" s="4" t="s">
        <v>23</v>
      </c>
      <c r="D92" s="4" t="s">
        <v>20</v>
      </c>
      <c r="E92" s="4" t="s">
        <v>51</v>
      </c>
      <c r="F92" s="4">
        <v>2</v>
      </c>
      <c r="G92" s="4">
        <v>305</v>
      </c>
      <c r="H92" s="4">
        <v>0</v>
      </c>
      <c r="I92" s="7">
        <v>46136</v>
      </c>
      <c r="J92" s="7">
        <v>46144</v>
      </c>
      <c r="K92" s="4" t="s">
        <v>78</v>
      </c>
      <c r="L92" s="4" t="str">
        <f t="shared" si="1"/>
        <v>Normal</v>
      </c>
    </row>
    <row r="93" spans="1:12" x14ac:dyDescent="0.3">
      <c r="A93" s="9">
        <v>1092</v>
      </c>
      <c r="B93" s="9" t="s">
        <v>25</v>
      </c>
      <c r="C93" s="4" t="s">
        <v>26</v>
      </c>
      <c r="D93" s="4" t="s">
        <v>34</v>
      </c>
      <c r="E93" s="4" t="s">
        <v>40</v>
      </c>
      <c r="F93" s="4">
        <v>9</v>
      </c>
      <c r="G93" s="4">
        <v>23438</v>
      </c>
      <c r="H93" s="4">
        <v>2</v>
      </c>
      <c r="I93" s="7">
        <v>46049</v>
      </c>
      <c r="J93" s="7">
        <v>46055</v>
      </c>
      <c r="K93" s="4" t="s">
        <v>49</v>
      </c>
      <c r="L93" s="4" t="str">
        <f t="shared" si="1"/>
        <v>Normal</v>
      </c>
    </row>
    <row r="94" spans="1:12" x14ac:dyDescent="0.3">
      <c r="A94" s="9">
        <v>1093</v>
      </c>
      <c r="B94" s="9" t="s">
        <v>45</v>
      </c>
      <c r="C94" s="4" t="s">
        <v>27</v>
      </c>
      <c r="D94" s="4" t="s">
        <v>24</v>
      </c>
      <c r="E94" s="4" t="s">
        <v>10</v>
      </c>
      <c r="F94" s="4">
        <v>6</v>
      </c>
      <c r="G94" s="4">
        <v>8224</v>
      </c>
      <c r="H94" s="4">
        <v>15</v>
      </c>
      <c r="I94" s="7">
        <v>46175</v>
      </c>
      <c r="J94" s="7">
        <v>46185</v>
      </c>
      <c r="K94" s="4" t="s">
        <v>81</v>
      </c>
      <c r="L94" s="4" t="str">
        <f t="shared" si="1"/>
        <v>Normal</v>
      </c>
    </row>
    <row r="95" spans="1:12" x14ac:dyDescent="0.3">
      <c r="A95" s="9">
        <v>1094</v>
      </c>
      <c r="B95" s="9" t="s">
        <v>45</v>
      </c>
      <c r="C95" s="4" t="s">
        <v>42</v>
      </c>
      <c r="D95" s="4" t="s">
        <v>34</v>
      </c>
      <c r="E95" s="4" t="s">
        <v>12</v>
      </c>
      <c r="F95" s="4">
        <v>4</v>
      </c>
      <c r="G95" s="4">
        <v>7073</v>
      </c>
      <c r="H95" s="4">
        <v>0</v>
      </c>
      <c r="I95" s="7">
        <v>46101</v>
      </c>
      <c r="J95" s="7">
        <v>46105</v>
      </c>
      <c r="K95" s="4" t="s">
        <v>49</v>
      </c>
      <c r="L95" s="4" t="str">
        <f t="shared" si="1"/>
        <v>Normal</v>
      </c>
    </row>
    <row r="96" spans="1:12" x14ac:dyDescent="0.3">
      <c r="A96" s="9">
        <v>1095</v>
      </c>
      <c r="B96" s="9" t="s">
        <v>45</v>
      </c>
      <c r="C96" s="4" t="s">
        <v>27</v>
      </c>
      <c r="D96" s="4" t="s">
        <v>34</v>
      </c>
      <c r="E96" s="4" t="s">
        <v>40</v>
      </c>
      <c r="F96" s="4">
        <v>18</v>
      </c>
      <c r="G96" s="4">
        <v>587</v>
      </c>
      <c r="H96" s="4">
        <v>2</v>
      </c>
      <c r="I96" s="7">
        <v>46167</v>
      </c>
      <c r="J96" s="7">
        <v>46171</v>
      </c>
      <c r="K96" s="4" t="s">
        <v>79</v>
      </c>
      <c r="L96" s="4" t="str">
        <f t="shared" si="1"/>
        <v>Normal</v>
      </c>
    </row>
    <row r="97" spans="1:12" x14ac:dyDescent="0.3">
      <c r="A97" s="9">
        <v>1096</v>
      </c>
      <c r="B97" s="9" t="s">
        <v>47</v>
      </c>
      <c r="C97" s="4" t="s">
        <v>23</v>
      </c>
      <c r="D97" s="4" t="s">
        <v>24</v>
      </c>
      <c r="E97" s="4" t="s">
        <v>10</v>
      </c>
      <c r="F97" s="4">
        <v>15</v>
      </c>
      <c r="G97" s="4">
        <v>14724</v>
      </c>
      <c r="H97" s="4">
        <v>15</v>
      </c>
      <c r="I97" s="7">
        <v>46054</v>
      </c>
      <c r="J97" s="7">
        <v>46061</v>
      </c>
      <c r="K97" s="4" t="s">
        <v>79</v>
      </c>
      <c r="L97" s="4" t="str">
        <f t="shared" si="1"/>
        <v>Normal</v>
      </c>
    </row>
    <row r="98" spans="1:12" x14ac:dyDescent="0.3">
      <c r="A98" s="9">
        <v>1097</v>
      </c>
      <c r="B98" s="9" t="s">
        <v>50</v>
      </c>
      <c r="C98" s="4" t="s">
        <v>26</v>
      </c>
      <c r="D98" s="4" t="s">
        <v>34</v>
      </c>
      <c r="E98" s="4" t="s">
        <v>12</v>
      </c>
      <c r="F98" s="4">
        <v>10</v>
      </c>
      <c r="G98" s="4">
        <v>28980</v>
      </c>
      <c r="H98" s="4">
        <v>10</v>
      </c>
      <c r="I98" s="7">
        <v>46089</v>
      </c>
      <c r="J98" s="7">
        <v>46094</v>
      </c>
      <c r="K98" s="4" t="s">
        <v>80</v>
      </c>
      <c r="L98" s="4" t="str">
        <f t="shared" si="1"/>
        <v>Normal</v>
      </c>
    </row>
    <row r="99" spans="1:12" x14ac:dyDescent="0.3">
      <c r="A99" s="9">
        <v>1098</v>
      </c>
      <c r="B99" s="9" t="s">
        <v>28</v>
      </c>
      <c r="C99" s="4" t="s">
        <v>27</v>
      </c>
      <c r="D99" s="4" t="s">
        <v>20</v>
      </c>
      <c r="E99" s="4" t="s">
        <v>51</v>
      </c>
      <c r="F99" s="4">
        <v>17</v>
      </c>
      <c r="G99" s="4">
        <v>345</v>
      </c>
      <c r="H99" s="4">
        <v>2</v>
      </c>
      <c r="I99" s="7">
        <v>46126</v>
      </c>
      <c r="J99" s="7">
        <v>46127</v>
      </c>
      <c r="K99" s="4" t="s">
        <v>81</v>
      </c>
      <c r="L99" s="4" t="str">
        <f t="shared" si="1"/>
        <v>Normal</v>
      </c>
    </row>
    <row r="100" spans="1:12" x14ac:dyDescent="0.3">
      <c r="A100" s="9">
        <v>1099</v>
      </c>
      <c r="B100" s="9" t="s">
        <v>28</v>
      </c>
      <c r="C100" s="4" t="s">
        <v>31</v>
      </c>
      <c r="D100" s="4" t="s">
        <v>24</v>
      </c>
      <c r="E100" s="4" t="s">
        <v>7</v>
      </c>
      <c r="F100" s="4">
        <v>1</v>
      </c>
      <c r="G100" s="4">
        <v>5165</v>
      </c>
      <c r="H100" s="4">
        <v>2</v>
      </c>
      <c r="I100" s="7">
        <v>46058</v>
      </c>
      <c r="J100" s="7">
        <v>46060</v>
      </c>
      <c r="K100" s="4" t="s">
        <v>78</v>
      </c>
      <c r="L100" s="4" t="str">
        <f t="shared" si="1"/>
        <v>Normal</v>
      </c>
    </row>
    <row r="101" spans="1:12" x14ac:dyDescent="0.3">
      <c r="A101" s="9">
        <v>1100</v>
      </c>
      <c r="B101" s="9" t="s">
        <v>18</v>
      </c>
      <c r="C101" s="4" t="s">
        <v>31</v>
      </c>
      <c r="D101" s="4" t="s">
        <v>20</v>
      </c>
      <c r="E101" s="4" t="s">
        <v>21</v>
      </c>
      <c r="F101" s="4">
        <v>11</v>
      </c>
      <c r="G101" s="4">
        <v>296</v>
      </c>
      <c r="H101" s="4">
        <v>10</v>
      </c>
      <c r="I101" s="7">
        <v>46027</v>
      </c>
      <c r="J101" s="7">
        <v>46031</v>
      </c>
      <c r="K101" s="4" t="s">
        <v>81</v>
      </c>
      <c r="L101" s="4" t="str">
        <f t="shared" si="1"/>
        <v>Normal</v>
      </c>
    </row>
    <row r="102" spans="1:12" x14ac:dyDescent="0.3">
      <c r="A102" s="9">
        <v>1101</v>
      </c>
      <c r="B102" s="9" t="s">
        <v>29</v>
      </c>
      <c r="C102" s="4" t="s">
        <v>26</v>
      </c>
      <c r="D102" s="4" t="s">
        <v>34</v>
      </c>
      <c r="E102" s="4" t="s">
        <v>12</v>
      </c>
      <c r="F102" s="4">
        <v>9</v>
      </c>
      <c r="G102" s="4">
        <v>37361</v>
      </c>
      <c r="H102" s="4">
        <v>10</v>
      </c>
      <c r="I102" s="7">
        <v>46141</v>
      </c>
      <c r="J102" s="7">
        <v>46142</v>
      </c>
      <c r="K102" s="4" t="s">
        <v>80</v>
      </c>
      <c r="L102" s="4" t="str">
        <f t="shared" si="1"/>
        <v>Normal</v>
      </c>
    </row>
    <row r="103" spans="1:12" x14ac:dyDescent="0.3">
      <c r="A103" s="9">
        <v>1102</v>
      </c>
      <c r="B103" s="9" t="s">
        <v>52</v>
      </c>
      <c r="C103" s="4" t="s">
        <v>27</v>
      </c>
      <c r="D103" s="4" t="s">
        <v>34</v>
      </c>
      <c r="E103" s="4" t="s">
        <v>6</v>
      </c>
      <c r="F103" s="4">
        <v>12</v>
      </c>
      <c r="G103" s="4">
        <v>63402</v>
      </c>
      <c r="H103" s="4">
        <v>7</v>
      </c>
      <c r="I103" s="7">
        <v>46106</v>
      </c>
      <c r="J103" s="7">
        <v>46113</v>
      </c>
      <c r="K103" s="4" t="s">
        <v>81</v>
      </c>
      <c r="L103" s="4" t="str">
        <f t="shared" si="1"/>
        <v>Normal</v>
      </c>
    </row>
    <row r="104" spans="1:12" x14ac:dyDescent="0.3">
      <c r="A104" s="9">
        <v>1103</v>
      </c>
      <c r="B104" s="9" t="s">
        <v>22</v>
      </c>
      <c r="C104" s="4" t="s">
        <v>19</v>
      </c>
      <c r="D104" s="4" t="s">
        <v>24</v>
      </c>
      <c r="E104" s="4" t="s">
        <v>10</v>
      </c>
      <c r="F104" s="4">
        <v>7</v>
      </c>
      <c r="G104" s="4">
        <v>11925</v>
      </c>
      <c r="H104" s="4">
        <v>5</v>
      </c>
      <c r="I104" s="7">
        <v>46040</v>
      </c>
      <c r="J104" s="7">
        <v>46041</v>
      </c>
      <c r="K104" s="4" t="s">
        <v>49</v>
      </c>
      <c r="L104" s="4" t="str">
        <f t="shared" si="1"/>
        <v>Normal</v>
      </c>
    </row>
    <row r="105" spans="1:12" x14ac:dyDescent="0.3">
      <c r="A105" s="9">
        <v>1104</v>
      </c>
      <c r="B105" s="9" t="s">
        <v>22</v>
      </c>
      <c r="C105" s="4" t="s">
        <v>42</v>
      </c>
      <c r="D105" s="4" t="s">
        <v>24</v>
      </c>
      <c r="E105" s="4" t="s">
        <v>7</v>
      </c>
      <c r="F105" s="4">
        <v>10</v>
      </c>
      <c r="G105" s="4">
        <v>12848</v>
      </c>
      <c r="H105" s="4">
        <v>15</v>
      </c>
      <c r="I105" s="7">
        <v>46060</v>
      </c>
      <c r="J105" s="7">
        <v>46064</v>
      </c>
      <c r="K105" s="4" t="s">
        <v>49</v>
      </c>
      <c r="L105" s="4" t="str">
        <f t="shared" si="1"/>
        <v>Normal</v>
      </c>
    </row>
    <row r="106" spans="1:12" x14ac:dyDescent="0.3">
      <c r="A106" s="9">
        <v>1105</v>
      </c>
      <c r="B106" s="9" t="s">
        <v>56</v>
      </c>
      <c r="C106" s="4" t="s">
        <v>27</v>
      </c>
      <c r="D106" s="4" t="s">
        <v>20</v>
      </c>
      <c r="E106" s="4" t="s">
        <v>48</v>
      </c>
      <c r="F106" s="4">
        <v>2</v>
      </c>
      <c r="G106" s="4">
        <v>493</v>
      </c>
      <c r="H106" s="4">
        <v>12</v>
      </c>
      <c r="I106" s="7">
        <v>46057</v>
      </c>
      <c r="J106" s="7">
        <v>46066</v>
      </c>
      <c r="K106" s="4" t="s">
        <v>81</v>
      </c>
      <c r="L106" s="4" t="str">
        <f t="shared" si="1"/>
        <v>Normal</v>
      </c>
    </row>
    <row r="107" spans="1:12" x14ac:dyDescent="0.3">
      <c r="A107" s="9">
        <v>1106</v>
      </c>
      <c r="B107" s="9" t="s">
        <v>29</v>
      </c>
      <c r="C107" s="4" t="s">
        <v>42</v>
      </c>
      <c r="D107" s="4" t="s">
        <v>24</v>
      </c>
      <c r="E107" s="4" t="s">
        <v>10</v>
      </c>
      <c r="F107" s="4">
        <v>20</v>
      </c>
      <c r="G107" s="4">
        <v>2141</v>
      </c>
      <c r="H107" s="4">
        <v>2</v>
      </c>
      <c r="I107" s="7">
        <v>46091</v>
      </c>
      <c r="J107" s="7">
        <v>46097</v>
      </c>
      <c r="K107" s="4" t="s">
        <v>49</v>
      </c>
      <c r="L107" s="4" t="str">
        <f t="shared" si="1"/>
        <v>Normal</v>
      </c>
    </row>
    <row r="108" spans="1:12" x14ac:dyDescent="0.3">
      <c r="A108" s="9">
        <v>1107</v>
      </c>
      <c r="B108" s="9" t="s">
        <v>50</v>
      </c>
      <c r="C108" s="4" t="s">
        <v>23</v>
      </c>
      <c r="D108" s="4" t="s">
        <v>34</v>
      </c>
      <c r="E108" s="4" t="s">
        <v>9</v>
      </c>
      <c r="F108" s="4">
        <v>4</v>
      </c>
      <c r="G108" s="4">
        <v>14291</v>
      </c>
      <c r="H108" s="4">
        <v>2</v>
      </c>
      <c r="I108" s="7">
        <v>46076</v>
      </c>
      <c r="J108" s="7">
        <v>46078</v>
      </c>
      <c r="K108" s="4" t="s">
        <v>78</v>
      </c>
      <c r="L108" s="4" t="str">
        <f t="shared" si="1"/>
        <v>Normal</v>
      </c>
    </row>
    <row r="109" spans="1:12" x14ac:dyDescent="0.3">
      <c r="A109" s="9">
        <v>1108</v>
      </c>
      <c r="B109" s="9" t="s">
        <v>41</v>
      </c>
      <c r="C109" s="4" t="s">
        <v>33</v>
      </c>
      <c r="D109" s="4" t="s">
        <v>24</v>
      </c>
      <c r="E109" s="4" t="s">
        <v>8</v>
      </c>
      <c r="F109" s="4">
        <v>15</v>
      </c>
      <c r="G109" s="4">
        <v>13843</v>
      </c>
      <c r="H109" s="4">
        <v>7</v>
      </c>
      <c r="I109" s="7">
        <v>46119</v>
      </c>
      <c r="J109" s="7">
        <v>46127</v>
      </c>
      <c r="K109" s="4" t="s">
        <v>79</v>
      </c>
      <c r="L109" s="4" t="str">
        <f t="shared" si="1"/>
        <v>Normal</v>
      </c>
    </row>
    <row r="110" spans="1:12" x14ac:dyDescent="0.3">
      <c r="A110" s="9">
        <v>1109</v>
      </c>
      <c r="B110" s="9" t="s">
        <v>25</v>
      </c>
      <c r="C110" s="4" t="s">
        <v>31</v>
      </c>
      <c r="D110" s="4" t="s">
        <v>24</v>
      </c>
      <c r="E110" s="4" t="s">
        <v>43</v>
      </c>
      <c r="F110" s="4">
        <v>19</v>
      </c>
      <c r="G110" s="4">
        <v>6512</v>
      </c>
      <c r="H110" s="4">
        <v>10</v>
      </c>
      <c r="I110" s="7">
        <v>46033</v>
      </c>
      <c r="J110" s="7">
        <v>46037</v>
      </c>
      <c r="K110" s="4" t="s">
        <v>79</v>
      </c>
      <c r="L110" s="4" t="str">
        <f t="shared" si="1"/>
        <v>Normal</v>
      </c>
    </row>
    <row r="111" spans="1:12" x14ac:dyDescent="0.3">
      <c r="A111" s="9">
        <v>1110</v>
      </c>
      <c r="B111" s="9" t="s">
        <v>47</v>
      </c>
      <c r="C111" s="4" t="s">
        <v>38</v>
      </c>
      <c r="D111" s="4" t="s">
        <v>24</v>
      </c>
      <c r="E111" s="4" t="s">
        <v>10</v>
      </c>
      <c r="F111" s="4">
        <v>14</v>
      </c>
      <c r="G111" s="4">
        <v>6793</v>
      </c>
      <c r="H111" s="4">
        <v>7</v>
      </c>
      <c r="I111" s="7">
        <v>46077</v>
      </c>
      <c r="J111" s="7">
        <v>46082</v>
      </c>
      <c r="K111" s="4" t="s">
        <v>49</v>
      </c>
      <c r="L111" s="4" t="str">
        <f t="shared" si="1"/>
        <v>Normal</v>
      </c>
    </row>
    <row r="112" spans="1:12" x14ac:dyDescent="0.3">
      <c r="A112" s="9">
        <v>1111</v>
      </c>
      <c r="B112" s="9" t="s">
        <v>45</v>
      </c>
      <c r="C112" s="4" t="s">
        <v>23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7">
        <v>46133</v>
      </c>
      <c r="J112" s="7">
        <v>46141</v>
      </c>
      <c r="K112" s="4" t="s">
        <v>49</v>
      </c>
      <c r="L112" s="4" t="str">
        <f t="shared" si="1"/>
        <v>Normal</v>
      </c>
    </row>
    <row r="113" spans="1:12" x14ac:dyDescent="0.3">
      <c r="A113" s="9">
        <v>1112</v>
      </c>
      <c r="B113" s="9" t="s">
        <v>25</v>
      </c>
      <c r="C113" s="4" t="s">
        <v>42</v>
      </c>
      <c r="D113" s="4" t="s">
        <v>24</v>
      </c>
      <c r="E113" s="4" t="s">
        <v>43</v>
      </c>
      <c r="F113" s="4">
        <v>7</v>
      </c>
      <c r="G113" s="4">
        <v>1959</v>
      </c>
      <c r="H113" s="4">
        <v>15</v>
      </c>
      <c r="I113" s="7">
        <v>46090</v>
      </c>
      <c r="J113" s="7">
        <v>46100</v>
      </c>
      <c r="K113" s="4" t="s">
        <v>78</v>
      </c>
      <c r="L113" s="4" t="str">
        <f t="shared" si="1"/>
        <v>Normal</v>
      </c>
    </row>
    <row r="114" spans="1:12" x14ac:dyDescent="0.3">
      <c r="A114" s="9">
        <v>1113</v>
      </c>
      <c r="B114" s="9" t="s">
        <v>28</v>
      </c>
      <c r="C114" s="4" t="s">
        <v>42</v>
      </c>
      <c r="D114" s="4" t="s">
        <v>24</v>
      </c>
      <c r="E114" s="4" t="s">
        <v>11</v>
      </c>
      <c r="F114" s="4">
        <v>13</v>
      </c>
      <c r="G114" s="4">
        <v>6719</v>
      </c>
      <c r="H114" s="4">
        <v>15</v>
      </c>
      <c r="I114" s="7">
        <v>46076</v>
      </c>
      <c r="J114" s="7">
        <v>46081</v>
      </c>
      <c r="K114" s="4" t="s">
        <v>80</v>
      </c>
      <c r="L114" s="4" t="str">
        <f t="shared" si="1"/>
        <v>Normal</v>
      </c>
    </row>
    <row r="115" spans="1:12" x14ac:dyDescent="0.3">
      <c r="A115" s="9">
        <v>1114</v>
      </c>
      <c r="B115" s="9" t="s">
        <v>22</v>
      </c>
      <c r="C115" s="4" t="s">
        <v>27</v>
      </c>
      <c r="D115" s="4" t="s">
        <v>20</v>
      </c>
      <c r="E115" s="4" t="s">
        <v>48</v>
      </c>
      <c r="F115" s="4">
        <v>13</v>
      </c>
      <c r="G115" s="4">
        <v>32</v>
      </c>
      <c r="H115" s="4">
        <v>15</v>
      </c>
      <c r="I115" s="7">
        <v>46066</v>
      </c>
      <c r="J115" s="7">
        <v>46069</v>
      </c>
      <c r="K115" s="4" t="s">
        <v>78</v>
      </c>
      <c r="L115" s="4" t="str">
        <f t="shared" si="1"/>
        <v>Normal</v>
      </c>
    </row>
    <row r="116" spans="1:12" x14ac:dyDescent="0.3">
      <c r="A116" s="9">
        <v>1115</v>
      </c>
      <c r="B116" s="9" t="s">
        <v>56</v>
      </c>
      <c r="C116" s="4" t="s">
        <v>42</v>
      </c>
      <c r="D116" s="4" t="s">
        <v>20</v>
      </c>
      <c r="E116" s="4" t="s">
        <v>48</v>
      </c>
      <c r="F116" s="4">
        <v>9</v>
      </c>
      <c r="G116" s="4">
        <v>303</v>
      </c>
      <c r="H116" s="4">
        <v>10</v>
      </c>
      <c r="I116" s="7">
        <v>46149</v>
      </c>
      <c r="J116" s="7">
        <v>46157</v>
      </c>
      <c r="K116" s="4" t="s">
        <v>49</v>
      </c>
      <c r="L116" s="4" t="str">
        <f t="shared" si="1"/>
        <v>Normal</v>
      </c>
    </row>
    <row r="117" spans="1:12" x14ac:dyDescent="0.3">
      <c r="A117" s="9">
        <v>1116</v>
      </c>
      <c r="B117" s="9" t="s">
        <v>22</v>
      </c>
      <c r="C117" s="4" t="s">
        <v>27</v>
      </c>
      <c r="D117" s="4" t="s">
        <v>24</v>
      </c>
      <c r="E117" s="4" t="s">
        <v>11</v>
      </c>
      <c r="F117" s="4">
        <v>2</v>
      </c>
      <c r="G117" s="4">
        <v>12692</v>
      </c>
      <c r="H117" s="4">
        <v>15</v>
      </c>
      <c r="I117" s="7">
        <v>46049</v>
      </c>
      <c r="J117" s="7">
        <v>46051</v>
      </c>
      <c r="K117" s="4" t="s">
        <v>78</v>
      </c>
      <c r="L117" s="4" t="str">
        <f t="shared" si="1"/>
        <v>Normal</v>
      </c>
    </row>
    <row r="118" spans="1:12" x14ac:dyDescent="0.3">
      <c r="A118" s="9">
        <v>1117</v>
      </c>
      <c r="B118" s="9" t="s">
        <v>53</v>
      </c>
      <c r="C118" s="4" t="s">
        <v>42</v>
      </c>
      <c r="D118" s="4" t="s">
        <v>34</v>
      </c>
      <c r="E118" s="4" t="s">
        <v>5</v>
      </c>
      <c r="F118" s="4">
        <v>16</v>
      </c>
      <c r="G118" s="4">
        <v>33162</v>
      </c>
      <c r="H118" s="4">
        <v>7</v>
      </c>
      <c r="I118" s="7">
        <v>46147</v>
      </c>
      <c r="J118" s="7">
        <v>46155</v>
      </c>
      <c r="K118" s="4" t="s">
        <v>49</v>
      </c>
      <c r="L118" s="4" t="str">
        <f t="shared" si="1"/>
        <v>Normal</v>
      </c>
    </row>
    <row r="119" spans="1:12" x14ac:dyDescent="0.3">
      <c r="A119" s="9">
        <v>1118</v>
      </c>
      <c r="B119" s="9" t="s">
        <v>25</v>
      </c>
      <c r="C119" s="4" t="s">
        <v>26</v>
      </c>
      <c r="D119" s="4" t="s">
        <v>24</v>
      </c>
      <c r="E119" s="4" t="s">
        <v>10</v>
      </c>
      <c r="F119" s="4">
        <v>18</v>
      </c>
      <c r="G119" s="4">
        <v>9118</v>
      </c>
      <c r="H119" s="4">
        <v>5</v>
      </c>
      <c r="I119" s="7">
        <v>46178</v>
      </c>
      <c r="J119" s="7">
        <v>46187</v>
      </c>
      <c r="K119" s="4" t="s">
        <v>49</v>
      </c>
      <c r="L119" s="4" t="str">
        <f t="shared" si="1"/>
        <v>Normal</v>
      </c>
    </row>
    <row r="120" spans="1:12" x14ac:dyDescent="0.3">
      <c r="A120" s="9">
        <v>1119</v>
      </c>
      <c r="B120" s="9" t="s">
        <v>30</v>
      </c>
      <c r="C120" s="4" t="s">
        <v>42</v>
      </c>
      <c r="D120" s="4" t="s">
        <v>24</v>
      </c>
      <c r="E120" s="4" t="s">
        <v>8</v>
      </c>
      <c r="F120" s="4">
        <v>2</v>
      </c>
      <c r="G120" s="4">
        <v>3706</v>
      </c>
      <c r="H120" s="4">
        <v>5</v>
      </c>
      <c r="I120" s="7">
        <v>46184</v>
      </c>
      <c r="J120" s="7">
        <v>46192</v>
      </c>
      <c r="K120" s="4" t="s">
        <v>81</v>
      </c>
      <c r="L120" s="4" t="str">
        <f t="shared" si="1"/>
        <v>Normal</v>
      </c>
    </row>
    <row r="121" spans="1:12" x14ac:dyDescent="0.3">
      <c r="A121" s="9">
        <v>1120</v>
      </c>
      <c r="B121" s="9" t="s">
        <v>32</v>
      </c>
      <c r="C121" s="4" t="s">
        <v>38</v>
      </c>
      <c r="D121" s="4" t="s">
        <v>20</v>
      </c>
      <c r="E121" s="4" t="s">
        <v>36</v>
      </c>
      <c r="F121" s="4">
        <v>10</v>
      </c>
      <c r="G121" s="4">
        <v>438</v>
      </c>
      <c r="H121" s="4">
        <v>10</v>
      </c>
      <c r="I121" s="7">
        <v>46061</v>
      </c>
      <c r="J121" s="7">
        <v>46065</v>
      </c>
      <c r="K121" s="4" t="s">
        <v>81</v>
      </c>
      <c r="L121" s="4" t="str">
        <f t="shared" si="1"/>
        <v>Normal</v>
      </c>
    </row>
    <row r="122" spans="1:12" x14ac:dyDescent="0.3">
      <c r="A122" s="9">
        <v>1121</v>
      </c>
      <c r="B122" s="9" t="s">
        <v>49</v>
      </c>
      <c r="C122" s="4" t="s">
        <v>19</v>
      </c>
      <c r="D122" s="4" t="s">
        <v>34</v>
      </c>
      <c r="E122" s="4" t="s">
        <v>5</v>
      </c>
      <c r="F122" s="4">
        <v>4</v>
      </c>
      <c r="G122" s="4">
        <v>55809</v>
      </c>
      <c r="H122" s="4">
        <v>2</v>
      </c>
      <c r="I122" s="7">
        <v>46103</v>
      </c>
      <c r="J122" s="7">
        <v>46108</v>
      </c>
      <c r="K122" s="4" t="s">
        <v>49</v>
      </c>
      <c r="L122" s="4" t="str">
        <f t="shared" si="1"/>
        <v>Normal</v>
      </c>
    </row>
    <row r="123" spans="1:12" x14ac:dyDescent="0.3">
      <c r="A123" s="9">
        <v>1122</v>
      </c>
      <c r="B123" s="9" t="s">
        <v>39</v>
      </c>
      <c r="C123" s="4" t="s">
        <v>26</v>
      </c>
      <c r="D123" s="4" t="s">
        <v>34</v>
      </c>
      <c r="E123" s="4" t="s">
        <v>5</v>
      </c>
      <c r="F123" s="4">
        <v>14</v>
      </c>
      <c r="G123" s="4">
        <v>49990</v>
      </c>
      <c r="H123" s="4">
        <v>10</v>
      </c>
      <c r="I123" s="7">
        <v>46132</v>
      </c>
      <c r="J123" s="7">
        <v>46135</v>
      </c>
      <c r="K123" s="4" t="s">
        <v>49</v>
      </c>
      <c r="L123" s="4" t="str">
        <f t="shared" si="1"/>
        <v>Normal</v>
      </c>
    </row>
    <row r="124" spans="1:12" x14ac:dyDescent="0.3">
      <c r="A124" s="9">
        <v>1123</v>
      </c>
      <c r="B124" s="9" t="s">
        <v>32</v>
      </c>
      <c r="C124" s="4" t="s">
        <v>31</v>
      </c>
      <c r="D124" s="4" t="s">
        <v>34</v>
      </c>
      <c r="E124" s="4" t="s">
        <v>6</v>
      </c>
      <c r="F124" s="4">
        <v>16</v>
      </c>
      <c r="G124" s="4">
        <v>1332</v>
      </c>
      <c r="H124" s="4">
        <v>7</v>
      </c>
      <c r="I124" s="7">
        <v>46107</v>
      </c>
      <c r="J124" s="7">
        <v>46109</v>
      </c>
      <c r="K124" s="4" t="s">
        <v>49</v>
      </c>
      <c r="L124" s="4" t="str">
        <f t="shared" si="1"/>
        <v>Normal</v>
      </c>
    </row>
    <row r="125" spans="1:12" x14ac:dyDescent="0.3">
      <c r="A125" s="9">
        <v>1124</v>
      </c>
      <c r="B125" s="9" t="s">
        <v>29</v>
      </c>
      <c r="C125" s="4" t="s">
        <v>38</v>
      </c>
      <c r="D125" s="4" t="s">
        <v>24</v>
      </c>
      <c r="E125" s="4" t="s">
        <v>11</v>
      </c>
      <c r="F125" s="4">
        <v>4</v>
      </c>
      <c r="G125" s="4">
        <v>14195</v>
      </c>
      <c r="H125" s="4">
        <v>15</v>
      </c>
      <c r="I125" s="7">
        <v>46182</v>
      </c>
      <c r="J125" s="7">
        <v>46189</v>
      </c>
      <c r="K125" s="4" t="s">
        <v>81</v>
      </c>
      <c r="L125" s="4" t="str">
        <f t="shared" si="1"/>
        <v>Normal</v>
      </c>
    </row>
    <row r="126" spans="1:12" x14ac:dyDescent="0.3">
      <c r="A126" s="9">
        <v>1125</v>
      </c>
      <c r="B126" s="9" t="s">
        <v>47</v>
      </c>
      <c r="C126" s="4" t="s">
        <v>33</v>
      </c>
      <c r="D126" s="4" t="s">
        <v>20</v>
      </c>
      <c r="E126" s="4" t="s">
        <v>21</v>
      </c>
      <c r="F126" s="4">
        <v>6</v>
      </c>
      <c r="G126" s="4">
        <v>30</v>
      </c>
      <c r="H126" s="4">
        <v>2</v>
      </c>
      <c r="I126" s="7">
        <v>46133</v>
      </c>
      <c r="J126" s="7">
        <v>46138</v>
      </c>
      <c r="K126" s="4" t="s">
        <v>80</v>
      </c>
      <c r="L126" s="4" t="str">
        <f t="shared" si="1"/>
        <v>Normal</v>
      </c>
    </row>
    <row r="127" spans="1:12" x14ac:dyDescent="0.3">
      <c r="A127" s="9">
        <v>1126</v>
      </c>
      <c r="B127" s="9" t="s">
        <v>44</v>
      </c>
      <c r="C127" s="4" t="s">
        <v>26</v>
      </c>
      <c r="D127" s="4" t="s">
        <v>34</v>
      </c>
      <c r="E127" s="4" t="s">
        <v>5</v>
      </c>
      <c r="F127" s="4">
        <v>17</v>
      </c>
      <c r="G127" s="4">
        <v>19390</v>
      </c>
      <c r="H127" s="4">
        <v>12</v>
      </c>
      <c r="I127" s="7">
        <v>46201</v>
      </c>
      <c r="J127" s="7">
        <v>46206</v>
      </c>
      <c r="K127" s="4" t="s">
        <v>49</v>
      </c>
      <c r="L127" s="4" t="str">
        <f t="shared" si="1"/>
        <v>Normal</v>
      </c>
    </row>
    <row r="128" spans="1:12" x14ac:dyDescent="0.3">
      <c r="A128" s="9">
        <v>1127</v>
      </c>
      <c r="B128" s="9" t="s">
        <v>28</v>
      </c>
      <c r="C128" s="4" t="s">
        <v>33</v>
      </c>
      <c r="D128" s="4" t="s">
        <v>24</v>
      </c>
      <c r="E128" s="4" t="s">
        <v>8</v>
      </c>
      <c r="F128" s="4">
        <v>15</v>
      </c>
      <c r="G128" s="4">
        <v>11694</v>
      </c>
      <c r="H128" s="4">
        <v>12</v>
      </c>
      <c r="I128" s="7">
        <v>46170</v>
      </c>
      <c r="J128" s="7">
        <v>46179</v>
      </c>
      <c r="K128" s="4" t="s">
        <v>49</v>
      </c>
      <c r="L128" s="4" t="str">
        <f t="shared" si="1"/>
        <v>Normal</v>
      </c>
    </row>
    <row r="129" spans="1:12" x14ac:dyDescent="0.3">
      <c r="A129" s="9">
        <v>1128</v>
      </c>
      <c r="B129" s="9" t="s">
        <v>30</v>
      </c>
      <c r="C129" s="4" t="s">
        <v>26</v>
      </c>
      <c r="D129" s="4" t="s">
        <v>34</v>
      </c>
      <c r="E129" s="4" t="s">
        <v>12</v>
      </c>
      <c r="F129" s="4">
        <v>6</v>
      </c>
      <c r="G129" s="4">
        <v>5001</v>
      </c>
      <c r="H129" s="4">
        <v>7</v>
      </c>
      <c r="I129" s="7">
        <v>46044</v>
      </c>
      <c r="J129" s="7">
        <v>46050</v>
      </c>
      <c r="K129" s="4" t="s">
        <v>49</v>
      </c>
      <c r="L129" s="4" t="str">
        <f t="shared" si="1"/>
        <v>Normal</v>
      </c>
    </row>
    <row r="130" spans="1:12" x14ac:dyDescent="0.3">
      <c r="A130" s="9">
        <v>1129</v>
      </c>
      <c r="B130" s="9" t="s">
        <v>55</v>
      </c>
      <c r="C130" s="4" t="s">
        <v>23</v>
      </c>
      <c r="D130" s="4" t="s">
        <v>20</v>
      </c>
      <c r="E130" s="4" t="s">
        <v>48</v>
      </c>
      <c r="F130" s="4">
        <v>15</v>
      </c>
      <c r="G130" s="4">
        <v>75</v>
      </c>
      <c r="H130" s="4">
        <v>7</v>
      </c>
      <c r="I130" s="7">
        <v>46160</v>
      </c>
      <c r="J130" s="7">
        <v>46164</v>
      </c>
      <c r="K130" s="4" t="s">
        <v>49</v>
      </c>
      <c r="L130" s="4" t="str">
        <f t="shared" si="1"/>
        <v>Normal</v>
      </c>
    </row>
    <row r="131" spans="1:12" x14ac:dyDescent="0.3">
      <c r="A131" s="9">
        <v>1130</v>
      </c>
      <c r="B131" s="9" t="s">
        <v>46</v>
      </c>
      <c r="C131" s="4" t="s">
        <v>33</v>
      </c>
      <c r="D131" s="4" t="s">
        <v>20</v>
      </c>
      <c r="E131" s="4" t="s">
        <v>21</v>
      </c>
      <c r="F131" s="4">
        <v>12</v>
      </c>
      <c r="G131" s="4">
        <v>50</v>
      </c>
      <c r="H131" s="4">
        <v>2</v>
      </c>
      <c r="I131" s="7">
        <v>46125</v>
      </c>
      <c r="J131" s="7">
        <v>46131</v>
      </c>
      <c r="K131" s="4" t="s">
        <v>80</v>
      </c>
      <c r="L131" s="4" t="str">
        <f t="shared" ref="L131:L194" si="2">IF(AND(C131="Mumbai",F131&gt;=15),"Priority Order","Normal")</f>
        <v>Normal</v>
      </c>
    </row>
    <row r="132" spans="1:12" x14ac:dyDescent="0.3">
      <c r="A132" s="9">
        <v>1131</v>
      </c>
      <c r="B132" s="9" t="s">
        <v>25</v>
      </c>
      <c r="C132" s="4" t="s">
        <v>31</v>
      </c>
      <c r="D132" s="4" t="s">
        <v>24</v>
      </c>
      <c r="E132" s="4" t="s">
        <v>10</v>
      </c>
      <c r="F132" s="4">
        <v>13</v>
      </c>
      <c r="G132" s="4">
        <v>3083</v>
      </c>
      <c r="H132" s="4">
        <v>7</v>
      </c>
      <c r="I132" s="7">
        <v>46168</v>
      </c>
      <c r="J132" s="7">
        <v>46173</v>
      </c>
      <c r="K132" s="4" t="s">
        <v>81</v>
      </c>
      <c r="L132" s="4" t="str">
        <f t="shared" si="2"/>
        <v>Normal</v>
      </c>
    </row>
    <row r="133" spans="1:12" x14ac:dyDescent="0.3">
      <c r="A133" s="9">
        <v>1132</v>
      </c>
      <c r="B133" s="9" t="s">
        <v>18</v>
      </c>
      <c r="C133" s="4" t="s">
        <v>31</v>
      </c>
      <c r="D133" s="4" t="s">
        <v>20</v>
      </c>
      <c r="E133" s="4" t="s">
        <v>48</v>
      </c>
      <c r="F133" s="4">
        <v>10</v>
      </c>
      <c r="G133" s="4">
        <v>270</v>
      </c>
      <c r="H133" s="4">
        <v>7</v>
      </c>
      <c r="I133" s="7">
        <v>46024</v>
      </c>
      <c r="J133" s="7">
        <v>46034</v>
      </c>
      <c r="K133" s="4" t="s">
        <v>80</v>
      </c>
      <c r="L133" s="4" t="str">
        <f t="shared" si="2"/>
        <v>Normal</v>
      </c>
    </row>
    <row r="134" spans="1:12" x14ac:dyDescent="0.3">
      <c r="A134" s="9">
        <v>1133</v>
      </c>
      <c r="B134" s="9" t="s">
        <v>18</v>
      </c>
      <c r="C134" s="4" t="s">
        <v>19</v>
      </c>
      <c r="D134" s="4" t="s">
        <v>24</v>
      </c>
      <c r="E134" s="4" t="s">
        <v>11</v>
      </c>
      <c r="F134" s="4">
        <v>6</v>
      </c>
      <c r="G134" s="4">
        <v>9037</v>
      </c>
      <c r="H134" s="4">
        <v>2</v>
      </c>
      <c r="I134" s="7">
        <v>46112</v>
      </c>
      <c r="J134" s="7">
        <v>46121</v>
      </c>
      <c r="K134" s="4" t="s">
        <v>81</v>
      </c>
      <c r="L134" s="4" t="str">
        <f t="shared" si="2"/>
        <v>Normal</v>
      </c>
    </row>
    <row r="135" spans="1:12" x14ac:dyDescent="0.3">
      <c r="A135" s="9">
        <v>1134</v>
      </c>
      <c r="B135" s="9" t="s">
        <v>54</v>
      </c>
      <c r="C135" s="4" t="s">
        <v>31</v>
      </c>
      <c r="D135" s="4" t="s">
        <v>34</v>
      </c>
      <c r="E135" s="4" t="s">
        <v>12</v>
      </c>
      <c r="F135" s="4">
        <v>10</v>
      </c>
      <c r="G135" s="4">
        <v>29217</v>
      </c>
      <c r="H135" s="4">
        <v>15</v>
      </c>
      <c r="I135" s="7">
        <v>46148</v>
      </c>
      <c r="J135" s="7">
        <v>46150</v>
      </c>
      <c r="K135" s="4" t="s">
        <v>80</v>
      </c>
      <c r="L135" s="4" t="str">
        <f t="shared" si="2"/>
        <v>Normal</v>
      </c>
    </row>
    <row r="136" spans="1:12" x14ac:dyDescent="0.3">
      <c r="A136" s="9">
        <v>1135</v>
      </c>
      <c r="B136" s="9" t="s">
        <v>47</v>
      </c>
      <c r="C136" s="4" t="s">
        <v>42</v>
      </c>
      <c r="D136" s="4" t="s">
        <v>34</v>
      </c>
      <c r="E136" s="4" t="s">
        <v>5</v>
      </c>
      <c r="F136" s="4">
        <v>14</v>
      </c>
      <c r="G136" s="4">
        <v>68534</v>
      </c>
      <c r="H136" s="4">
        <v>0</v>
      </c>
      <c r="I136" s="7">
        <v>46041</v>
      </c>
      <c r="J136" s="7">
        <v>46042</v>
      </c>
      <c r="K136" s="4" t="s">
        <v>78</v>
      </c>
      <c r="L136" s="4" t="str">
        <f t="shared" si="2"/>
        <v>Normal</v>
      </c>
    </row>
    <row r="137" spans="1:12" x14ac:dyDescent="0.3">
      <c r="A137" s="9">
        <v>1136</v>
      </c>
      <c r="B137" s="9" t="s">
        <v>29</v>
      </c>
      <c r="C137" s="4" t="s">
        <v>42</v>
      </c>
      <c r="D137" s="4" t="s">
        <v>24</v>
      </c>
      <c r="E137" s="4" t="s">
        <v>11</v>
      </c>
      <c r="F137" s="4">
        <v>19</v>
      </c>
      <c r="G137" s="4">
        <v>14528</v>
      </c>
      <c r="H137" s="4">
        <v>12</v>
      </c>
      <c r="I137" s="7">
        <v>46056</v>
      </c>
      <c r="J137" s="7">
        <v>46062</v>
      </c>
      <c r="K137" s="4" t="s">
        <v>80</v>
      </c>
      <c r="L137" s="4" t="str">
        <f t="shared" si="2"/>
        <v>Normal</v>
      </c>
    </row>
    <row r="138" spans="1:12" x14ac:dyDescent="0.3">
      <c r="A138" s="9">
        <v>1137</v>
      </c>
      <c r="B138" s="9" t="s">
        <v>50</v>
      </c>
      <c r="C138" s="4" t="s">
        <v>19</v>
      </c>
      <c r="D138" s="4" t="s">
        <v>20</v>
      </c>
      <c r="E138" s="4" t="s">
        <v>37</v>
      </c>
      <c r="F138" s="4">
        <v>16</v>
      </c>
      <c r="G138" s="4">
        <v>270</v>
      </c>
      <c r="H138" s="4">
        <v>10</v>
      </c>
      <c r="I138" s="7">
        <v>46184</v>
      </c>
      <c r="J138" s="7">
        <v>46190</v>
      </c>
      <c r="K138" s="4" t="s">
        <v>49</v>
      </c>
      <c r="L138" s="4" t="str">
        <f t="shared" si="2"/>
        <v>Normal</v>
      </c>
    </row>
    <row r="139" spans="1:12" x14ac:dyDescent="0.3">
      <c r="A139" s="9">
        <v>1138</v>
      </c>
      <c r="B139" s="9" t="s">
        <v>53</v>
      </c>
      <c r="C139" s="4" t="s">
        <v>42</v>
      </c>
      <c r="D139" s="4" t="s">
        <v>24</v>
      </c>
      <c r="E139" s="4" t="s">
        <v>7</v>
      </c>
      <c r="F139" s="4">
        <v>5</v>
      </c>
      <c r="G139" s="4">
        <v>14466</v>
      </c>
      <c r="H139" s="4">
        <v>2</v>
      </c>
      <c r="I139" s="7">
        <v>46084</v>
      </c>
      <c r="J139" s="7">
        <v>46092</v>
      </c>
      <c r="K139" s="4" t="s">
        <v>81</v>
      </c>
      <c r="L139" s="4" t="str">
        <f t="shared" si="2"/>
        <v>Normal</v>
      </c>
    </row>
    <row r="140" spans="1:12" x14ac:dyDescent="0.3">
      <c r="A140" s="9">
        <v>1139</v>
      </c>
      <c r="B140" s="9" t="s">
        <v>53</v>
      </c>
      <c r="C140" s="4" t="s">
        <v>33</v>
      </c>
      <c r="D140" s="4" t="s">
        <v>34</v>
      </c>
      <c r="E140" s="4" t="s">
        <v>12</v>
      </c>
      <c r="F140" s="4">
        <v>17</v>
      </c>
      <c r="G140" s="4">
        <v>28839</v>
      </c>
      <c r="H140" s="4">
        <v>10</v>
      </c>
      <c r="I140" s="7">
        <v>46093</v>
      </c>
      <c r="J140" s="7">
        <v>46099</v>
      </c>
      <c r="K140" s="4" t="s">
        <v>78</v>
      </c>
      <c r="L140" s="4" t="str">
        <f t="shared" si="2"/>
        <v>Normal</v>
      </c>
    </row>
    <row r="141" spans="1:12" x14ac:dyDescent="0.3">
      <c r="A141" s="9">
        <v>1140</v>
      </c>
      <c r="B141" s="9" t="s">
        <v>54</v>
      </c>
      <c r="C141" s="4" t="s">
        <v>38</v>
      </c>
      <c r="D141" s="4" t="s">
        <v>34</v>
      </c>
      <c r="E141" s="4" t="s">
        <v>40</v>
      </c>
      <c r="F141" s="4">
        <v>5</v>
      </c>
      <c r="G141" s="4">
        <v>68012</v>
      </c>
      <c r="H141" s="4">
        <v>5</v>
      </c>
      <c r="I141" s="7">
        <v>46061</v>
      </c>
      <c r="J141" s="7">
        <v>46065</v>
      </c>
      <c r="K141" s="4" t="s">
        <v>78</v>
      </c>
      <c r="L141" s="4" t="str">
        <f t="shared" si="2"/>
        <v>Normal</v>
      </c>
    </row>
    <row r="142" spans="1:12" x14ac:dyDescent="0.3">
      <c r="A142" s="9">
        <v>1141</v>
      </c>
      <c r="B142" s="9" t="s">
        <v>18</v>
      </c>
      <c r="C142" s="4" t="s">
        <v>23</v>
      </c>
      <c r="D142" s="4" t="s">
        <v>24</v>
      </c>
      <c r="E142" s="4" t="s">
        <v>43</v>
      </c>
      <c r="F142" s="4">
        <v>20</v>
      </c>
      <c r="G142" s="4">
        <v>6835</v>
      </c>
      <c r="H142" s="4">
        <v>2</v>
      </c>
      <c r="I142" s="7">
        <v>46043</v>
      </c>
      <c r="J142" s="7">
        <v>46053</v>
      </c>
      <c r="K142" s="4" t="s">
        <v>78</v>
      </c>
      <c r="L142" s="4" t="str">
        <f t="shared" si="2"/>
        <v>Normal</v>
      </c>
    </row>
    <row r="143" spans="1:12" x14ac:dyDescent="0.3">
      <c r="A143" s="9">
        <v>1142</v>
      </c>
      <c r="B143" s="9" t="s">
        <v>39</v>
      </c>
      <c r="C143" s="4" t="s">
        <v>27</v>
      </c>
      <c r="D143" s="4" t="s">
        <v>34</v>
      </c>
      <c r="E143" s="4" t="s">
        <v>9</v>
      </c>
      <c r="F143" s="4">
        <v>9</v>
      </c>
      <c r="G143" s="4">
        <v>59788</v>
      </c>
      <c r="H143" s="4">
        <v>7</v>
      </c>
      <c r="I143" s="7">
        <v>46064</v>
      </c>
      <c r="J143" s="7">
        <v>46071</v>
      </c>
      <c r="K143" s="4" t="s">
        <v>49</v>
      </c>
      <c r="L143" s="4" t="str">
        <f t="shared" si="2"/>
        <v>Normal</v>
      </c>
    </row>
    <row r="144" spans="1:12" x14ac:dyDescent="0.3">
      <c r="A144" s="9">
        <v>1143</v>
      </c>
      <c r="B144" s="9" t="s">
        <v>49</v>
      </c>
      <c r="C144" s="4" t="s">
        <v>23</v>
      </c>
      <c r="D144" s="4" t="s">
        <v>20</v>
      </c>
      <c r="E144" s="4" t="s">
        <v>37</v>
      </c>
      <c r="F144" s="4">
        <v>13</v>
      </c>
      <c r="G144" s="4">
        <v>456</v>
      </c>
      <c r="H144" s="4">
        <v>2</v>
      </c>
      <c r="I144" s="7">
        <v>46160</v>
      </c>
      <c r="J144" s="7">
        <v>46167</v>
      </c>
      <c r="K144" s="4" t="s">
        <v>80</v>
      </c>
      <c r="L144" s="4" t="str">
        <f t="shared" si="2"/>
        <v>Normal</v>
      </c>
    </row>
    <row r="145" spans="1:12" x14ac:dyDescent="0.3">
      <c r="A145" s="9">
        <v>1144</v>
      </c>
      <c r="B145" s="9" t="s">
        <v>41</v>
      </c>
      <c r="C145" s="4" t="s">
        <v>27</v>
      </c>
      <c r="D145" s="4" t="s">
        <v>20</v>
      </c>
      <c r="E145" s="4" t="s">
        <v>21</v>
      </c>
      <c r="F145" s="4">
        <v>16</v>
      </c>
      <c r="G145" s="4">
        <v>219</v>
      </c>
      <c r="H145" s="4">
        <v>7</v>
      </c>
      <c r="I145" s="7">
        <v>46138</v>
      </c>
      <c r="J145" s="7">
        <v>46140</v>
      </c>
      <c r="K145" s="4" t="s">
        <v>79</v>
      </c>
      <c r="L145" s="4" t="str">
        <f t="shared" si="2"/>
        <v>Normal</v>
      </c>
    </row>
    <row r="146" spans="1:12" x14ac:dyDescent="0.3">
      <c r="A146" s="9">
        <v>1145</v>
      </c>
      <c r="B146" s="9" t="s">
        <v>41</v>
      </c>
      <c r="C146" s="4" t="s">
        <v>33</v>
      </c>
      <c r="D146" s="4" t="s">
        <v>34</v>
      </c>
      <c r="E146" s="4" t="s">
        <v>5</v>
      </c>
      <c r="F146" s="4">
        <v>2</v>
      </c>
      <c r="G146" s="4">
        <v>34429</v>
      </c>
      <c r="H146" s="4">
        <v>12</v>
      </c>
      <c r="I146" s="7">
        <v>46102</v>
      </c>
      <c r="J146" s="7">
        <v>46112</v>
      </c>
      <c r="K146" s="4" t="s">
        <v>80</v>
      </c>
      <c r="L146" s="4" t="str">
        <f t="shared" si="2"/>
        <v>Normal</v>
      </c>
    </row>
    <row r="147" spans="1:12" x14ac:dyDescent="0.3">
      <c r="A147" s="9">
        <v>1146</v>
      </c>
      <c r="B147" s="9" t="s">
        <v>22</v>
      </c>
      <c r="C147" s="4" t="s">
        <v>42</v>
      </c>
      <c r="D147" s="4" t="s">
        <v>34</v>
      </c>
      <c r="E147" s="4" t="s">
        <v>6</v>
      </c>
      <c r="F147" s="4">
        <v>7</v>
      </c>
      <c r="G147" s="4">
        <v>68217</v>
      </c>
      <c r="H147" s="4">
        <v>0</v>
      </c>
      <c r="I147" s="7">
        <v>46190</v>
      </c>
      <c r="J147" s="7">
        <v>46197</v>
      </c>
      <c r="K147" s="4" t="s">
        <v>49</v>
      </c>
      <c r="L147" s="4" t="str">
        <f t="shared" si="2"/>
        <v>Normal</v>
      </c>
    </row>
    <row r="148" spans="1:12" x14ac:dyDescent="0.3">
      <c r="A148" s="9">
        <v>1147</v>
      </c>
      <c r="B148" s="9" t="s">
        <v>18</v>
      </c>
      <c r="C148" s="4" t="s">
        <v>26</v>
      </c>
      <c r="D148" s="4" t="s">
        <v>24</v>
      </c>
      <c r="E148" s="4" t="s">
        <v>8</v>
      </c>
      <c r="F148" s="4">
        <v>7</v>
      </c>
      <c r="G148" s="4">
        <v>9581</v>
      </c>
      <c r="H148" s="4">
        <v>5</v>
      </c>
      <c r="I148" s="7">
        <v>46154</v>
      </c>
      <c r="J148" s="7">
        <v>46155</v>
      </c>
      <c r="K148" s="4" t="s">
        <v>79</v>
      </c>
      <c r="L148" s="4" t="str">
        <f t="shared" si="2"/>
        <v>Normal</v>
      </c>
    </row>
    <row r="149" spans="1:12" x14ac:dyDescent="0.3">
      <c r="A149" s="9">
        <v>1148</v>
      </c>
      <c r="B149" s="9" t="s">
        <v>56</v>
      </c>
      <c r="C149" s="4" t="s">
        <v>33</v>
      </c>
      <c r="D149" s="4" t="s">
        <v>24</v>
      </c>
      <c r="E149" s="4" t="s">
        <v>8</v>
      </c>
      <c r="F149" s="4">
        <v>11</v>
      </c>
      <c r="G149" s="4">
        <v>3023</v>
      </c>
      <c r="H149" s="4">
        <v>7</v>
      </c>
      <c r="I149" s="7">
        <v>46030</v>
      </c>
      <c r="J149" s="7">
        <v>46032</v>
      </c>
      <c r="K149" s="4" t="s">
        <v>80</v>
      </c>
      <c r="L149" s="4" t="str">
        <f t="shared" si="2"/>
        <v>Normal</v>
      </c>
    </row>
    <row r="150" spans="1:12" x14ac:dyDescent="0.3">
      <c r="A150" s="9">
        <v>1149</v>
      </c>
      <c r="B150" s="9" t="s">
        <v>28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7">
        <v>46053</v>
      </c>
      <c r="J150" s="7">
        <v>46054</v>
      </c>
      <c r="K150" s="4" t="s">
        <v>49</v>
      </c>
      <c r="L150" s="4" t="str">
        <f t="shared" si="2"/>
        <v>Normal</v>
      </c>
    </row>
    <row r="151" spans="1:12" x14ac:dyDescent="0.3">
      <c r="A151" s="9">
        <v>1150</v>
      </c>
      <c r="B151" s="9" t="s">
        <v>41</v>
      </c>
      <c r="C151" s="4" t="s">
        <v>19</v>
      </c>
      <c r="D151" s="4" t="s">
        <v>24</v>
      </c>
      <c r="E151" s="4" t="s">
        <v>11</v>
      </c>
      <c r="F151" s="4">
        <v>10</v>
      </c>
      <c r="G151" s="4">
        <v>5323</v>
      </c>
      <c r="H151" s="4">
        <v>7</v>
      </c>
      <c r="I151" s="7">
        <v>46143</v>
      </c>
      <c r="J151" s="7">
        <v>46153</v>
      </c>
      <c r="K151" s="4" t="s">
        <v>80</v>
      </c>
      <c r="L151" s="4" t="str">
        <f t="shared" si="2"/>
        <v>Normal</v>
      </c>
    </row>
    <row r="152" spans="1:12" x14ac:dyDescent="0.3">
      <c r="A152" s="9">
        <v>1151</v>
      </c>
      <c r="B152" s="9" t="s">
        <v>44</v>
      </c>
      <c r="C152" s="4" t="s">
        <v>42</v>
      </c>
      <c r="D152" s="4" t="s">
        <v>20</v>
      </c>
      <c r="E152" s="4" t="s">
        <v>48</v>
      </c>
      <c r="F152" s="4">
        <v>20</v>
      </c>
      <c r="G152" s="4">
        <v>272</v>
      </c>
      <c r="H152" s="4">
        <v>15</v>
      </c>
      <c r="I152" s="7">
        <v>46024</v>
      </c>
      <c r="J152" s="7">
        <v>46029</v>
      </c>
      <c r="K152" s="4" t="s">
        <v>81</v>
      </c>
      <c r="L152" s="4" t="str">
        <f t="shared" si="2"/>
        <v>Normal</v>
      </c>
    </row>
    <row r="153" spans="1:12" x14ac:dyDescent="0.3">
      <c r="A153" s="9">
        <v>1152</v>
      </c>
      <c r="B153" s="9" t="s">
        <v>29</v>
      </c>
      <c r="C153" s="4" t="s">
        <v>31</v>
      </c>
      <c r="D153" s="4" t="s">
        <v>34</v>
      </c>
      <c r="E153" s="4" t="s">
        <v>12</v>
      </c>
      <c r="F153" s="4">
        <v>14</v>
      </c>
      <c r="G153" s="4">
        <v>8150</v>
      </c>
      <c r="H153" s="4">
        <v>10</v>
      </c>
      <c r="I153" s="7">
        <v>46062</v>
      </c>
      <c r="J153" s="7">
        <v>46070</v>
      </c>
      <c r="K153" s="4" t="s">
        <v>78</v>
      </c>
      <c r="L153" s="4" t="str">
        <f t="shared" si="2"/>
        <v>Normal</v>
      </c>
    </row>
    <row r="154" spans="1:12" x14ac:dyDescent="0.3">
      <c r="A154" s="9">
        <v>1153</v>
      </c>
      <c r="B154" s="9" t="s">
        <v>41</v>
      </c>
      <c r="C154" s="4" t="s">
        <v>27</v>
      </c>
      <c r="D154" s="4" t="s">
        <v>24</v>
      </c>
      <c r="E154" s="4" t="s">
        <v>10</v>
      </c>
      <c r="F154" s="4">
        <v>19</v>
      </c>
      <c r="G154" s="4">
        <v>10273</v>
      </c>
      <c r="H154" s="4">
        <v>12</v>
      </c>
      <c r="I154" s="7">
        <v>46069</v>
      </c>
      <c r="J154" s="7">
        <v>46072</v>
      </c>
      <c r="K154" s="4" t="s">
        <v>49</v>
      </c>
      <c r="L154" s="4" t="str">
        <f t="shared" si="2"/>
        <v>Normal</v>
      </c>
    </row>
    <row r="155" spans="1:12" x14ac:dyDescent="0.3">
      <c r="A155" s="9">
        <v>1154</v>
      </c>
      <c r="B155" s="9" t="s">
        <v>32</v>
      </c>
      <c r="C155" s="4" t="s">
        <v>23</v>
      </c>
      <c r="D155" s="4" t="s">
        <v>24</v>
      </c>
      <c r="E155" s="4" t="s">
        <v>11</v>
      </c>
      <c r="F155" s="4">
        <v>15</v>
      </c>
      <c r="G155" s="4">
        <v>6101</v>
      </c>
      <c r="H155" s="4">
        <v>0</v>
      </c>
      <c r="I155" s="7">
        <v>46178</v>
      </c>
      <c r="J155" s="7">
        <v>46183</v>
      </c>
      <c r="K155" s="4" t="s">
        <v>81</v>
      </c>
      <c r="L155" s="4" t="str">
        <f t="shared" si="2"/>
        <v>Normal</v>
      </c>
    </row>
    <row r="156" spans="1:12" x14ac:dyDescent="0.3">
      <c r="A156" s="9">
        <v>1155</v>
      </c>
      <c r="B156" s="9" t="s">
        <v>18</v>
      </c>
      <c r="C156" s="4" t="s">
        <v>31</v>
      </c>
      <c r="D156" s="4" t="s">
        <v>24</v>
      </c>
      <c r="E156" s="4" t="s">
        <v>8</v>
      </c>
      <c r="F156" s="4">
        <v>13</v>
      </c>
      <c r="G156" s="4">
        <v>4341</v>
      </c>
      <c r="H156" s="4">
        <v>15</v>
      </c>
      <c r="I156" s="7">
        <v>46093</v>
      </c>
      <c r="J156" s="7">
        <v>46096</v>
      </c>
      <c r="K156" s="4" t="s">
        <v>80</v>
      </c>
      <c r="L156" s="4" t="str">
        <f t="shared" si="2"/>
        <v>Normal</v>
      </c>
    </row>
    <row r="157" spans="1:12" x14ac:dyDescent="0.3">
      <c r="A157" s="9">
        <v>1156</v>
      </c>
      <c r="B157" s="9" t="s">
        <v>52</v>
      </c>
      <c r="C157" s="4" t="s">
        <v>38</v>
      </c>
      <c r="D157" s="4" t="s">
        <v>20</v>
      </c>
      <c r="E157" s="4" t="s">
        <v>36</v>
      </c>
      <c r="F157" s="4">
        <v>5</v>
      </c>
      <c r="G157" s="4">
        <v>466</v>
      </c>
      <c r="H157" s="4">
        <v>15</v>
      </c>
      <c r="I157" s="7">
        <v>46025</v>
      </c>
      <c r="J157" s="7">
        <v>46029</v>
      </c>
      <c r="K157" s="4" t="s">
        <v>78</v>
      </c>
      <c r="L157" s="4" t="str">
        <f t="shared" si="2"/>
        <v>Normal</v>
      </c>
    </row>
    <row r="158" spans="1:12" x14ac:dyDescent="0.3">
      <c r="A158" s="9">
        <v>1157</v>
      </c>
      <c r="B158" s="9" t="s">
        <v>50</v>
      </c>
      <c r="C158" s="4" t="s">
        <v>33</v>
      </c>
      <c r="D158" s="4" t="s">
        <v>20</v>
      </c>
      <c r="E158" s="4" t="s">
        <v>48</v>
      </c>
      <c r="F158" s="4">
        <v>3</v>
      </c>
      <c r="G158" s="4">
        <v>203</v>
      </c>
      <c r="H158" s="4">
        <v>15</v>
      </c>
      <c r="I158" s="7">
        <v>46076</v>
      </c>
      <c r="J158" s="7">
        <v>46080</v>
      </c>
      <c r="K158" s="4" t="s">
        <v>49</v>
      </c>
      <c r="L158" s="4" t="str">
        <f t="shared" si="2"/>
        <v>Normal</v>
      </c>
    </row>
    <row r="159" spans="1:12" x14ac:dyDescent="0.3">
      <c r="A159" s="9">
        <v>1158</v>
      </c>
      <c r="B159" s="9" t="s">
        <v>28</v>
      </c>
      <c r="C159" s="4" t="s">
        <v>38</v>
      </c>
      <c r="D159" s="4" t="s">
        <v>34</v>
      </c>
      <c r="E159" s="4" t="s">
        <v>40</v>
      </c>
      <c r="F159" s="4">
        <v>13</v>
      </c>
      <c r="G159" s="4">
        <v>12518</v>
      </c>
      <c r="H159" s="4">
        <v>2</v>
      </c>
      <c r="I159" s="7">
        <v>46079</v>
      </c>
      <c r="J159" s="7">
        <v>46082</v>
      </c>
      <c r="K159" s="4" t="s">
        <v>81</v>
      </c>
      <c r="L159" s="4" t="str">
        <f t="shared" si="2"/>
        <v>Normal</v>
      </c>
    </row>
    <row r="160" spans="1:12" x14ac:dyDescent="0.3">
      <c r="A160" s="9">
        <v>1159</v>
      </c>
      <c r="B160" s="9" t="s">
        <v>32</v>
      </c>
      <c r="C160" s="4" t="s">
        <v>42</v>
      </c>
      <c r="D160" s="4" t="s">
        <v>24</v>
      </c>
      <c r="E160" s="4" t="s">
        <v>8</v>
      </c>
      <c r="F160" s="4">
        <v>20</v>
      </c>
      <c r="G160" s="4">
        <v>14000</v>
      </c>
      <c r="H160" s="4">
        <v>15</v>
      </c>
      <c r="I160" s="7">
        <v>46184</v>
      </c>
      <c r="J160" s="7">
        <v>46187</v>
      </c>
      <c r="K160" s="4" t="s">
        <v>78</v>
      </c>
      <c r="L160" s="4" t="str">
        <f t="shared" si="2"/>
        <v>Normal</v>
      </c>
    </row>
    <row r="161" spans="1:12" x14ac:dyDescent="0.3">
      <c r="A161" s="9">
        <v>1160</v>
      </c>
      <c r="B161" s="9" t="s">
        <v>56</v>
      </c>
      <c r="C161" s="4" t="s">
        <v>26</v>
      </c>
      <c r="D161" s="4" t="s">
        <v>34</v>
      </c>
      <c r="E161" s="4" t="s">
        <v>5</v>
      </c>
      <c r="F161" s="4">
        <v>7</v>
      </c>
      <c r="G161" s="4">
        <v>53986</v>
      </c>
      <c r="H161" s="4">
        <v>10</v>
      </c>
      <c r="I161" s="7">
        <v>46142</v>
      </c>
      <c r="J161" s="7">
        <v>46147</v>
      </c>
      <c r="K161" s="4" t="s">
        <v>81</v>
      </c>
      <c r="L161" s="4" t="str">
        <f t="shared" si="2"/>
        <v>Normal</v>
      </c>
    </row>
    <row r="162" spans="1:12" x14ac:dyDescent="0.3">
      <c r="A162" s="9">
        <v>1161</v>
      </c>
      <c r="B162" s="9" t="s">
        <v>29</v>
      </c>
      <c r="C162" s="4" t="s">
        <v>27</v>
      </c>
      <c r="D162" s="4" t="s">
        <v>34</v>
      </c>
      <c r="E162" s="4" t="s">
        <v>5</v>
      </c>
      <c r="F162" s="4">
        <v>4</v>
      </c>
      <c r="G162" s="4">
        <v>54659</v>
      </c>
      <c r="H162" s="4">
        <v>7</v>
      </c>
      <c r="I162" s="7">
        <v>46105</v>
      </c>
      <c r="J162" s="7">
        <v>46109</v>
      </c>
      <c r="K162" s="4" t="s">
        <v>79</v>
      </c>
      <c r="L162" s="4" t="str">
        <f t="shared" si="2"/>
        <v>Normal</v>
      </c>
    </row>
    <row r="163" spans="1:12" x14ac:dyDescent="0.3">
      <c r="A163" s="9">
        <v>1162</v>
      </c>
      <c r="B163" s="9" t="s">
        <v>54</v>
      </c>
      <c r="C163" s="4" t="s">
        <v>31</v>
      </c>
      <c r="D163" s="4" t="s">
        <v>34</v>
      </c>
      <c r="E163" s="4" t="s">
        <v>6</v>
      </c>
      <c r="F163" s="4">
        <v>2</v>
      </c>
      <c r="G163" s="4">
        <v>28176</v>
      </c>
      <c r="H163" s="4">
        <v>10</v>
      </c>
      <c r="I163" s="7">
        <v>46100</v>
      </c>
      <c r="J163" s="7">
        <v>46101</v>
      </c>
      <c r="K163" s="4" t="s">
        <v>79</v>
      </c>
      <c r="L163" s="4" t="str">
        <f t="shared" si="2"/>
        <v>Normal</v>
      </c>
    </row>
    <row r="164" spans="1:12" x14ac:dyDescent="0.3">
      <c r="A164" s="9">
        <v>1163</v>
      </c>
      <c r="B164" s="9" t="s">
        <v>49</v>
      </c>
      <c r="C164" s="4" t="s">
        <v>38</v>
      </c>
      <c r="D164" s="4" t="s">
        <v>34</v>
      </c>
      <c r="E164" s="4" t="s">
        <v>5</v>
      </c>
      <c r="F164" s="4">
        <v>9</v>
      </c>
      <c r="G164" s="4">
        <v>62440</v>
      </c>
      <c r="H164" s="4">
        <v>2</v>
      </c>
      <c r="I164" s="7">
        <v>46081</v>
      </c>
      <c r="J164" s="7">
        <v>46086</v>
      </c>
      <c r="K164" s="4" t="s">
        <v>49</v>
      </c>
      <c r="L164" s="4" t="str">
        <f t="shared" si="2"/>
        <v>Normal</v>
      </c>
    </row>
    <row r="165" spans="1:12" x14ac:dyDescent="0.3">
      <c r="A165" s="9">
        <v>1164</v>
      </c>
      <c r="B165" s="9" t="s">
        <v>39</v>
      </c>
      <c r="C165" s="4" t="s">
        <v>42</v>
      </c>
      <c r="D165" s="4" t="s">
        <v>34</v>
      </c>
      <c r="E165" s="4" t="s">
        <v>12</v>
      </c>
      <c r="F165" s="4">
        <v>7</v>
      </c>
      <c r="G165" s="4">
        <v>24615</v>
      </c>
      <c r="H165" s="4">
        <v>12</v>
      </c>
      <c r="I165" s="7">
        <v>46196</v>
      </c>
      <c r="J165" s="7">
        <v>46203</v>
      </c>
      <c r="K165" s="4" t="s">
        <v>81</v>
      </c>
      <c r="L165" s="4" t="str">
        <f t="shared" si="2"/>
        <v>Normal</v>
      </c>
    </row>
    <row r="166" spans="1:12" x14ac:dyDescent="0.3">
      <c r="A166" s="9">
        <v>1165</v>
      </c>
      <c r="B166" s="9" t="s">
        <v>46</v>
      </c>
      <c r="C166" s="4" t="s">
        <v>27</v>
      </c>
      <c r="D166" s="4" t="s">
        <v>20</v>
      </c>
      <c r="E166" s="4" t="s">
        <v>37</v>
      </c>
      <c r="F166" s="4">
        <v>1</v>
      </c>
      <c r="G166" s="4">
        <v>427</v>
      </c>
      <c r="H166" s="4">
        <v>0</v>
      </c>
      <c r="I166" s="7">
        <v>46042</v>
      </c>
      <c r="J166" s="7">
        <v>46050</v>
      </c>
      <c r="K166" s="4" t="s">
        <v>81</v>
      </c>
      <c r="L166" s="4" t="str">
        <f t="shared" si="2"/>
        <v>Normal</v>
      </c>
    </row>
    <row r="167" spans="1:12" x14ac:dyDescent="0.3">
      <c r="A167" s="9">
        <v>1166</v>
      </c>
      <c r="B167" s="9" t="s">
        <v>32</v>
      </c>
      <c r="C167" s="4" t="s">
        <v>31</v>
      </c>
      <c r="D167" s="4" t="s">
        <v>20</v>
      </c>
      <c r="E167" s="4" t="s">
        <v>37</v>
      </c>
      <c r="F167" s="4">
        <v>1</v>
      </c>
      <c r="G167" s="4">
        <v>396</v>
      </c>
      <c r="H167" s="4">
        <v>5</v>
      </c>
      <c r="I167" s="7">
        <v>46092</v>
      </c>
      <c r="J167" s="7">
        <v>46093</v>
      </c>
      <c r="K167" s="4" t="s">
        <v>79</v>
      </c>
      <c r="L167" s="4" t="str">
        <f t="shared" si="2"/>
        <v>Normal</v>
      </c>
    </row>
    <row r="168" spans="1:12" x14ac:dyDescent="0.3">
      <c r="A168" s="9">
        <v>1167</v>
      </c>
      <c r="B168" s="9" t="s">
        <v>46</v>
      </c>
      <c r="C168" s="4" t="s">
        <v>23</v>
      </c>
      <c r="D168" s="4" t="s">
        <v>20</v>
      </c>
      <c r="E168" s="4" t="s">
        <v>37</v>
      </c>
      <c r="F168" s="4">
        <v>20</v>
      </c>
      <c r="G168" s="4">
        <v>251</v>
      </c>
      <c r="H168" s="4">
        <v>5</v>
      </c>
      <c r="I168" s="7">
        <v>46160</v>
      </c>
      <c r="J168" s="7">
        <v>46170</v>
      </c>
      <c r="K168" s="4" t="s">
        <v>49</v>
      </c>
      <c r="L168" s="4" t="str">
        <f t="shared" si="2"/>
        <v>Normal</v>
      </c>
    </row>
    <row r="169" spans="1:12" x14ac:dyDescent="0.3">
      <c r="A169" s="9">
        <v>1168</v>
      </c>
      <c r="B169" s="9" t="s">
        <v>52</v>
      </c>
      <c r="C169" s="4" t="s">
        <v>19</v>
      </c>
      <c r="D169" s="4" t="s">
        <v>20</v>
      </c>
      <c r="E169" s="4" t="s">
        <v>37</v>
      </c>
      <c r="F169" s="4">
        <v>18</v>
      </c>
      <c r="G169" s="4">
        <v>335</v>
      </c>
      <c r="H169" s="4">
        <v>15</v>
      </c>
      <c r="I169" s="7">
        <v>46130</v>
      </c>
      <c r="J169" s="7">
        <v>46140</v>
      </c>
      <c r="K169" s="4" t="s">
        <v>49</v>
      </c>
      <c r="L169" s="4" t="str">
        <f t="shared" si="2"/>
        <v>Normal</v>
      </c>
    </row>
    <row r="170" spans="1:12" x14ac:dyDescent="0.3">
      <c r="A170" s="9">
        <v>1169</v>
      </c>
      <c r="B170" s="9" t="s">
        <v>45</v>
      </c>
      <c r="C170" s="4" t="s">
        <v>19</v>
      </c>
      <c r="D170" s="4" t="s">
        <v>24</v>
      </c>
      <c r="E170" s="4" t="s">
        <v>11</v>
      </c>
      <c r="F170" s="4">
        <v>12</v>
      </c>
      <c r="G170" s="4">
        <v>12104</v>
      </c>
      <c r="H170" s="4">
        <v>7</v>
      </c>
      <c r="I170" s="7">
        <v>46121</v>
      </c>
      <c r="J170" s="7">
        <v>46130</v>
      </c>
      <c r="K170" s="4" t="s">
        <v>80</v>
      </c>
      <c r="L170" s="4" t="str">
        <f t="shared" si="2"/>
        <v>Normal</v>
      </c>
    </row>
    <row r="171" spans="1:12" x14ac:dyDescent="0.3">
      <c r="A171" s="9">
        <v>1170</v>
      </c>
      <c r="B171" s="9" t="s">
        <v>47</v>
      </c>
      <c r="C171" s="4" t="s">
        <v>38</v>
      </c>
      <c r="D171" s="4" t="s">
        <v>20</v>
      </c>
      <c r="E171" s="4" t="s">
        <v>21</v>
      </c>
      <c r="F171" s="4">
        <v>6</v>
      </c>
      <c r="G171" s="4">
        <v>339</v>
      </c>
      <c r="H171" s="4">
        <v>12</v>
      </c>
      <c r="I171" s="7">
        <v>46105</v>
      </c>
      <c r="J171" s="7">
        <v>46106</v>
      </c>
      <c r="K171" s="4" t="s">
        <v>80</v>
      </c>
      <c r="L171" s="4" t="str">
        <f t="shared" si="2"/>
        <v>Normal</v>
      </c>
    </row>
    <row r="172" spans="1:12" x14ac:dyDescent="0.3">
      <c r="A172" s="9">
        <v>1171</v>
      </c>
      <c r="B172" s="9" t="s">
        <v>54</v>
      </c>
      <c r="C172" s="4" t="s">
        <v>27</v>
      </c>
      <c r="D172" s="4" t="s">
        <v>20</v>
      </c>
      <c r="E172" s="4" t="s">
        <v>48</v>
      </c>
      <c r="F172" s="4">
        <v>17</v>
      </c>
      <c r="G172" s="4">
        <v>147</v>
      </c>
      <c r="H172" s="4">
        <v>12</v>
      </c>
      <c r="I172" s="7">
        <v>46155</v>
      </c>
      <c r="J172" s="7">
        <v>46160</v>
      </c>
      <c r="K172" s="4" t="s">
        <v>79</v>
      </c>
      <c r="L172" s="4" t="str">
        <f t="shared" si="2"/>
        <v>Normal</v>
      </c>
    </row>
    <row r="173" spans="1:12" x14ac:dyDescent="0.3">
      <c r="A173" s="9">
        <v>1172</v>
      </c>
      <c r="B173" s="9" t="s">
        <v>22</v>
      </c>
      <c r="C173" s="4" t="s">
        <v>19</v>
      </c>
      <c r="D173" s="4" t="s">
        <v>34</v>
      </c>
      <c r="E173" s="4" t="s">
        <v>6</v>
      </c>
      <c r="F173" s="4">
        <v>13</v>
      </c>
      <c r="G173" s="4">
        <v>43163</v>
      </c>
      <c r="H173" s="4">
        <v>12</v>
      </c>
      <c r="I173" s="7">
        <v>46120</v>
      </c>
      <c r="J173" s="7">
        <v>46129</v>
      </c>
      <c r="K173" s="4" t="s">
        <v>80</v>
      </c>
      <c r="L173" s="4" t="str">
        <f t="shared" si="2"/>
        <v>Normal</v>
      </c>
    </row>
    <row r="174" spans="1:12" x14ac:dyDescent="0.3">
      <c r="A174" s="9">
        <v>1173</v>
      </c>
      <c r="B174" s="9" t="s">
        <v>39</v>
      </c>
      <c r="C174" s="4" t="s">
        <v>23</v>
      </c>
      <c r="D174" s="4" t="s">
        <v>20</v>
      </c>
      <c r="E174" s="4" t="s">
        <v>37</v>
      </c>
      <c r="F174" s="4">
        <v>15</v>
      </c>
      <c r="G174" s="4">
        <v>214</v>
      </c>
      <c r="H174" s="4">
        <v>10</v>
      </c>
      <c r="I174" s="7">
        <v>46050</v>
      </c>
      <c r="J174" s="7">
        <v>46060</v>
      </c>
      <c r="K174" s="4" t="s">
        <v>81</v>
      </c>
      <c r="L174" s="4" t="str">
        <f t="shared" si="2"/>
        <v>Normal</v>
      </c>
    </row>
    <row r="175" spans="1:12" x14ac:dyDescent="0.3">
      <c r="A175" s="9">
        <v>1174</v>
      </c>
      <c r="B175" s="9" t="s">
        <v>55</v>
      </c>
      <c r="C175" s="4" t="s">
        <v>38</v>
      </c>
      <c r="D175" s="4" t="s">
        <v>20</v>
      </c>
      <c r="E175" s="4" t="s">
        <v>21</v>
      </c>
      <c r="F175" s="4">
        <v>13</v>
      </c>
      <c r="G175" s="4">
        <v>155</v>
      </c>
      <c r="H175" s="4">
        <v>2</v>
      </c>
      <c r="I175" s="7">
        <v>46066</v>
      </c>
      <c r="J175" s="7">
        <v>46069</v>
      </c>
      <c r="K175" s="4" t="s">
        <v>80</v>
      </c>
      <c r="L175" s="4" t="str">
        <f t="shared" si="2"/>
        <v>Normal</v>
      </c>
    </row>
    <row r="176" spans="1:12" x14ac:dyDescent="0.3">
      <c r="A176" s="9">
        <v>1175</v>
      </c>
      <c r="B176" s="9" t="s">
        <v>28</v>
      </c>
      <c r="C176" s="4" t="s">
        <v>23</v>
      </c>
      <c r="D176" s="4" t="s">
        <v>34</v>
      </c>
      <c r="E176" s="4" t="s">
        <v>40</v>
      </c>
      <c r="F176" s="4">
        <v>10</v>
      </c>
      <c r="G176" s="4">
        <v>20339</v>
      </c>
      <c r="H176" s="4">
        <v>2</v>
      </c>
      <c r="I176" s="7">
        <v>46088</v>
      </c>
      <c r="J176" s="7">
        <v>46094</v>
      </c>
      <c r="K176" s="4" t="s">
        <v>79</v>
      </c>
      <c r="L176" s="4" t="str">
        <f t="shared" si="2"/>
        <v>Normal</v>
      </c>
    </row>
    <row r="177" spans="1:12" x14ac:dyDescent="0.3">
      <c r="A177" s="9">
        <v>1176</v>
      </c>
      <c r="B177" s="9" t="s">
        <v>55</v>
      </c>
      <c r="C177" s="4" t="s">
        <v>38</v>
      </c>
      <c r="D177" s="4" t="s">
        <v>34</v>
      </c>
      <c r="E177" s="4" t="s">
        <v>40</v>
      </c>
      <c r="F177" s="4">
        <v>17</v>
      </c>
      <c r="G177" s="4">
        <v>46937</v>
      </c>
      <c r="H177" s="4">
        <v>12</v>
      </c>
      <c r="I177" s="7">
        <v>46048</v>
      </c>
      <c r="J177" s="7">
        <v>46056</v>
      </c>
      <c r="K177" s="4" t="s">
        <v>49</v>
      </c>
      <c r="L177" s="4" t="str">
        <f t="shared" si="2"/>
        <v>Priority Order</v>
      </c>
    </row>
    <row r="178" spans="1:12" x14ac:dyDescent="0.3">
      <c r="A178" s="9">
        <v>1177</v>
      </c>
      <c r="B178" s="9" t="s">
        <v>49</v>
      </c>
      <c r="C178" s="4" t="s">
        <v>26</v>
      </c>
      <c r="D178" s="4" t="s">
        <v>24</v>
      </c>
      <c r="E178" s="4" t="s">
        <v>7</v>
      </c>
      <c r="F178" s="4">
        <v>14</v>
      </c>
      <c r="G178" s="4">
        <v>7501</v>
      </c>
      <c r="H178" s="4">
        <v>7</v>
      </c>
      <c r="I178" s="7">
        <v>46169</v>
      </c>
      <c r="J178" s="7">
        <v>46179</v>
      </c>
      <c r="K178" s="4" t="s">
        <v>79</v>
      </c>
      <c r="L178" s="4" t="str">
        <f t="shared" si="2"/>
        <v>Normal</v>
      </c>
    </row>
    <row r="179" spans="1:12" x14ac:dyDescent="0.3">
      <c r="A179" s="9">
        <v>1178</v>
      </c>
      <c r="B179" s="9" t="s">
        <v>54</v>
      </c>
      <c r="C179" s="4" t="s">
        <v>23</v>
      </c>
      <c r="D179" s="4" t="s">
        <v>20</v>
      </c>
      <c r="E179" s="4" t="s">
        <v>48</v>
      </c>
      <c r="F179" s="4">
        <v>5</v>
      </c>
      <c r="G179" s="4">
        <v>50</v>
      </c>
      <c r="H179" s="4">
        <v>0</v>
      </c>
      <c r="I179" s="7">
        <v>46111</v>
      </c>
      <c r="J179" s="7">
        <v>46117</v>
      </c>
      <c r="K179" s="4" t="s">
        <v>79</v>
      </c>
      <c r="L179" s="4" t="str">
        <f t="shared" si="2"/>
        <v>Normal</v>
      </c>
    </row>
    <row r="180" spans="1:12" x14ac:dyDescent="0.3">
      <c r="A180" s="9">
        <v>1179</v>
      </c>
      <c r="B180" s="9" t="s">
        <v>45</v>
      </c>
      <c r="C180" s="4" t="s">
        <v>23</v>
      </c>
      <c r="D180" s="4" t="s">
        <v>34</v>
      </c>
      <c r="E180" s="4" t="s">
        <v>5</v>
      </c>
      <c r="F180" s="4">
        <v>6</v>
      </c>
      <c r="G180" s="4">
        <v>10400</v>
      </c>
      <c r="H180" s="4">
        <v>2</v>
      </c>
      <c r="I180" s="7">
        <v>46155</v>
      </c>
      <c r="J180" s="7">
        <v>46158</v>
      </c>
      <c r="K180" s="4" t="s">
        <v>78</v>
      </c>
      <c r="L180" s="4" t="str">
        <f t="shared" si="2"/>
        <v>Normal</v>
      </c>
    </row>
    <row r="181" spans="1:12" x14ac:dyDescent="0.3">
      <c r="A181" s="9">
        <v>1180</v>
      </c>
      <c r="B181" s="9" t="s">
        <v>39</v>
      </c>
      <c r="C181" s="4" t="s">
        <v>31</v>
      </c>
      <c r="D181" s="4" t="s">
        <v>24</v>
      </c>
      <c r="E181" s="4" t="s">
        <v>8</v>
      </c>
      <c r="F181" s="4">
        <v>2</v>
      </c>
      <c r="G181" s="4">
        <v>2076</v>
      </c>
      <c r="H181" s="4">
        <v>2</v>
      </c>
      <c r="I181" s="7">
        <v>46111</v>
      </c>
      <c r="J181" s="7">
        <v>46121</v>
      </c>
      <c r="K181" s="4" t="s">
        <v>49</v>
      </c>
      <c r="L181" s="4" t="str">
        <f t="shared" si="2"/>
        <v>Normal</v>
      </c>
    </row>
    <row r="182" spans="1:12" x14ac:dyDescent="0.3">
      <c r="A182" s="9">
        <v>1181</v>
      </c>
      <c r="B182" s="9" t="s">
        <v>55</v>
      </c>
      <c r="C182" s="4" t="s">
        <v>33</v>
      </c>
      <c r="D182" s="4" t="s">
        <v>20</v>
      </c>
      <c r="E182" s="4" t="s">
        <v>36</v>
      </c>
      <c r="F182" s="4">
        <v>4</v>
      </c>
      <c r="G182" s="4">
        <v>357</v>
      </c>
      <c r="H182" s="4">
        <v>2</v>
      </c>
      <c r="I182" s="7">
        <v>46033</v>
      </c>
      <c r="J182" s="7">
        <v>46035</v>
      </c>
      <c r="K182" s="4" t="s">
        <v>78</v>
      </c>
      <c r="L182" s="4" t="str">
        <f t="shared" si="2"/>
        <v>Normal</v>
      </c>
    </row>
    <row r="183" spans="1:12" x14ac:dyDescent="0.3">
      <c r="A183" s="9">
        <v>1182</v>
      </c>
      <c r="B183" s="9" t="s">
        <v>41</v>
      </c>
      <c r="C183" s="4" t="s">
        <v>19</v>
      </c>
      <c r="D183" s="4" t="s">
        <v>34</v>
      </c>
      <c r="E183" s="4" t="s">
        <v>5</v>
      </c>
      <c r="F183" s="4">
        <v>8</v>
      </c>
      <c r="G183" s="4">
        <v>66022</v>
      </c>
      <c r="H183" s="4">
        <v>12</v>
      </c>
      <c r="I183" s="7">
        <v>46108</v>
      </c>
      <c r="J183" s="7">
        <v>46114</v>
      </c>
      <c r="K183" s="4" t="s">
        <v>80</v>
      </c>
      <c r="L183" s="4" t="str">
        <f t="shared" si="2"/>
        <v>Normal</v>
      </c>
    </row>
    <row r="184" spans="1:12" x14ac:dyDescent="0.3">
      <c r="A184" s="9">
        <v>1183</v>
      </c>
      <c r="B184" s="9" t="s">
        <v>50</v>
      </c>
      <c r="C184" s="4" t="s">
        <v>42</v>
      </c>
      <c r="D184" s="4" t="s">
        <v>20</v>
      </c>
      <c r="E184" s="4" t="s">
        <v>21</v>
      </c>
      <c r="F184" s="4">
        <v>2</v>
      </c>
      <c r="G184" s="4">
        <v>309</v>
      </c>
      <c r="H184" s="4">
        <v>2</v>
      </c>
      <c r="I184" s="7">
        <v>46109</v>
      </c>
      <c r="J184" s="7">
        <v>46111</v>
      </c>
      <c r="K184" s="4" t="s">
        <v>79</v>
      </c>
      <c r="L184" s="4" t="str">
        <f t="shared" si="2"/>
        <v>Normal</v>
      </c>
    </row>
    <row r="185" spans="1:12" x14ac:dyDescent="0.3">
      <c r="A185" s="9">
        <v>1184</v>
      </c>
      <c r="B185" s="9" t="s">
        <v>39</v>
      </c>
      <c r="C185" s="4" t="s">
        <v>31</v>
      </c>
      <c r="D185" s="4" t="s">
        <v>34</v>
      </c>
      <c r="E185" s="4" t="s">
        <v>5</v>
      </c>
      <c r="F185" s="4">
        <v>12</v>
      </c>
      <c r="G185" s="4">
        <v>50517</v>
      </c>
      <c r="H185" s="4">
        <v>15</v>
      </c>
      <c r="I185" s="7">
        <v>46145</v>
      </c>
      <c r="J185" s="7">
        <v>46153</v>
      </c>
      <c r="K185" s="4" t="s">
        <v>49</v>
      </c>
      <c r="L185" s="4" t="str">
        <f t="shared" si="2"/>
        <v>Normal</v>
      </c>
    </row>
    <row r="186" spans="1:12" x14ac:dyDescent="0.3">
      <c r="A186" s="9">
        <v>1185</v>
      </c>
      <c r="B186" s="9" t="s">
        <v>55</v>
      </c>
      <c r="C186" s="4" t="s">
        <v>26</v>
      </c>
      <c r="D186" s="4" t="s">
        <v>34</v>
      </c>
      <c r="E186" s="4" t="s">
        <v>9</v>
      </c>
      <c r="F186" s="4">
        <v>16</v>
      </c>
      <c r="G186" s="4">
        <v>15536</v>
      </c>
      <c r="H186" s="4">
        <v>2</v>
      </c>
      <c r="I186" s="7">
        <v>46153</v>
      </c>
      <c r="J186" s="7">
        <v>46156</v>
      </c>
      <c r="K186" s="4" t="s">
        <v>78</v>
      </c>
      <c r="L186" s="4" t="str">
        <f t="shared" si="2"/>
        <v>Normal</v>
      </c>
    </row>
    <row r="187" spans="1:12" x14ac:dyDescent="0.3">
      <c r="A187" s="9">
        <v>1186</v>
      </c>
      <c r="B187" s="9" t="s">
        <v>22</v>
      </c>
      <c r="C187" s="4" t="s">
        <v>27</v>
      </c>
      <c r="D187" s="4" t="s">
        <v>24</v>
      </c>
      <c r="E187" s="4" t="s">
        <v>43</v>
      </c>
      <c r="F187" s="4">
        <v>10</v>
      </c>
      <c r="G187" s="4">
        <v>14951</v>
      </c>
      <c r="H187" s="4">
        <v>2</v>
      </c>
      <c r="I187" s="7">
        <v>46188</v>
      </c>
      <c r="J187" s="7">
        <v>46196</v>
      </c>
      <c r="K187" s="4" t="s">
        <v>80</v>
      </c>
      <c r="L187" s="4" t="str">
        <f t="shared" si="2"/>
        <v>Normal</v>
      </c>
    </row>
    <row r="188" spans="1:12" x14ac:dyDescent="0.3">
      <c r="A188" s="9">
        <v>1187</v>
      </c>
      <c r="B188" s="9" t="s">
        <v>52</v>
      </c>
      <c r="C188" s="4" t="s">
        <v>26</v>
      </c>
      <c r="D188" s="4" t="s">
        <v>34</v>
      </c>
      <c r="E188" s="4" t="s">
        <v>6</v>
      </c>
      <c r="F188" s="4">
        <v>18</v>
      </c>
      <c r="G188" s="4">
        <v>68527</v>
      </c>
      <c r="H188" s="4">
        <v>12</v>
      </c>
      <c r="I188" s="7">
        <v>46178</v>
      </c>
      <c r="J188" s="7">
        <v>46184</v>
      </c>
      <c r="K188" s="4" t="s">
        <v>81</v>
      </c>
      <c r="L188" s="4" t="str">
        <f t="shared" si="2"/>
        <v>Normal</v>
      </c>
    </row>
    <row r="189" spans="1:12" x14ac:dyDescent="0.3">
      <c r="A189" s="9">
        <v>1188</v>
      </c>
      <c r="B189" s="9" t="s">
        <v>49</v>
      </c>
      <c r="C189" s="4" t="s">
        <v>26</v>
      </c>
      <c r="D189" s="4" t="s">
        <v>24</v>
      </c>
      <c r="E189" s="4" t="s">
        <v>11</v>
      </c>
      <c r="F189" s="4">
        <v>6</v>
      </c>
      <c r="G189" s="4">
        <v>10368</v>
      </c>
      <c r="H189" s="4">
        <v>7</v>
      </c>
      <c r="I189" s="7">
        <v>46137</v>
      </c>
      <c r="J189" s="7">
        <v>46142</v>
      </c>
      <c r="K189" s="4" t="s">
        <v>78</v>
      </c>
      <c r="L189" s="4" t="str">
        <f t="shared" si="2"/>
        <v>Normal</v>
      </c>
    </row>
    <row r="190" spans="1:12" x14ac:dyDescent="0.3">
      <c r="A190" s="9">
        <v>1189</v>
      </c>
      <c r="B190" s="9" t="s">
        <v>47</v>
      </c>
      <c r="C190" s="4" t="s">
        <v>31</v>
      </c>
      <c r="D190" s="4" t="s">
        <v>24</v>
      </c>
      <c r="E190" s="4" t="s">
        <v>11</v>
      </c>
      <c r="F190" s="4">
        <v>12</v>
      </c>
      <c r="G190" s="4">
        <v>8327</v>
      </c>
      <c r="H190" s="4">
        <v>10</v>
      </c>
      <c r="I190" s="7">
        <v>46184</v>
      </c>
      <c r="J190" s="7">
        <v>46185</v>
      </c>
      <c r="K190" s="4" t="s">
        <v>49</v>
      </c>
      <c r="L190" s="4" t="str">
        <f t="shared" si="2"/>
        <v>Normal</v>
      </c>
    </row>
    <row r="191" spans="1:12" x14ac:dyDescent="0.3">
      <c r="A191" s="9">
        <v>1190</v>
      </c>
      <c r="B191" s="9" t="s">
        <v>54</v>
      </c>
      <c r="C191" s="4" t="s">
        <v>23</v>
      </c>
      <c r="D191" s="4" t="s">
        <v>24</v>
      </c>
      <c r="E191" s="4" t="s">
        <v>8</v>
      </c>
      <c r="F191" s="4">
        <v>4</v>
      </c>
      <c r="G191" s="4">
        <v>10154</v>
      </c>
      <c r="H191" s="4">
        <v>7</v>
      </c>
      <c r="I191" s="7">
        <v>46052</v>
      </c>
      <c r="J191" s="7">
        <v>46062</v>
      </c>
      <c r="K191" s="4" t="s">
        <v>79</v>
      </c>
      <c r="L191" s="4" t="str">
        <f t="shared" si="2"/>
        <v>Normal</v>
      </c>
    </row>
    <row r="192" spans="1:12" x14ac:dyDescent="0.3">
      <c r="A192" s="9">
        <v>1191</v>
      </c>
      <c r="B192" s="9" t="s">
        <v>50</v>
      </c>
      <c r="C192" s="4" t="s">
        <v>33</v>
      </c>
      <c r="D192" s="4" t="s">
        <v>24</v>
      </c>
      <c r="E192" s="4" t="s">
        <v>11</v>
      </c>
      <c r="F192" s="4">
        <v>9</v>
      </c>
      <c r="G192" s="4">
        <v>8631</v>
      </c>
      <c r="H192" s="4">
        <v>10</v>
      </c>
      <c r="I192" s="7">
        <v>46149</v>
      </c>
      <c r="J192" s="7">
        <v>46156</v>
      </c>
      <c r="K192" s="4" t="s">
        <v>79</v>
      </c>
      <c r="L192" s="4" t="str">
        <f t="shared" si="2"/>
        <v>Normal</v>
      </c>
    </row>
    <row r="193" spans="1:12" x14ac:dyDescent="0.3">
      <c r="A193" s="9">
        <v>1192</v>
      </c>
      <c r="B193" s="9" t="s">
        <v>25</v>
      </c>
      <c r="C193" s="4" t="s">
        <v>33</v>
      </c>
      <c r="D193" s="4" t="s">
        <v>20</v>
      </c>
      <c r="E193" s="4" t="s">
        <v>51</v>
      </c>
      <c r="F193" s="4">
        <v>18</v>
      </c>
      <c r="G193" s="4">
        <v>49</v>
      </c>
      <c r="H193" s="4">
        <v>12</v>
      </c>
      <c r="I193" s="7">
        <v>46089</v>
      </c>
      <c r="J193" s="7">
        <v>46095</v>
      </c>
      <c r="K193" s="4" t="s">
        <v>80</v>
      </c>
      <c r="L193" s="4" t="str">
        <f t="shared" si="2"/>
        <v>Normal</v>
      </c>
    </row>
    <row r="194" spans="1:12" x14ac:dyDescent="0.3">
      <c r="A194" s="9">
        <v>1193</v>
      </c>
      <c r="B194" s="9" t="s">
        <v>54</v>
      </c>
      <c r="C194" s="4" t="s">
        <v>19</v>
      </c>
      <c r="D194" s="4" t="s">
        <v>24</v>
      </c>
      <c r="E194" s="4" t="s">
        <v>10</v>
      </c>
      <c r="F194" s="4">
        <v>19</v>
      </c>
      <c r="G194" s="4">
        <v>2699</v>
      </c>
      <c r="H194" s="4">
        <v>7</v>
      </c>
      <c r="I194" s="7">
        <v>46110</v>
      </c>
      <c r="J194" s="7">
        <v>46112</v>
      </c>
      <c r="K194" s="4" t="s">
        <v>49</v>
      </c>
      <c r="L194" s="4" t="str">
        <f t="shared" si="2"/>
        <v>Normal</v>
      </c>
    </row>
    <row r="195" spans="1:12" x14ac:dyDescent="0.3">
      <c r="A195" s="9">
        <v>1194</v>
      </c>
      <c r="B195" s="9" t="s">
        <v>54</v>
      </c>
      <c r="C195" s="4" t="s">
        <v>42</v>
      </c>
      <c r="D195" s="4" t="s">
        <v>24</v>
      </c>
      <c r="E195" s="4" t="s">
        <v>8</v>
      </c>
      <c r="F195" s="4">
        <v>13</v>
      </c>
      <c r="G195" s="4">
        <v>12856</v>
      </c>
      <c r="H195" s="4">
        <v>15</v>
      </c>
      <c r="I195" s="7">
        <v>46129</v>
      </c>
      <c r="J195" s="7">
        <v>46133</v>
      </c>
      <c r="K195" s="4" t="s">
        <v>81</v>
      </c>
      <c r="L195" s="4" t="str">
        <f t="shared" ref="L195:L258" si="3">IF(AND(C195="Mumbai",F195&gt;=15),"Priority Order","Normal")</f>
        <v>Normal</v>
      </c>
    </row>
    <row r="196" spans="1:12" x14ac:dyDescent="0.3">
      <c r="A196" s="9">
        <v>1195</v>
      </c>
      <c r="B196" s="9" t="s">
        <v>56</v>
      </c>
      <c r="C196" s="4" t="s">
        <v>23</v>
      </c>
      <c r="D196" s="4" t="s">
        <v>20</v>
      </c>
      <c r="E196" s="4" t="s">
        <v>48</v>
      </c>
      <c r="F196" s="4">
        <v>19</v>
      </c>
      <c r="G196" s="4">
        <v>313</v>
      </c>
      <c r="H196" s="4">
        <v>2</v>
      </c>
      <c r="I196" s="7">
        <v>46198</v>
      </c>
      <c r="J196" s="7">
        <v>46206</v>
      </c>
      <c r="K196" s="4" t="s">
        <v>81</v>
      </c>
      <c r="L196" s="4" t="str">
        <f t="shared" si="3"/>
        <v>Normal</v>
      </c>
    </row>
    <row r="197" spans="1:12" x14ac:dyDescent="0.3">
      <c r="A197" s="9">
        <v>1196</v>
      </c>
      <c r="B197" s="9" t="s">
        <v>46</v>
      </c>
      <c r="C197" s="4" t="s">
        <v>26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7">
        <v>46155</v>
      </c>
      <c r="J197" s="7">
        <v>46159</v>
      </c>
      <c r="K197" s="4" t="s">
        <v>79</v>
      </c>
      <c r="L197" s="4" t="str">
        <f t="shared" si="3"/>
        <v>Normal</v>
      </c>
    </row>
    <row r="198" spans="1:12" x14ac:dyDescent="0.3">
      <c r="A198" s="9">
        <v>1197</v>
      </c>
      <c r="B198" s="9" t="s">
        <v>50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7">
        <v>46045</v>
      </c>
      <c r="J198" s="7">
        <v>46048</v>
      </c>
      <c r="K198" s="4" t="s">
        <v>78</v>
      </c>
      <c r="L198" s="4" t="str">
        <f t="shared" si="3"/>
        <v>Normal</v>
      </c>
    </row>
    <row r="199" spans="1:12" x14ac:dyDescent="0.3">
      <c r="A199" s="9">
        <v>1198</v>
      </c>
      <c r="B199" s="9" t="s">
        <v>55</v>
      </c>
      <c r="C199" s="4" t="s">
        <v>19</v>
      </c>
      <c r="D199" s="4" t="s">
        <v>20</v>
      </c>
      <c r="E199" s="4" t="s">
        <v>21</v>
      </c>
      <c r="F199" s="4">
        <v>12</v>
      </c>
      <c r="G199" s="4">
        <v>491</v>
      </c>
      <c r="H199" s="4">
        <v>2</v>
      </c>
      <c r="I199" s="7">
        <v>46106</v>
      </c>
      <c r="J199" s="7">
        <v>46109</v>
      </c>
      <c r="K199" s="4" t="s">
        <v>81</v>
      </c>
      <c r="L199" s="4" t="str">
        <f t="shared" si="3"/>
        <v>Normal</v>
      </c>
    </row>
    <row r="200" spans="1:12" x14ac:dyDescent="0.3">
      <c r="A200" s="9">
        <v>1199</v>
      </c>
      <c r="B200" s="9" t="s">
        <v>18</v>
      </c>
      <c r="C200" s="4" t="s">
        <v>27</v>
      </c>
      <c r="D200" s="4" t="s">
        <v>34</v>
      </c>
      <c r="E200" s="4" t="s">
        <v>6</v>
      </c>
      <c r="F200" s="4">
        <v>2</v>
      </c>
      <c r="G200" s="4">
        <v>4375</v>
      </c>
      <c r="H200" s="4">
        <v>7</v>
      </c>
      <c r="I200" s="7">
        <v>46178</v>
      </c>
      <c r="J200" s="7">
        <v>46180</v>
      </c>
      <c r="K200" s="4" t="s">
        <v>80</v>
      </c>
      <c r="L200" s="4" t="str">
        <f t="shared" si="3"/>
        <v>Normal</v>
      </c>
    </row>
    <row r="201" spans="1:12" x14ac:dyDescent="0.3">
      <c r="A201" s="9">
        <v>1200</v>
      </c>
      <c r="B201" s="9" t="s">
        <v>49</v>
      </c>
      <c r="C201" s="4" t="s">
        <v>31</v>
      </c>
      <c r="D201" s="4" t="s">
        <v>34</v>
      </c>
      <c r="E201" s="4" t="s">
        <v>6</v>
      </c>
      <c r="F201" s="4">
        <v>13</v>
      </c>
      <c r="G201" s="4">
        <v>69422</v>
      </c>
      <c r="H201" s="4">
        <v>0</v>
      </c>
      <c r="I201" s="7">
        <v>46134</v>
      </c>
      <c r="J201" s="7">
        <v>46143</v>
      </c>
      <c r="K201" s="4" t="s">
        <v>49</v>
      </c>
      <c r="L201" s="4" t="str">
        <f t="shared" si="3"/>
        <v>Normal</v>
      </c>
    </row>
    <row r="202" spans="1:12" x14ac:dyDescent="0.3">
      <c r="A202" s="9">
        <v>1201</v>
      </c>
      <c r="B202" s="9" t="s">
        <v>52</v>
      </c>
      <c r="C202" s="4" t="s">
        <v>31</v>
      </c>
      <c r="D202" s="4" t="s">
        <v>20</v>
      </c>
      <c r="E202" s="4" t="s">
        <v>51</v>
      </c>
      <c r="F202" s="4">
        <v>18</v>
      </c>
      <c r="G202" s="4">
        <v>139</v>
      </c>
      <c r="H202" s="4">
        <v>12</v>
      </c>
      <c r="I202" s="7">
        <v>46075</v>
      </c>
      <c r="J202" s="7">
        <v>46076</v>
      </c>
      <c r="K202" s="4" t="s">
        <v>79</v>
      </c>
      <c r="L202" s="4" t="str">
        <f t="shared" si="3"/>
        <v>Normal</v>
      </c>
    </row>
    <row r="203" spans="1:12" x14ac:dyDescent="0.3">
      <c r="A203" s="9">
        <v>1202</v>
      </c>
      <c r="B203" s="9" t="s">
        <v>54</v>
      </c>
      <c r="C203" s="4" t="s">
        <v>26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7">
        <v>46082</v>
      </c>
      <c r="J203" s="7">
        <v>46091</v>
      </c>
      <c r="K203" s="4" t="s">
        <v>78</v>
      </c>
      <c r="L203" s="4" t="str">
        <f t="shared" si="3"/>
        <v>Normal</v>
      </c>
    </row>
    <row r="204" spans="1:12" x14ac:dyDescent="0.3">
      <c r="A204" s="9">
        <v>1203</v>
      </c>
      <c r="B204" s="9" t="s">
        <v>39</v>
      </c>
      <c r="C204" s="4" t="s">
        <v>26</v>
      </c>
      <c r="D204" s="4" t="s">
        <v>24</v>
      </c>
      <c r="E204" s="4" t="s">
        <v>10</v>
      </c>
      <c r="F204" s="4">
        <v>17</v>
      </c>
      <c r="G204" s="4">
        <v>6695</v>
      </c>
      <c r="H204" s="4">
        <v>2</v>
      </c>
      <c r="I204" s="7">
        <v>46119</v>
      </c>
      <c r="J204" s="7">
        <v>46122</v>
      </c>
      <c r="K204" s="4" t="s">
        <v>81</v>
      </c>
      <c r="L204" s="4" t="str">
        <f t="shared" si="3"/>
        <v>Normal</v>
      </c>
    </row>
    <row r="205" spans="1:12" x14ac:dyDescent="0.3">
      <c r="A205" s="9">
        <v>1204</v>
      </c>
      <c r="B205" s="9" t="s">
        <v>22</v>
      </c>
      <c r="C205" s="4" t="s">
        <v>31</v>
      </c>
      <c r="D205" s="4" t="s">
        <v>20</v>
      </c>
      <c r="E205" s="4" t="s">
        <v>37</v>
      </c>
      <c r="F205" s="4">
        <v>13</v>
      </c>
      <c r="G205" s="4">
        <v>416</v>
      </c>
      <c r="H205" s="4">
        <v>10</v>
      </c>
      <c r="I205" s="7">
        <v>46123</v>
      </c>
      <c r="J205" s="7">
        <v>46132</v>
      </c>
      <c r="K205" s="4" t="s">
        <v>79</v>
      </c>
      <c r="L205" s="4" t="str">
        <f t="shared" si="3"/>
        <v>Normal</v>
      </c>
    </row>
    <row r="206" spans="1:12" x14ac:dyDescent="0.3">
      <c r="A206" s="9">
        <v>1205</v>
      </c>
      <c r="B206" s="9" t="s">
        <v>25</v>
      </c>
      <c r="C206" s="4" t="s">
        <v>38</v>
      </c>
      <c r="D206" s="4" t="s">
        <v>20</v>
      </c>
      <c r="E206" s="4" t="s">
        <v>36</v>
      </c>
      <c r="F206" s="4">
        <v>1</v>
      </c>
      <c r="G206" s="4">
        <v>112</v>
      </c>
      <c r="H206" s="4">
        <v>7</v>
      </c>
      <c r="I206" s="7">
        <v>46033</v>
      </c>
      <c r="J206" s="7">
        <v>46040</v>
      </c>
      <c r="K206" s="4" t="s">
        <v>81</v>
      </c>
      <c r="L206" s="4" t="str">
        <f t="shared" si="3"/>
        <v>Normal</v>
      </c>
    </row>
    <row r="207" spans="1:12" x14ac:dyDescent="0.3">
      <c r="A207" s="9">
        <v>1206</v>
      </c>
      <c r="B207" s="9" t="s">
        <v>53</v>
      </c>
      <c r="C207" s="4" t="s">
        <v>33</v>
      </c>
      <c r="D207" s="4" t="s">
        <v>20</v>
      </c>
      <c r="E207" s="4" t="s">
        <v>21</v>
      </c>
      <c r="F207" s="4">
        <v>9</v>
      </c>
      <c r="G207" s="4">
        <v>60</v>
      </c>
      <c r="H207" s="4">
        <v>0</v>
      </c>
      <c r="I207" s="7">
        <v>46166</v>
      </c>
      <c r="J207" s="7">
        <v>46174</v>
      </c>
      <c r="K207" s="4" t="s">
        <v>78</v>
      </c>
      <c r="L207" s="4" t="str">
        <f t="shared" si="3"/>
        <v>Normal</v>
      </c>
    </row>
    <row r="208" spans="1:12" x14ac:dyDescent="0.3">
      <c r="A208" s="9">
        <v>1207</v>
      </c>
      <c r="B208" s="9" t="s">
        <v>53</v>
      </c>
      <c r="C208" s="4" t="s">
        <v>27</v>
      </c>
      <c r="D208" s="4" t="s">
        <v>20</v>
      </c>
      <c r="E208" s="4" t="s">
        <v>51</v>
      </c>
      <c r="F208" s="4">
        <v>7</v>
      </c>
      <c r="G208" s="4">
        <v>244</v>
      </c>
      <c r="H208" s="4">
        <v>2</v>
      </c>
      <c r="I208" s="7">
        <v>46164</v>
      </c>
      <c r="J208" s="7">
        <v>46173</v>
      </c>
      <c r="K208" s="4" t="s">
        <v>80</v>
      </c>
      <c r="L208" s="4" t="str">
        <f t="shared" si="3"/>
        <v>Normal</v>
      </c>
    </row>
    <row r="209" spans="1:12" x14ac:dyDescent="0.3">
      <c r="A209" s="9">
        <v>1208</v>
      </c>
      <c r="B209" s="9" t="s">
        <v>52</v>
      </c>
      <c r="C209" s="4" t="s">
        <v>42</v>
      </c>
      <c r="D209" s="4" t="s">
        <v>24</v>
      </c>
      <c r="E209" s="4" t="s">
        <v>43</v>
      </c>
      <c r="F209" s="4">
        <v>6</v>
      </c>
      <c r="G209" s="4">
        <v>7627</v>
      </c>
      <c r="H209" s="4">
        <v>10</v>
      </c>
      <c r="I209" s="7">
        <v>46042</v>
      </c>
      <c r="J209" s="7">
        <v>46047</v>
      </c>
      <c r="K209" s="4" t="s">
        <v>79</v>
      </c>
      <c r="L209" s="4" t="str">
        <f t="shared" si="3"/>
        <v>Normal</v>
      </c>
    </row>
    <row r="210" spans="1:12" x14ac:dyDescent="0.3">
      <c r="A210" s="9">
        <v>1209</v>
      </c>
      <c r="B210" s="9" t="s">
        <v>46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7">
        <v>46103</v>
      </c>
      <c r="J210" s="7">
        <v>46110</v>
      </c>
      <c r="K210" s="4" t="s">
        <v>79</v>
      </c>
      <c r="L210" s="4" t="str">
        <f t="shared" si="3"/>
        <v>Priority Order</v>
      </c>
    </row>
    <row r="211" spans="1:12" x14ac:dyDescent="0.3">
      <c r="A211" s="9">
        <v>1210</v>
      </c>
      <c r="B211" s="9" t="s">
        <v>30</v>
      </c>
      <c r="C211" s="4" t="s">
        <v>31</v>
      </c>
      <c r="D211" s="4" t="s">
        <v>20</v>
      </c>
      <c r="E211" s="4" t="s">
        <v>51</v>
      </c>
      <c r="F211" s="4">
        <v>10</v>
      </c>
      <c r="G211" s="4">
        <v>349</v>
      </c>
      <c r="H211" s="4">
        <v>0</v>
      </c>
      <c r="I211" s="7">
        <v>46052</v>
      </c>
      <c r="J211" s="7">
        <v>46060</v>
      </c>
      <c r="K211" s="4" t="s">
        <v>49</v>
      </c>
      <c r="L211" s="4" t="str">
        <f t="shared" si="3"/>
        <v>Normal</v>
      </c>
    </row>
    <row r="212" spans="1:12" x14ac:dyDescent="0.3">
      <c r="A212" s="9">
        <v>1211</v>
      </c>
      <c r="B212" s="9" t="s">
        <v>46</v>
      </c>
      <c r="C212" s="4" t="s">
        <v>23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7">
        <v>46175</v>
      </c>
      <c r="J212" s="7">
        <v>46183</v>
      </c>
      <c r="K212" s="4" t="s">
        <v>78</v>
      </c>
      <c r="L212" s="4" t="str">
        <f t="shared" si="3"/>
        <v>Normal</v>
      </c>
    </row>
    <row r="213" spans="1:12" x14ac:dyDescent="0.3">
      <c r="A213" s="9">
        <v>1212</v>
      </c>
      <c r="B213" s="9" t="s">
        <v>56</v>
      </c>
      <c r="C213" s="4" t="s">
        <v>27</v>
      </c>
      <c r="D213" s="4" t="s">
        <v>34</v>
      </c>
      <c r="E213" s="4" t="s">
        <v>9</v>
      </c>
      <c r="F213" s="4">
        <v>10</v>
      </c>
      <c r="G213" s="4">
        <v>34380</v>
      </c>
      <c r="H213" s="4">
        <v>7</v>
      </c>
      <c r="I213" s="7">
        <v>46194</v>
      </c>
      <c r="J213" s="7">
        <v>46195</v>
      </c>
      <c r="K213" s="4" t="s">
        <v>49</v>
      </c>
      <c r="L213" s="4" t="str">
        <f t="shared" si="3"/>
        <v>Normal</v>
      </c>
    </row>
    <row r="214" spans="1:12" x14ac:dyDescent="0.3">
      <c r="A214" s="9">
        <v>1213</v>
      </c>
      <c r="B214" s="9" t="s">
        <v>32</v>
      </c>
      <c r="C214" s="4" t="s">
        <v>38</v>
      </c>
      <c r="D214" s="4" t="s">
        <v>34</v>
      </c>
      <c r="E214" s="4" t="s">
        <v>6</v>
      </c>
      <c r="F214" s="4">
        <v>16</v>
      </c>
      <c r="G214" s="4">
        <v>27741</v>
      </c>
      <c r="H214" s="4">
        <v>12</v>
      </c>
      <c r="I214" s="7">
        <v>46116</v>
      </c>
      <c r="J214" s="7">
        <v>46119</v>
      </c>
      <c r="K214" s="4" t="s">
        <v>78</v>
      </c>
      <c r="L214" s="4" t="str">
        <f t="shared" si="3"/>
        <v>Priority Order</v>
      </c>
    </row>
    <row r="215" spans="1:12" x14ac:dyDescent="0.3">
      <c r="A215" s="9">
        <v>1214</v>
      </c>
      <c r="B215" s="9" t="s">
        <v>41</v>
      </c>
      <c r="C215" s="4" t="s">
        <v>27</v>
      </c>
      <c r="D215" s="4" t="s">
        <v>24</v>
      </c>
      <c r="E215" s="4" t="s">
        <v>8</v>
      </c>
      <c r="F215" s="4">
        <v>19</v>
      </c>
      <c r="G215" s="4">
        <v>13832</v>
      </c>
      <c r="H215" s="4">
        <v>0</v>
      </c>
      <c r="I215" s="7">
        <v>46140</v>
      </c>
      <c r="J215" s="7">
        <v>46145</v>
      </c>
      <c r="K215" s="4" t="s">
        <v>81</v>
      </c>
      <c r="L215" s="4" t="str">
        <f t="shared" si="3"/>
        <v>Normal</v>
      </c>
    </row>
    <row r="216" spans="1:12" x14ac:dyDescent="0.3">
      <c r="A216" s="9">
        <v>1215</v>
      </c>
      <c r="B216" s="9" t="s">
        <v>29</v>
      </c>
      <c r="C216" s="4" t="s">
        <v>19</v>
      </c>
      <c r="D216" s="4" t="s">
        <v>24</v>
      </c>
      <c r="E216" s="4" t="s">
        <v>8</v>
      </c>
      <c r="F216" s="4">
        <v>6</v>
      </c>
      <c r="G216" s="4">
        <v>1254</v>
      </c>
      <c r="H216" s="4">
        <v>0</v>
      </c>
      <c r="I216" s="7">
        <v>46131</v>
      </c>
      <c r="J216" s="7">
        <v>46136</v>
      </c>
      <c r="K216" s="4" t="s">
        <v>49</v>
      </c>
      <c r="L216" s="4" t="str">
        <f t="shared" si="3"/>
        <v>Normal</v>
      </c>
    </row>
    <row r="217" spans="1:12" x14ac:dyDescent="0.3">
      <c r="A217" s="9">
        <v>1216</v>
      </c>
      <c r="B217" s="9" t="s">
        <v>39</v>
      </c>
      <c r="C217" s="4" t="s">
        <v>26</v>
      </c>
      <c r="D217" s="4" t="s">
        <v>34</v>
      </c>
      <c r="E217" s="4" t="s">
        <v>6</v>
      </c>
      <c r="F217" s="4">
        <v>10</v>
      </c>
      <c r="G217" s="4">
        <v>56709</v>
      </c>
      <c r="H217" s="4">
        <v>15</v>
      </c>
      <c r="I217" s="7">
        <v>46135</v>
      </c>
      <c r="J217" s="7">
        <v>46139</v>
      </c>
      <c r="K217" s="4" t="s">
        <v>49</v>
      </c>
      <c r="L217" s="4" t="str">
        <f t="shared" si="3"/>
        <v>Normal</v>
      </c>
    </row>
    <row r="218" spans="1:12" x14ac:dyDescent="0.3">
      <c r="A218" s="9">
        <v>1217</v>
      </c>
      <c r="B218" s="9" t="s">
        <v>30</v>
      </c>
      <c r="C218" s="4" t="s">
        <v>26</v>
      </c>
      <c r="D218" s="4" t="s">
        <v>20</v>
      </c>
      <c r="E218" s="4" t="s">
        <v>48</v>
      </c>
      <c r="F218" s="4">
        <v>18</v>
      </c>
      <c r="G218" s="4">
        <v>60</v>
      </c>
      <c r="H218" s="4">
        <v>0</v>
      </c>
      <c r="I218" s="7">
        <v>46171</v>
      </c>
      <c r="J218" s="7">
        <v>46172</v>
      </c>
      <c r="K218" s="4" t="s">
        <v>49</v>
      </c>
      <c r="L218" s="4" t="str">
        <f t="shared" si="3"/>
        <v>Normal</v>
      </c>
    </row>
    <row r="219" spans="1:12" x14ac:dyDescent="0.3">
      <c r="A219" s="9">
        <v>1218</v>
      </c>
      <c r="B219" s="9" t="s">
        <v>53</v>
      </c>
      <c r="C219" s="4" t="s">
        <v>38</v>
      </c>
      <c r="D219" s="4" t="s">
        <v>20</v>
      </c>
      <c r="E219" s="4" t="s">
        <v>21</v>
      </c>
      <c r="F219" s="4">
        <v>1</v>
      </c>
      <c r="G219" s="4">
        <v>134</v>
      </c>
      <c r="H219" s="4">
        <v>10</v>
      </c>
      <c r="I219" s="7">
        <v>46143</v>
      </c>
      <c r="J219" s="7">
        <v>46151</v>
      </c>
      <c r="K219" s="4" t="s">
        <v>81</v>
      </c>
      <c r="L219" s="4" t="str">
        <f t="shared" si="3"/>
        <v>Normal</v>
      </c>
    </row>
    <row r="220" spans="1:12" x14ac:dyDescent="0.3">
      <c r="A220" s="9">
        <v>1219</v>
      </c>
      <c r="B220" s="9" t="s">
        <v>44</v>
      </c>
      <c r="C220" s="4" t="s">
        <v>26</v>
      </c>
      <c r="D220" s="4" t="s">
        <v>20</v>
      </c>
      <c r="E220" s="4" t="s">
        <v>21</v>
      </c>
      <c r="F220" s="4">
        <v>4</v>
      </c>
      <c r="G220" s="4">
        <v>117</v>
      </c>
      <c r="H220" s="4">
        <v>15</v>
      </c>
      <c r="I220" s="7">
        <v>46202</v>
      </c>
      <c r="J220" s="7">
        <v>46206</v>
      </c>
      <c r="K220" s="4" t="s">
        <v>49</v>
      </c>
      <c r="L220" s="4" t="str">
        <f t="shared" si="3"/>
        <v>Normal</v>
      </c>
    </row>
    <row r="221" spans="1:12" x14ac:dyDescent="0.3">
      <c r="A221" s="9">
        <v>1220</v>
      </c>
      <c r="B221" s="9" t="s">
        <v>18</v>
      </c>
      <c r="C221" s="4" t="s">
        <v>27</v>
      </c>
      <c r="D221" s="4" t="s">
        <v>24</v>
      </c>
      <c r="E221" s="4" t="s">
        <v>11</v>
      </c>
      <c r="F221" s="4">
        <v>2</v>
      </c>
      <c r="G221" s="4">
        <v>8861</v>
      </c>
      <c r="H221" s="4">
        <v>2</v>
      </c>
      <c r="I221" s="7">
        <v>46170</v>
      </c>
      <c r="J221" s="7">
        <v>46174</v>
      </c>
      <c r="K221" s="4" t="s">
        <v>80</v>
      </c>
      <c r="L221" s="4" t="str">
        <f t="shared" si="3"/>
        <v>Normal</v>
      </c>
    </row>
    <row r="222" spans="1:12" x14ac:dyDescent="0.3">
      <c r="A222" s="9">
        <v>1221</v>
      </c>
      <c r="B222" s="9" t="s">
        <v>18</v>
      </c>
      <c r="C222" s="4" t="s">
        <v>31</v>
      </c>
      <c r="D222" s="4" t="s">
        <v>24</v>
      </c>
      <c r="E222" s="4" t="s">
        <v>11</v>
      </c>
      <c r="F222" s="4">
        <v>18</v>
      </c>
      <c r="G222" s="4">
        <v>2681</v>
      </c>
      <c r="H222" s="4">
        <v>10</v>
      </c>
      <c r="I222" s="7">
        <v>46122</v>
      </c>
      <c r="J222" s="7">
        <v>46125</v>
      </c>
      <c r="K222" s="4" t="s">
        <v>81</v>
      </c>
      <c r="L222" s="4" t="str">
        <f t="shared" si="3"/>
        <v>Normal</v>
      </c>
    </row>
    <row r="223" spans="1:12" x14ac:dyDescent="0.3">
      <c r="A223" s="9">
        <v>1222</v>
      </c>
      <c r="B223" s="9" t="s">
        <v>30</v>
      </c>
      <c r="C223" s="4" t="s">
        <v>33</v>
      </c>
      <c r="D223" s="4" t="s">
        <v>24</v>
      </c>
      <c r="E223" s="4" t="s">
        <v>10</v>
      </c>
      <c r="F223" s="4">
        <v>9</v>
      </c>
      <c r="G223" s="4">
        <v>2712</v>
      </c>
      <c r="H223" s="4">
        <v>12</v>
      </c>
      <c r="I223" s="7">
        <v>46154</v>
      </c>
      <c r="J223" s="7">
        <v>46163</v>
      </c>
      <c r="K223" s="4" t="s">
        <v>78</v>
      </c>
      <c r="L223" s="4" t="str">
        <f t="shared" si="3"/>
        <v>Normal</v>
      </c>
    </row>
    <row r="224" spans="1:12" x14ac:dyDescent="0.3">
      <c r="A224" s="9">
        <v>1223</v>
      </c>
      <c r="B224" s="9" t="s">
        <v>56</v>
      </c>
      <c r="C224" s="4" t="s">
        <v>23</v>
      </c>
      <c r="D224" s="4" t="s">
        <v>24</v>
      </c>
      <c r="E224" s="4" t="s">
        <v>10</v>
      </c>
      <c r="F224" s="4">
        <v>4</v>
      </c>
      <c r="G224" s="4">
        <v>2249</v>
      </c>
      <c r="H224" s="4">
        <v>7</v>
      </c>
      <c r="I224" s="7">
        <v>46077</v>
      </c>
      <c r="J224" s="7">
        <v>46084</v>
      </c>
      <c r="K224" s="4" t="s">
        <v>78</v>
      </c>
      <c r="L224" s="4" t="str">
        <f t="shared" si="3"/>
        <v>Normal</v>
      </c>
    </row>
    <row r="225" spans="1:12" x14ac:dyDescent="0.3">
      <c r="A225" s="9">
        <v>1224</v>
      </c>
      <c r="B225" s="9" t="s">
        <v>30</v>
      </c>
      <c r="C225" s="4" t="s">
        <v>38</v>
      </c>
      <c r="D225" s="4" t="s">
        <v>34</v>
      </c>
      <c r="E225" s="4" t="s">
        <v>6</v>
      </c>
      <c r="F225" s="4">
        <v>16</v>
      </c>
      <c r="G225" s="4">
        <v>18378</v>
      </c>
      <c r="H225" s="4">
        <v>10</v>
      </c>
      <c r="I225" s="7">
        <v>46045</v>
      </c>
      <c r="J225" s="7">
        <v>46052</v>
      </c>
      <c r="K225" s="4" t="s">
        <v>80</v>
      </c>
      <c r="L225" s="4" t="str">
        <f t="shared" si="3"/>
        <v>Priority Order</v>
      </c>
    </row>
    <row r="226" spans="1:12" x14ac:dyDescent="0.3">
      <c r="A226" s="9">
        <v>1225</v>
      </c>
      <c r="B226" s="9" t="s">
        <v>41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7">
        <v>46125</v>
      </c>
      <c r="J226" s="7">
        <v>46126</v>
      </c>
      <c r="K226" s="4" t="s">
        <v>79</v>
      </c>
      <c r="L226" s="4" t="str">
        <f t="shared" si="3"/>
        <v>Normal</v>
      </c>
    </row>
    <row r="227" spans="1:12" x14ac:dyDescent="0.3">
      <c r="A227" s="9">
        <v>1226</v>
      </c>
      <c r="B227" s="9" t="s">
        <v>49</v>
      </c>
      <c r="C227" s="4" t="s">
        <v>31</v>
      </c>
      <c r="D227" s="4" t="s">
        <v>34</v>
      </c>
      <c r="E227" s="4" t="s">
        <v>40</v>
      </c>
      <c r="F227" s="4">
        <v>13</v>
      </c>
      <c r="G227" s="4">
        <v>21332</v>
      </c>
      <c r="H227" s="4">
        <v>0</v>
      </c>
      <c r="I227" s="7">
        <v>46044</v>
      </c>
      <c r="J227" s="7">
        <v>46048</v>
      </c>
      <c r="K227" s="4" t="s">
        <v>49</v>
      </c>
      <c r="L227" s="4" t="str">
        <f t="shared" si="3"/>
        <v>Normal</v>
      </c>
    </row>
    <row r="228" spans="1:12" x14ac:dyDescent="0.3">
      <c r="A228" s="9">
        <v>1227</v>
      </c>
      <c r="B228" s="9" t="s">
        <v>55</v>
      </c>
      <c r="C228" s="4" t="s">
        <v>26</v>
      </c>
      <c r="D228" s="4" t="s">
        <v>34</v>
      </c>
      <c r="E228" s="4" t="s">
        <v>6</v>
      </c>
      <c r="F228" s="4">
        <v>16</v>
      </c>
      <c r="G228" s="4">
        <v>1321</v>
      </c>
      <c r="H228" s="4">
        <v>12</v>
      </c>
      <c r="I228" s="7">
        <v>46113</v>
      </c>
      <c r="J228" s="7">
        <v>46116</v>
      </c>
      <c r="K228" s="4" t="s">
        <v>78</v>
      </c>
      <c r="L228" s="4" t="str">
        <f t="shared" si="3"/>
        <v>Normal</v>
      </c>
    </row>
    <row r="229" spans="1:12" x14ac:dyDescent="0.3">
      <c r="A229" s="9">
        <v>1228</v>
      </c>
      <c r="B229" s="9" t="s">
        <v>49</v>
      </c>
      <c r="C229" s="4" t="s">
        <v>27</v>
      </c>
      <c r="D229" s="4" t="s">
        <v>34</v>
      </c>
      <c r="E229" s="4" t="s">
        <v>6</v>
      </c>
      <c r="F229" s="4">
        <v>16</v>
      </c>
      <c r="G229" s="4">
        <v>17477</v>
      </c>
      <c r="H229" s="4">
        <v>10</v>
      </c>
      <c r="I229" s="7">
        <v>46041</v>
      </c>
      <c r="J229" s="7">
        <v>46043</v>
      </c>
      <c r="K229" s="4" t="s">
        <v>80</v>
      </c>
      <c r="L229" s="4" t="str">
        <f t="shared" si="3"/>
        <v>Normal</v>
      </c>
    </row>
    <row r="230" spans="1:12" x14ac:dyDescent="0.3">
      <c r="A230" s="9">
        <v>1229</v>
      </c>
      <c r="B230" s="9" t="s">
        <v>54</v>
      </c>
      <c r="C230" s="4" t="s">
        <v>19</v>
      </c>
      <c r="D230" s="4" t="s">
        <v>24</v>
      </c>
      <c r="E230" s="4" t="s">
        <v>11</v>
      </c>
      <c r="F230" s="4">
        <v>14</v>
      </c>
      <c r="G230" s="4">
        <v>5859</v>
      </c>
      <c r="H230" s="4">
        <v>12</v>
      </c>
      <c r="I230" s="7">
        <v>46027</v>
      </c>
      <c r="J230" s="7">
        <v>46036</v>
      </c>
      <c r="K230" s="4" t="s">
        <v>79</v>
      </c>
      <c r="L230" s="4" t="str">
        <f t="shared" si="3"/>
        <v>Normal</v>
      </c>
    </row>
    <row r="231" spans="1:12" x14ac:dyDescent="0.3">
      <c r="A231" s="9">
        <v>1230</v>
      </c>
      <c r="B231" s="9" t="s">
        <v>56</v>
      </c>
      <c r="C231" s="4" t="s">
        <v>33</v>
      </c>
      <c r="D231" s="4" t="s">
        <v>34</v>
      </c>
      <c r="E231" s="4" t="s">
        <v>9</v>
      </c>
      <c r="F231" s="4">
        <v>7</v>
      </c>
      <c r="G231" s="4">
        <v>2932</v>
      </c>
      <c r="H231" s="4">
        <v>7</v>
      </c>
      <c r="I231" s="7">
        <v>46050</v>
      </c>
      <c r="J231" s="7">
        <v>46059</v>
      </c>
      <c r="K231" s="4" t="s">
        <v>80</v>
      </c>
      <c r="L231" s="4" t="str">
        <f t="shared" si="3"/>
        <v>Normal</v>
      </c>
    </row>
    <row r="232" spans="1:12" x14ac:dyDescent="0.3">
      <c r="A232" s="9">
        <v>1231</v>
      </c>
      <c r="B232" s="9" t="s">
        <v>46</v>
      </c>
      <c r="C232" s="4" t="s">
        <v>38</v>
      </c>
      <c r="D232" s="4" t="s">
        <v>24</v>
      </c>
      <c r="E232" s="4" t="s">
        <v>7</v>
      </c>
      <c r="F232" s="4">
        <v>13</v>
      </c>
      <c r="G232" s="4">
        <v>10297</v>
      </c>
      <c r="H232" s="4">
        <v>12</v>
      </c>
      <c r="I232" s="7">
        <v>46178</v>
      </c>
      <c r="J232" s="7">
        <v>46186</v>
      </c>
      <c r="K232" s="4" t="s">
        <v>79</v>
      </c>
      <c r="L232" s="4" t="str">
        <f t="shared" si="3"/>
        <v>Normal</v>
      </c>
    </row>
    <row r="233" spans="1:12" x14ac:dyDescent="0.3">
      <c r="A233" s="9">
        <v>1232</v>
      </c>
      <c r="B233" s="9" t="s">
        <v>25</v>
      </c>
      <c r="C233" s="4" t="s">
        <v>19</v>
      </c>
      <c r="D233" s="4" t="s">
        <v>34</v>
      </c>
      <c r="E233" s="4" t="s">
        <v>9</v>
      </c>
      <c r="F233" s="4">
        <v>3</v>
      </c>
      <c r="G233" s="4">
        <v>13272</v>
      </c>
      <c r="H233" s="4">
        <v>2</v>
      </c>
      <c r="I233" s="7">
        <v>46060</v>
      </c>
      <c r="J233" s="7">
        <v>46065</v>
      </c>
      <c r="K233" s="4" t="s">
        <v>78</v>
      </c>
      <c r="L233" s="4" t="str">
        <f t="shared" si="3"/>
        <v>Normal</v>
      </c>
    </row>
    <row r="234" spans="1:12" x14ac:dyDescent="0.3">
      <c r="A234" s="9">
        <v>1233</v>
      </c>
      <c r="B234" s="9" t="s">
        <v>55</v>
      </c>
      <c r="C234" s="4" t="s">
        <v>26</v>
      </c>
      <c r="D234" s="4" t="s">
        <v>24</v>
      </c>
      <c r="E234" s="4" t="s">
        <v>7</v>
      </c>
      <c r="F234" s="4">
        <v>20</v>
      </c>
      <c r="G234" s="4">
        <v>13941</v>
      </c>
      <c r="H234" s="4">
        <v>15</v>
      </c>
      <c r="I234" s="7">
        <v>46198</v>
      </c>
      <c r="J234" s="7">
        <v>46202</v>
      </c>
      <c r="K234" s="4" t="s">
        <v>80</v>
      </c>
      <c r="L234" s="4" t="str">
        <f t="shared" si="3"/>
        <v>Normal</v>
      </c>
    </row>
    <row r="235" spans="1:12" x14ac:dyDescent="0.3">
      <c r="A235" s="9">
        <v>1234</v>
      </c>
      <c r="B235" s="9" t="s">
        <v>18</v>
      </c>
      <c r="C235" s="4" t="s">
        <v>27</v>
      </c>
      <c r="D235" s="4" t="s">
        <v>24</v>
      </c>
      <c r="E235" s="4" t="s">
        <v>8</v>
      </c>
      <c r="F235" s="4">
        <v>1</v>
      </c>
      <c r="G235" s="4">
        <v>14320</v>
      </c>
      <c r="H235" s="4">
        <v>12</v>
      </c>
      <c r="I235" s="7">
        <v>46114</v>
      </c>
      <c r="J235" s="7">
        <v>46121</v>
      </c>
      <c r="K235" s="4" t="s">
        <v>81</v>
      </c>
      <c r="L235" s="4" t="str">
        <f t="shared" si="3"/>
        <v>Normal</v>
      </c>
    </row>
    <row r="236" spans="1:12" x14ac:dyDescent="0.3">
      <c r="A236" s="9">
        <v>1235</v>
      </c>
      <c r="B236" s="9" t="s">
        <v>54</v>
      </c>
      <c r="C236" s="4" t="s">
        <v>27</v>
      </c>
      <c r="D236" s="4" t="s">
        <v>20</v>
      </c>
      <c r="E236" s="4" t="s">
        <v>48</v>
      </c>
      <c r="F236" s="4">
        <v>15</v>
      </c>
      <c r="G236" s="4">
        <v>267</v>
      </c>
      <c r="H236" s="4">
        <v>15</v>
      </c>
      <c r="I236" s="7">
        <v>46172</v>
      </c>
      <c r="J236" s="7">
        <v>46177</v>
      </c>
      <c r="K236" s="4" t="s">
        <v>49</v>
      </c>
      <c r="L236" s="4" t="str">
        <f t="shared" si="3"/>
        <v>Normal</v>
      </c>
    </row>
    <row r="237" spans="1:12" x14ac:dyDescent="0.3">
      <c r="A237" s="9">
        <v>1236</v>
      </c>
      <c r="B237" s="9" t="s">
        <v>52</v>
      </c>
      <c r="C237" s="4" t="s">
        <v>42</v>
      </c>
      <c r="D237" s="4" t="s">
        <v>20</v>
      </c>
      <c r="E237" s="4" t="s">
        <v>37</v>
      </c>
      <c r="F237" s="4">
        <v>12</v>
      </c>
      <c r="G237" s="4">
        <v>189</v>
      </c>
      <c r="H237" s="4">
        <v>7</v>
      </c>
      <c r="I237" s="7">
        <v>46164</v>
      </c>
      <c r="J237" s="7">
        <v>46169</v>
      </c>
      <c r="K237" s="4" t="s">
        <v>49</v>
      </c>
      <c r="L237" s="4" t="str">
        <f t="shared" si="3"/>
        <v>Normal</v>
      </c>
    </row>
    <row r="238" spans="1:12" x14ac:dyDescent="0.3">
      <c r="A238" s="9">
        <v>1237</v>
      </c>
      <c r="B238" s="9" t="s">
        <v>44</v>
      </c>
      <c r="C238" s="4" t="s">
        <v>38</v>
      </c>
      <c r="D238" s="4" t="s">
        <v>24</v>
      </c>
      <c r="E238" s="4" t="s">
        <v>11</v>
      </c>
      <c r="F238" s="4">
        <v>8</v>
      </c>
      <c r="G238" s="4">
        <v>12123</v>
      </c>
      <c r="H238" s="4">
        <v>2</v>
      </c>
      <c r="I238" s="7">
        <v>46137</v>
      </c>
      <c r="J238" s="7">
        <v>46145</v>
      </c>
      <c r="K238" s="4" t="s">
        <v>78</v>
      </c>
      <c r="L238" s="4" t="str">
        <f t="shared" si="3"/>
        <v>Normal</v>
      </c>
    </row>
    <row r="239" spans="1:12" x14ac:dyDescent="0.3">
      <c r="A239" s="9">
        <v>1238</v>
      </c>
      <c r="B239" s="9" t="s">
        <v>30</v>
      </c>
      <c r="C239" s="4" t="s">
        <v>31</v>
      </c>
      <c r="D239" s="4" t="s">
        <v>20</v>
      </c>
      <c r="E239" s="4" t="s">
        <v>21</v>
      </c>
      <c r="F239" s="4">
        <v>6</v>
      </c>
      <c r="G239" s="4">
        <v>180</v>
      </c>
      <c r="H239" s="4">
        <v>12</v>
      </c>
      <c r="I239" s="7">
        <v>46096</v>
      </c>
      <c r="J239" s="7">
        <v>46097</v>
      </c>
      <c r="K239" s="4" t="s">
        <v>81</v>
      </c>
      <c r="L239" s="4" t="str">
        <f t="shared" si="3"/>
        <v>Normal</v>
      </c>
    </row>
    <row r="240" spans="1:12" x14ac:dyDescent="0.3">
      <c r="A240" s="9">
        <v>1239</v>
      </c>
      <c r="B240" s="9" t="s">
        <v>46</v>
      </c>
      <c r="C240" s="4" t="s">
        <v>23</v>
      </c>
      <c r="D240" s="4" t="s">
        <v>24</v>
      </c>
      <c r="E240" s="4" t="s">
        <v>11</v>
      </c>
      <c r="F240" s="4">
        <v>2</v>
      </c>
      <c r="G240" s="4">
        <v>12330</v>
      </c>
      <c r="H240" s="4">
        <v>12</v>
      </c>
      <c r="I240" s="7">
        <v>46122</v>
      </c>
      <c r="J240" s="7">
        <v>46125</v>
      </c>
      <c r="K240" s="4" t="s">
        <v>78</v>
      </c>
      <c r="L240" s="4" t="str">
        <f t="shared" si="3"/>
        <v>Normal</v>
      </c>
    </row>
    <row r="241" spans="1:12" x14ac:dyDescent="0.3">
      <c r="A241" s="9">
        <v>1240</v>
      </c>
      <c r="B241" s="9" t="s">
        <v>53</v>
      </c>
      <c r="C241" s="4" t="s">
        <v>33</v>
      </c>
      <c r="D241" s="4" t="s">
        <v>24</v>
      </c>
      <c r="E241" s="4" t="s">
        <v>10</v>
      </c>
      <c r="F241" s="4">
        <v>2</v>
      </c>
      <c r="G241" s="4">
        <v>5475</v>
      </c>
      <c r="H241" s="4">
        <v>2</v>
      </c>
      <c r="I241" s="7">
        <v>46142</v>
      </c>
      <c r="J241" s="7">
        <v>46146</v>
      </c>
      <c r="K241" s="4" t="s">
        <v>49</v>
      </c>
      <c r="L241" s="4" t="str">
        <f t="shared" si="3"/>
        <v>Normal</v>
      </c>
    </row>
    <row r="242" spans="1:12" x14ac:dyDescent="0.3">
      <c r="A242" s="9">
        <v>1241</v>
      </c>
      <c r="B242" s="9" t="s">
        <v>44</v>
      </c>
      <c r="C242" s="4" t="s">
        <v>31</v>
      </c>
      <c r="D242" s="4" t="s">
        <v>24</v>
      </c>
      <c r="E242" s="4" t="s">
        <v>43</v>
      </c>
      <c r="F242" s="4">
        <v>1</v>
      </c>
      <c r="G242" s="4">
        <v>12537</v>
      </c>
      <c r="H242" s="4">
        <v>0</v>
      </c>
      <c r="I242" s="7">
        <v>46119</v>
      </c>
      <c r="J242" s="7">
        <v>46122</v>
      </c>
      <c r="K242" s="4" t="s">
        <v>78</v>
      </c>
      <c r="L242" s="4" t="str">
        <f t="shared" si="3"/>
        <v>Normal</v>
      </c>
    </row>
    <row r="243" spans="1:12" x14ac:dyDescent="0.3">
      <c r="A243" s="9">
        <v>1242</v>
      </c>
      <c r="B243" s="9" t="s">
        <v>52</v>
      </c>
      <c r="C243" s="4" t="s">
        <v>38</v>
      </c>
      <c r="D243" s="4" t="s">
        <v>20</v>
      </c>
      <c r="E243" s="4" t="s">
        <v>48</v>
      </c>
      <c r="F243" s="4">
        <v>7</v>
      </c>
      <c r="G243" s="4">
        <v>168</v>
      </c>
      <c r="H243" s="4">
        <v>10</v>
      </c>
      <c r="I243" s="7">
        <v>46191</v>
      </c>
      <c r="J243" s="7">
        <v>46196</v>
      </c>
      <c r="K243" s="4" t="s">
        <v>81</v>
      </c>
      <c r="L243" s="4" t="str">
        <f t="shared" si="3"/>
        <v>Normal</v>
      </c>
    </row>
    <row r="244" spans="1:12" x14ac:dyDescent="0.3">
      <c r="A244" s="9">
        <v>1243</v>
      </c>
      <c r="B244" s="9" t="s">
        <v>30</v>
      </c>
      <c r="C244" s="4" t="s">
        <v>31</v>
      </c>
      <c r="D244" s="4" t="s">
        <v>34</v>
      </c>
      <c r="E244" s="4" t="s">
        <v>40</v>
      </c>
      <c r="F244" s="4">
        <v>5</v>
      </c>
      <c r="G244" s="4">
        <v>11570</v>
      </c>
      <c r="H244" s="4">
        <v>15</v>
      </c>
      <c r="I244" s="7">
        <v>46069</v>
      </c>
      <c r="J244" s="7">
        <v>46077</v>
      </c>
      <c r="K244" s="4" t="s">
        <v>80</v>
      </c>
      <c r="L244" s="4" t="str">
        <f t="shared" si="3"/>
        <v>Normal</v>
      </c>
    </row>
    <row r="245" spans="1:12" x14ac:dyDescent="0.3">
      <c r="A245" s="9">
        <v>1244</v>
      </c>
      <c r="B245" s="9" t="s">
        <v>54</v>
      </c>
      <c r="C245" s="4" t="s">
        <v>38</v>
      </c>
      <c r="D245" s="4" t="s">
        <v>24</v>
      </c>
      <c r="E245" s="4" t="s">
        <v>8</v>
      </c>
      <c r="F245" s="4">
        <v>10</v>
      </c>
      <c r="G245" s="4">
        <v>6339</v>
      </c>
      <c r="H245" s="4">
        <v>12</v>
      </c>
      <c r="I245" s="7">
        <v>46200</v>
      </c>
      <c r="J245" s="7">
        <v>46205</v>
      </c>
      <c r="K245" s="4" t="s">
        <v>78</v>
      </c>
      <c r="L245" s="4" t="str">
        <f t="shared" si="3"/>
        <v>Normal</v>
      </c>
    </row>
    <row r="246" spans="1:12" x14ac:dyDescent="0.3">
      <c r="A246" s="9">
        <v>1245</v>
      </c>
      <c r="B246" s="9" t="s">
        <v>53</v>
      </c>
      <c r="C246" s="4" t="s">
        <v>42</v>
      </c>
      <c r="D246" s="4" t="s">
        <v>34</v>
      </c>
      <c r="E246" s="4" t="s">
        <v>40</v>
      </c>
      <c r="F246" s="4">
        <v>19</v>
      </c>
      <c r="G246" s="4">
        <v>69029</v>
      </c>
      <c r="H246" s="4">
        <v>7</v>
      </c>
      <c r="I246" s="7">
        <v>46176</v>
      </c>
      <c r="J246" s="7">
        <v>46179</v>
      </c>
      <c r="K246" s="4" t="s">
        <v>49</v>
      </c>
      <c r="L246" s="4" t="str">
        <f t="shared" si="3"/>
        <v>Normal</v>
      </c>
    </row>
    <row r="247" spans="1:12" x14ac:dyDescent="0.3">
      <c r="A247" s="9">
        <v>1246</v>
      </c>
      <c r="B247" s="9" t="s">
        <v>53</v>
      </c>
      <c r="C247" s="4" t="s">
        <v>26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7">
        <v>46039</v>
      </c>
      <c r="J247" s="7">
        <v>46045</v>
      </c>
      <c r="K247" s="4" t="s">
        <v>81</v>
      </c>
      <c r="L247" s="4" t="str">
        <f t="shared" si="3"/>
        <v>Normal</v>
      </c>
    </row>
    <row r="248" spans="1:12" x14ac:dyDescent="0.3">
      <c r="A248" s="9">
        <v>1247</v>
      </c>
      <c r="B248" s="9" t="s">
        <v>28</v>
      </c>
      <c r="C248" s="4" t="s">
        <v>19</v>
      </c>
      <c r="D248" s="4" t="s">
        <v>20</v>
      </c>
      <c r="E248" s="4" t="s">
        <v>48</v>
      </c>
      <c r="F248" s="4">
        <v>10</v>
      </c>
      <c r="G248" s="4">
        <v>336</v>
      </c>
      <c r="H248" s="4">
        <v>7</v>
      </c>
      <c r="I248" s="7">
        <v>46173</v>
      </c>
      <c r="J248" s="7">
        <v>46175</v>
      </c>
      <c r="K248" s="4" t="s">
        <v>79</v>
      </c>
      <c r="L248" s="4" t="str">
        <f t="shared" si="3"/>
        <v>Normal</v>
      </c>
    </row>
    <row r="249" spans="1:12" x14ac:dyDescent="0.3">
      <c r="A249" s="9">
        <v>1248</v>
      </c>
      <c r="B249" s="9" t="s">
        <v>29</v>
      </c>
      <c r="C249" s="4" t="s">
        <v>42</v>
      </c>
      <c r="D249" s="4" t="s">
        <v>20</v>
      </c>
      <c r="E249" s="4" t="s">
        <v>37</v>
      </c>
      <c r="F249" s="4">
        <v>5</v>
      </c>
      <c r="G249" s="4">
        <v>398</v>
      </c>
      <c r="H249" s="4">
        <v>7</v>
      </c>
      <c r="I249" s="7">
        <v>46161</v>
      </c>
      <c r="J249" s="7">
        <v>46171</v>
      </c>
      <c r="K249" s="4" t="s">
        <v>49</v>
      </c>
      <c r="L249" s="4" t="str">
        <f t="shared" si="3"/>
        <v>Normal</v>
      </c>
    </row>
    <row r="250" spans="1:12" x14ac:dyDescent="0.3">
      <c r="A250" s="9">
        <v>1249</v>
      </c>
      <c r="B250" s="9" t="s">
        <v>22</v>
      </c>
      <c r="C250" s="4" t="s">
        <v>27</v>
      </c>
      <c r="D250" s="4" t="s">
        <v>34</v>
      </c>
      <c r="E250" s="4" t="s">
        <v>40</v>
      </c>
      <c r="F250" s="4">
        <v>18</v>
      </c>
      <c r="G250" s="4">
        <v>6360</v>
      </c>
      <c r="H250" s="4">
        <v>12</v>
      </c>
      <c r="I250" s="7">
        <v>46163</v>
      </c>
      <c r="J250" s="7">
        <v>46165</v>
      </c>
      <c r="K250" s="4" t="s">
        <v>79</v>
      </c>
      <c r="L250" s="4" t="str">
        <f t="shared" si="3"/>
        <v>Normal</v>
      </c>
    </row>
    <row r="251" spans="1:12" x14ac:dyDescent="0.3">
      <c r="A251" s="9">
        <v>1250</v>
      </c>
      <c r="B251" s="9" t="s">
        <v>18</v>
      </c>
      <c r="C251" s="4" t="s">
        <v>23</v>
      </c>
      <c r="D251" s="4" t="s">
        <v>34</v>
      </c>
      <c r="E251" s="4" t="s">
        <v>6</v>
      </c>
      <c r="F251" s="4">
        <v>2</v>
      </c>
      <c r="G251" s="4">
        <v>65953</v>
      </c>
      <c r="H251" s="4">
        <v>7</v>
      </c>
      <c r="I251" s="7">
        <v>46051</v>
      </c>
      <c r="J251" s="7">
        <v>46053</v>
      </c>
      <c r="K251" s="4" t="s">
        <v>49</v>
      </c>
      <c r="L251" s="4" t="str">
        <f t="shared" si="3"/>
        <v>Normal</v>
      </c>
    </row>
    <row r="252" spans="1:12" x14ac:dyDescent="0.3">
      <c r="A252" s="9">
        <v>1251</v>
      </c>
      <c r="B252" s="9" t="s">
        <v>53</v>
      </c>
      <c r="C252" s="4" t="s">
        <v>38</v>
      </c>
      <c r="D252" s="4" t="s">
        <v>34</v>
      </c>
      <c r="E252" s="4" t="s">
        <v>12</v>
      </c>
      <c r="F252" s="4">
        <v>19</v>
      </c>
      <c r="G252" s="4">
        <v>48548</v>
      </c>
      <c r="H252" s="4">
        <v>0</v>
      </c>
      <c r="I252" s="7">
        <v>46112</v>
      </c>
      <c r="J252" s="7">
        <v>46121</v>
      </c>
      <c r="K252" s="4" t="s">
        <v>81</v>
      </c>
      <c r="L252" s="4" t="str">
        <f t="shared" si="3"/>
        <v>Priority Order</v>
      </c>
    </row>
    <row r="253" spans="1:12" x14ac:dyDescent="0.3">
      <c r="A253" s="9">
        <v>1252</v>
      </c>
      <c r="B253" s="9" t="s">
        <v>45</v>
      </c>
      <c r="C253" s="4" t="s">
        <v>27</v>
      </c>
      <c r="D253" s="4" t="s">
        <v>20</v>
      </c>
      <c r="E253" s="4" t="s">
        <v>36</v>
      </c>
      <c r="F253" s="4">
        <v>15</v>
      </c>
      <c r="G253" s="4">
        <v>257</v>
      </c>
      <c r="H253" s="4">
        <v>5</v>
      </c>
      <c r="I253" s="7">
        <v>46166</v>
      </c>
      <c r="J253" s="7">
        <v>46173</v>
      </c>
      <c r="K253" s="4" t="s">
        <v>79</v>
      </c>
      <c r="L253" s="4" t="str">
        <f t="shared" si="3"/>
        <v>Normal</v>
      </c>
    </row>
    <row r="254" spans="1:12" x14ac:dyDescent="0.3">
      <c r="A254" s="9">
        <v>1253</v>
      </c>
      <c r="B254" s="9" t="s">
        <v>25</v>
      </c>
      <c r="C254" s="4" t="s">
        <v>31</v>
      </c>
      <c r="D254" s="4" t="s">
        <v>34</v>
      </c>
      <c r="E254" s="4" t="s">
        <v>6</v>
      </c>
      <c r="F254" s="4">
        <v>20</v>
      </c>
      <c r="G254" s="4">
        <v>47880</v>
      </c>
      <c r="H254" s="4">
        <v>7</v>
      </c>
      <c r="I254" s="7">
        <v>46074</v>
      </c>
      <c r="J254" s="7">
        <v>46075</v>
      </c>
      <c r="K254" s="4" t="s">
        <v>49</v>
      </c>
      <c r="L254" s="4" t="str">
        <f t="shared" si="3"/>
        <v>Normal</v>
      </c>
    </row>
    <row r="255" spans="1:12" x14ac:dyDescent="0.3">
      <c r="A255" s="9">
        <v>1254</v>
      </c>
      <c r="B255" s="9" t="s">
        <v>50</v>
      </c>
      <c r="C255" s="4" t="s">
        <v>26</v>
      </c>
      <c r="D255" s="4" t="s">
        <v>20</v>
      </c>
      <c r="E255" s="4" t="s">
        <v>48</v>
      </c>
      <c r="F255" s="4">
        <v>18</v>
      </c>
      <c r="G255" s="4">
        <v>447</v>
      </c>
      <c r="H255" s="4">
        <v>15</v>
      </c>
      <c r="I255" s="7">
        <v>46141</v>
      </c>
      <c r="J255" s="7">
        <v>46149</v>
      </c>
      <c r="K255" s="4" t="s">
        <v>80</v>
      </c>
      <c r="L255" s="4" t="str">
        <f t="shared" si="3"/>
        <v>Normal</v>
      </c>
    </row>
    <row r="256" spans="1:12" x14ac:dyDescent="0.3">
      <c r="A256" s="9">
        <v>1255</v>
      </c>
      <c r="B256" s="9" t="s">
        <v>32</v>
      </c>
      <c r="C256" s="4" t="s">
        <v>23</v>
      </c>
      <c r="D256" s="4" t="s">
        <v>24</v>
      </c>
      <c r="E256" s="4" t="s">
        <v>7</v>
      </c>
      <c r="F256" s="4">
        <v>1</v>
      </c>
      <c r="G256" s="4">
        <v>2240</v>
      </c>
      <c r="H256" s="4">
        <v>5</v>
      </c>
      <c r="I256" s="7">
        <v>46091</v>
      </c>
      <c r="J256" s="7">
        <v>46095</v>
      </c>
      <c r="K256" s="4" t="s">
        <v>79</v>
      </c>
      <c r="L256" s="4" t="str">
        <f t="shared" si="3"/>
        <v>Normal</v>
      </c>
    </row>
    <row r="257" spans="1:12" x14ac:dyDescent="0.3">
      <c r="A257" s="9">
        <v>1256</v>
      </c>
      <c r="B257" s="9" t="s">
        <v>46</v>
      </c>
      <c r="C257" s="4" t="s">
        <v>31</v>
      </c>
      <c r="D257" s="4" t="s">
        <v>20</v>
      </c>
      <c r="E257" s="4" t="s">
        <v>48</v>
      </c>
      <c r="F257" s="4">
        <v>19</v>
      </c>
      <c r="G257" s="4">
        <v>406</v>
      </c>
      <c r="H257" s="4">
        <v>7</v>
      </c>
      <c r="I257" s="7">
        <v>46057</v>
      </c>
      <c r="J257" s="7">
        <v>46061</v>
      </c>
      <c r="K257" s="4" t="s">
        <v>78</v>
      </c>
      <c r="L257" s="4" t="str">
        <f t="shared" si="3"/>
        <v>Normal</v>
      </c>
    </row>
    <row r="258" spans="1:12" x14ac:dyDescent="0.3">
      <c r="A258" s="9">
        <v>1257</v>
      </c>
      <c r="B258" s="9" t="s">
        <v>52</v>
      </c>
      <c r="C258" s="4" t="s">
        <v>27</v>
      </c>
      <c r="D258" s="4" t="s">
        <v>34</v>
      </c>
      <c r="E258" s="4" t="s">
        <v>12</v>
      </c>
      <c r="F258" s="4">
        <v>7</v>
      </c>
      <c r="G258" s="4">
        <v>53243</v>
      </c>
      <c r="H258" s="4">
        <v>12</v>
      </c>
      <c r="I258" s="7">
        <v>46161</v>
      </c>
      <c r="J258" s="7">
        <v>46171</v>
      </c>
      <c r="K258" s="4" t="s">
        <v>78</v>
      </c>
      <c r="L258" s="4" t="str">
        <f t="shared" si="3"/>
        <v>Normal</v>
      </c>
    </row>
    <row r="259" spans="1:12" x14ac:dyDescent="0.3">
      <c r="A259" s="9">
        <v>1258</v>
      </c>
      <c r="B259" s="9" t="s">
        <v>32</v>
      </c>
      <c r="C259" s="4" t="s">
        <v>31</v>
      </c>
      <c r="D259" s="4" t="s">
        <v>34</v>
      </c>
      <c r="E259" s="4" t="s">
        <v>9</v>
      </c>
      <c r="F259" s="4">
        <v>1</v>
      </c>
      <c r="G259" s="4">
        <v>10600</v>
      </c>
      <c r="H259" s="4">
        <v>5</v>
      </c>
      <c r="I259" s="7">
        <v>46137</v>
      </c>
      <c r="J259" s="7">
        <v>46138</v>
      </c>
      <c r="K259" s="4" t="s">
        <v>49</v>
      </c>
      <c r="L259" s="4" t="str">
        <f t="shared" ref="L259:L322" si="4">IF(AND(C259="Mumbai",F259&gt;=15),"Priority Order","Normal")</f>
        <v>Normal</v>
      </c>
    </row>
    <row r="260" spans="1:12" x14ac:dyDescent="0.3">
      <c r="A260" s="9">
        <v>1259</v>
      </c>
      <c r="B260" s="9" t="s">
        <v>41</v>
      </c>
      <c r="C260" s="4" t="s">
        <v>26</v>
      </c>
      <c r="D260" s="4" t="s">
        <v>34</v>
      </c>
      <c r="E260" s="4" t="s">
        <v>6</v>
      </c>
      <c r="F260" s="4">
        <v>10</v>
      </c>
      <c r="G260" s="4">
        <v>38771</v>
      </c>
      <c r="H260" s="4">
        <v>15</v>
      </c>
      <c r="I260" s="7">
        <v>46172</v>
      </c>
      <c r="J260" s="7">
        <v>46182</v>
      </c>
      <c r="K260" s="4" t="s">
        <v>78</v>
      </c>
      <c r="L260" s="4" t="str">
        <f t="shared" si="4"/>
        <v>Normal</v>
      </c>
    </row>
    <row r="261" spans="1:12" x14ac:dyDescent="0.3">
      <c r="A261" s="9">
        <v>1260</v>
      </c>
      <c r="B261" s="9" t="s">
        <v>52</v>
      </c>
      <c r="C261" s="4" t="s">
        <v>38</v>
      </c>
      <c r="D261" s="4" t="s">
        <v>34</v>
      </c>
      <c r="E261" s="4" t="s">
        <v>40</v>
      </c>
      <c r="F261" s="4">
        <v>19</v>
      </c>
      <c r="G261" s="4">
        <v>54981</v>
      </c>
      <c r="H261" s="4">
        <v>10</v>
      </c>
      <c r="I261" s="7">
        <v>46040</v>
      </c>
      <c r="J261" s="7">
        <v>46045</v>
      </c>
      <c r="K261" s="4" t="s">
        <v>49</v>
      </c>
      <c r="L261" s="4" t="str">
        <f t="shared" si="4"/>
        <v>Priority Order</v>
      </c>
    </row>
    <row r="262" spans="1:12" x14ac:dyDescent="0.3">
      <c r="A262" s="9">
        <v>1261</v>
      </c>
      <c r="B262" s="9" t="s">
        <v>39</v>
      </c>
      <c r="C262" s="4" t="s">
        <v>23</v>
      </c>
      <c r="D262" s="4" t="s">
        <v>20</v>
      </c>
      <c r="E262" s="4" t="s">
        <v>48</v>
      </c>
      <c r="F262" s="4">
        <v>20</v>
      </c>
      <c r="G262" s="4">
        <v>162</v>
      </c>
      <c r="H262" s="4">
        <v>7</v>
      </c>
      <c r="I262" s="7">
        <v>46119</v>
      </c>
      <c r="J262" s="7">
        <v>46120</v>
      </c>
      <c r="K262" s="4" t="s">
        <v>81</v>
      </c>
      <c r="L262" s="4" t="str">
        <f t="shared" si="4"/>
        <v>Normal</v>
      </c>
    </row>
    <row r="263" spans="1:12" x14ac:dyDescent="0.3">
      <c r="A263" s="9">
        <v>1262</v>
      </c>
      <c r="B263" s="9" t="s">
        <v>22</v>
      </c>
      <c r="C263" s="4" t="s">
        <v>26</v>
      </c>
      <c r="D263" s="4" t="s">
        <v>24</v>
      </c>
      <c r="E263" s="4" t="s">
        <v>8</v>
      </c>
      <c r="F263" s="4">
        <v>9</v>
      </c>
      <c r="G263" s="4">
        <v>2231</v>
      </c>
      <c r="H263" s="4">
        <v>15</v>
      </c>
      <c r="I263" s="7">
        <v>46174</v>
      </c>
      <c r="J263" s="7">
        <v>46183</v>
      </c>
      <c r="K263" s="4" t="s">
        <v>78</v>
      </c>
      <c r="L263" s="4" t="str">
        <f t="shared" si="4"/>
        <v>Normal</v>
      </c>
    </row>
    <row r="264" spans="1:12" x14ac:dyDescent="0.3">
      <c r="A264" s="9">
        <v>1263</v>
      </c>
      <c r="B264" s="9" t="s">
        <v>49</v>
      </c>
      <c r="C264" s="4" t="s">
        <v>38</v>
      </c>
      <c r="D264" s="4" t="s">
        <v>24</v>
      </c>
      <c r="E264" s="4" t="s">
        <v>8</v>
      </c>
      <c r="F264" s="4">
        <v>10</v>
      </c>
      <c r="G264" s="4">
        <v>1505</v>
      </c>
      <c r="H264" s="4">
        <v>0</v>
      </c>
      <c r="I264" s="7">
        <v>46130</v>
      </c>
      <c r="J264" s="7">
        <v>46138</v>
      </c>
      <c r="K264" s="4" t="s">
        <v>81</v>
      </c>
      <c r="L264" s="4" t="str">
        <f t="shared" si="4"/>
        <v>Normal</v>
      </c>
    </row>
    <row r="265" spans="1:12" x14ac:dyDescent="0.3">
      <c r="A265" s="9">
        <v>1264</v>
      </c>
      <c r="B265" s="9" t="s">
        <v>18</v>
      </c>
      <c r="C265" s="4" t="s">
        <v>26</v>
      </c>
      <c r="D265" s="4" t="s">
        <v>24</v>
      </c>
      <c r="E265" s="4" t="s">
        <v>8</v>
      </c>
      <c r="F265" s="4">
        <v>15</v>
      </c>
      <c r="G265" s="4">
        <v>6365</v>
      </c>
      <c r="H265" s="4">
        <v>10</v>
      </c>
      <c r="I265" s="7">
        <v>46200</v>
      </c>
      <c r="J265" s="7">
        <v>46206</v>
      </c>
      <c r="K265" s="4" t="s">
        <v>79</v>
      </c>
      <c r="L265" s="4" t="str">
        <f t="shared" si="4"/>
        <v>Normal</v>
      </c>
    </row>
    <row r="266" spans="1:12" x14ac:dyDescent="0.3">
      <c r="A266" s="9">
        <v>1265</v>
      </c>
      <c r="B266" s="9" t="s">
        <v>55</v>
      </c>
      <c r="C266" s="4" t="s">
        <v>26</v>
      </c>
      <c r="D266" s="4" t="s">
        <v>24</v>
      </c>
      <c r="E266" s="4" t="s">
        <v>7</v>
      </c>
      <c r="F266" s="4">
        <v>1</v>
      </c>
      <c r="G266" s="4">
        <v>1052</v>
      </c>
      <c r="H266" s="4">
        <v>7</v>
      </c>
      <c r="I266" s="7">
        <v>46117</v>
      </c>
      <c r="J266" s="7">
        <v>46127</v>
      </c>
      <c r="K266" s="4" t="s">
        <v>81</v>
      </c>
      <c r="L266" s="4" t="str">
        <f t="shared" si="4"/>
        <v>Normal</v>
      </c>
    </row>
    <row r="267" spans="1:12" x14ac:dyDescent="0.3">
      <c r="A267" s="9">
        <v>1266</v>
      </c>
      <c r="B267" s="9" t="s">
        <v>49</v>
      </c>
      <c r="C267" s="4" t="s">
        <v>33</v>
      </c>
      <c r="D267" s="4" t="s">
        <v>20</v>
      </c>
      <c r="E267" s="4" t="s">
        <v>21</v>
      </c>
      <c r="F267" s="4">
        <v>17</v>
      </c>
      <c r="G267" s="4">
        <v>365</v>
      </c>
      <c r="H267" s="4">
        <v>2</v>
      </c>
      <c r="I267" s="7">
        <v>46096</v>
      </c>
      <c r="J267" s="7">
        <v>46104</v>
      </c>
      <c r="K267" s="4" t="s">
        <v>81</v>
      </c>
      <c r="L267" s="4" t="str">
        <f t="shared" si="4"/>
        <v>Normal</v>
      </c>
    </row>
    <row r="268" spans="1:12" x14ac:dyDescent="0.3">
      <c r="A268" s="9">
        <v>1267</v>
      </c>
      <c r="B268" s="9" t="s">
        <v>29</v>
      </c>
      <c r="C268" s="4" t="s">
        <v>38</v>
      </c>
      <c r="D268" s="4" t="s">
        <v>20</v>
      </c>
      <c r="E268" s="4" t="s">
        <v>48</v>
      </c>
      <c r="F268" s="4">
        <v>1</v>
      </c>
      <c r="G268" s="4">
        <v>50</v>
      </c>
      <c r="H268" s="4">
        <v>0</v>
      </c>
      <c r="I268" s="7">
        <v>46129</v>
      </c>
      <c r="J268" s="7">
        <v>46138</v>
      </c>
      <c r="K268" s="4" t="s">
        <v>79</v>
      </c>
      <c r="L268" s="4" t="str">
        <f t="shared" si="4"/>
        <v>Normal</v>
      </c>
    </row>
    <row r="269" spans="1:12" x14ac:dyDescent="0.3">
      <c r="A269" s="9">
        <v>1268</v>
      </c>
      <c r="B269" s="9" t="s">
        <v>41</v>
      </c>
      <c r="C269" s="4" t="s">
        <v>38</v>
      </c>
      <c r="D269" s="4" t="s">
        <v>34</v>
      </c>
      <c r="E269" s="4" t="s">
        <v>6</v>
      </c>
      <c r="F269" s="4">
        <v>10</v>
      </c>
      <c r="G269" s="4">
        <v>46291</v>
      </c>
      <c r="H269" s="4">
        <v>12</v>
      </c>
      <c r="I269" s="7">
        <v>46199</v>
      </c>
      <c r="J269" s="7">
        <v>46202</v>
      </c>
      <c r="K269" s="4" t="s">
        <v>79</v>
      </c>
      <c r="L269" s="4" t="str">
        <f t="shared" si="4"/>
        <v>Normal</v>
      </c>
    </row>
    <row r="270" spans="1:12" x14ac:dyDescent="0.3">
      <c r="A270" s="9">
        <v>1269</v>
      </c>
      <c r="B270" s="9" t="s">
        <v>50</v>
      </c>
      <c r="C270" s="4" t="s">
        <v>42</v>
      </c>
      <c r="D270" s="4" t="s">
        <v>24</v>
      </c>
      <c r="E270" s="4" t="s">
        <v>7</v>
      </c>
      <c r="F270" s="4">
        <v>14</v>
      </c>
      <c r="G270" s="4">
        <v>5704</v>
      </c>
      <c r="H270" s="4">
        <v>2</v>
      </c>
      <c r="I270" s="7">
        <v>46129</v>
      </c>
      <c r="J270" s="7">
        <v>46131</v>
      </c>
      <c r="K270" s="4" t="s">
        <v>78</v>
      </c>
      <c r="L270" s="4" t="str">
        <f t="shared" si="4"/>
        <v>Normal</v>
      </c>
    </row>
    <row r="271" spans="1:12" x14ac:dyDescent="0.3">
      <c r="A271" s="9">
        <v>1270</v>
      </c>
      <c r="B271" s="9" t="s">
        <v>47</v>
      </c>
      <c r="C271" s="4" t="s">
        <v>42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7">
        <v>46135</v>
      </c>
      <c r="J271" s="7">
        <v>46141</v>
      </c>
      <c r="K271" s="4" t="s">
        <v>81</v>
      </c>
      <c r="L271" s="4" t="str">
        <f t="shared" si="4"/>
        <v>Normal</v>
      </c>
    </row>
    <row r="272" spans="1:12" x14ac:dyDescent="0.3">
      <c r="A272" s="9">
        <v>1271</v>
      </c>
      <c r="B272" s="9" t="s">
        <v>39</v>
      </c>
      <c r="C272" s="4" t="s">
        <v>33</v>
      </c>
      <c r="D272" s="4" t="s">
        <v>34</v>
      </c>
      <c r="E272" s="4" t="s">
        <v>9</v>
      </c>
      <c r="F272" s="4">
        <v>20</v>
      </c>
      <c r="G272" s="4">
        <v>36941</v>
      </c>
      <c r="H272" s="4">
        <v>15</v>
      </c>
      <c r="I272" s="7">
        <v>46083</v>
      </c>
      <c r="J272" s="7">
        <v>46085</v>
      </c>
      <c r="K272" s="4" t="s">
        <v>49</v>
      </c>
      <c r="L272" s="4" t="str">
        <f t="shared" si="4"/>
        <v>Normal</v>
      </c>
    </row>
    <row r="273" spans="1:12" x14ac:dyDescent="0.3">
      <c r="A273" s="9">
        <v>1272</v>
      </c>
      <c r="B273" s="9" t="s">
        <v>50</v>
      </c>
      <c r="C273" s="4" t="s">
        <v>38</v>
      </c>
      <c r="D273" s="4" t="s">
        <v>34</v>
      </c>
      <c r="E273" s="4" t="s">
        <v>40</v>
      </c>
      <c r="F273" s="4">
        <v>13</v>
      </c>
      <c r="G273" s="4">
        <v>42179</v>
      </c>
      <c r="H273" s="4">
        <v>0</v>
      </c>
      <c r="I273" s="7">
        <v>46078</v>
      </c>
      <c r="J273" s="7">
        <v>46084</v>
      </c>
      <c r="K273" s="4" t="s">
        <v>79</v>
      </c>
      <c r="L273" s="4" t="str">
        <f t="shared" si="4"/>
        <v>Normal</v>
      </c>
    </row>
    <row r="274" spans="1:12" x14ac:dyDescent="0.3">
      <c r="A274" s="9">
        <v>1273</v>
      </c>
      <c r="B274" s="9" t="s">
        <v>44</v>
      </c>
      <c r="C274" s="4" t="s">
        <v>27</v>
      </c>
      <c r="D274" s="4" t="s">
        <v>34</v>
      </c>
      <c r="E274" s="4" t="s">
        <v>5</v>
      </c>
      <c r="F274" s="4">
        <v>12</v>
      </c>
      <c r="G274" s="4">
        <v>20618</v>
      </c>
      <c r="H274" s="4">
        <v>12</v>
      </c>
      <c r="I274" s="7">
        <v>46172</v>
      </c>
      <c r="J274" s="7">
        <v>46174</v>
      </c>
      <c r="K274" s="4" t="s">
        <v>79</v>
      </c>
      <c r="L274" s="4" t="str">
        <f t="shared" si="4"/>
        <v>Normal</v>
      </c>
    </row>
    <row r="275" spans="1:12" x14ac:dyDescent="0.3">
      <c r="A275" s="9">
        <v>1274</v>
      </c>
      <c r="B275" s="9" t="s">
        <v>28</v>
      </c>
      <c r="C275" s="4" t="s">
        <v>27</v>
      </c>
      <c r="D275" s="4" t="s">
        <v>34</v>
      </c>
      <c r="E275" s="4" t="s">
        <v>40</v>
      </c>
      <c r="F275" s="4">
        <v>13</v>
      </c>
      <c r="G275" s="4">
        <v>36652</v>
      </c>
      <c r="H275" s="4">
        <v>12</v>
      </c>
      <c r="I275" s="7">
        <v>46179</v>
      </c>
      <c r="J275" s="7">
        <v>46186</v>
      </c>
      <c r="K275" s="4" t="s">
        <v>79</v>
      </c>
      <c r="L275" s="4" t="str">
        <f t="shared" si="4"/>
        <v>Normal</v>
      </c>
    </row>
    <row r="276" spans="1:12" x14ac:dyDescent="0.3">
      <c r="A276" s="9">
        <v>1275</v>
      </c>
      <c r="B276" s="9" t="s">
        <v>22</v>
      </c>
      <c r="C276" s="4" t="s">
        <v>31</v>
      </c>
      <c r="D276" s="4" t="s">
        <v>20</v>
      </c>
      <c r="E276" s="4" t="s">
        <v>48</v>
      </c>
      <c r="F276" s="4">
        <v>20</v>
      </c>
      <c r="G276" s="4">
        <v>451</v>
      </c>
      <c r="H276" s="4">
        <v>15</v>
      </c>
      <c r="I276" s="7">
        <v>46092</v>
      </c>
      <c r="J276" s="7">
        <v>46094</v>
      </c>
      <c r="K276" s="4" t="s">
        <v>79</v>
      </c>
      <c r="L276" s="4" t="str">
        <f t="shared" si="4"/>
        <v>Normal</v>
      </c>
    </row>
    <row r="277" spans="1:12" x14ac:dyDescent="0.3">
      <c r="A277" s="9">
        <v>1276</v>
      </c>
      <c r="B277" s="9" t="s">
        <v>39</v>
      </c>
      <c r="C277" s="4" t="s">
        <v>19</v>
      </c>
      <c r="D277" s="4" t="s">
        <v>24</v>
      </c>
      <c r="E277" s="4" t="s">
        <v>7</v>
      </c>
      <c r="F277" s="4">
        <v>1</v>
      </c>
      <c r="G277" s="4">
        <v>13437</v>
      </c>
      <c r="H277" s="4">
        <v>15</v>
      </c>
      <c r="I277" s="7">
        <v>46097</v>
      </c>
      <c r="J277" s="7">
        <v>46099</v>
      </c>
      <c r="K277" s="4" t="s">
        <v>80</v>
      </c>
      <c r="L277" s="4" t="str">
        <f t="shared" si="4"/>
        <v>Normal</v>
      </c>
    </row>
    <row r="278" spans="1:12" x14ac:dyDescent="0.3">
      <c r="A278" s="9">
        <v>1277</v>
      </c>
      <c r="B278" s="9" t="s">
        <v>56</v>
      </c>
      <c r="C278" s="4" t="s">
        <v>23</v>
      </c>
      <c r="D278" s="4" t="s">
        <v>20</v>
      </c>
      <c r="E278" s="4" t="s">
        <v>36</v>
      </c>
      <c r="F278" s="4">
        <v>14</v>
      </c>
      <c r="G278" s="4">
        <v>276</v>
      </c>
      <c r="H278" s="4">
        <v>0</v>
      </c>
      <c r="I278" s="7">
        <v>46086</v>
      </c>
      <c r="J278" s="7">
        <v>46089</v>
      </c>
      <c r="K278" s="4" t="s">
        <v>78</v>
      </c>
      <c r="L278" s="4" t="str">
        <f t="shared" si="4"/>
        <v>Normal</v>
      </c>
    </row>
    <row r="279" spans="1:12" x14ac:dyDescent="0.3">
      <c r="A279" s="9">
        <v>1278</v>
      </c>
      <c r="B279" s="9" t="s">
        <v>45</v>
      </c>
      <c r="C279" s="4" t="s">
        <v>26</v>
      </c>
      <c r="D279" s="4" t="s">
        <v>34</v>
      </c>
      <c r="E279" s="4" t="s">
        <v>12</v>
      </c>
      <c r="F279" s="4">
        <v>4</v>
      </c>
      <c r="G279" s="4">
        <v>20639</v>
      </c>
      <c r="H279" s="4">
        <v>7</v>
      </c>
      <c r="I279" s="7">
        <v>46180</v>
      </c>
      <c r="J279" s="7">
        <v>46186</v>
      </c>
      <c r="K279" s="4" t="s">
        <v>79</v>
      </c>
      <c r="L279" s="4" t="str">
        <f t="shared" si="4"/>
        <v>Normal</v>
      </c>
    </row>
    <row r="280" spans="1:12" x14ac:dyDescent="0.3">
      <c r="A280" s="9">
        <v>1279</v>
      </c>
      <c r="B280" s="9" t="s">
        <v>53</v>
      </c>
      <c r="C280" s="4" t="s">
        <v>33</v>
      </c>
      <c r="D280" s="4" t="s">
        <v>34</v>
      </c>
      <c r="E280" s="4" t="s">
        <v>6</v>
      </c>
      <c r="F280" s="4">
        <v>20</v>
      </c>
      <c r="G280" s="4">
        <v>49042</v>
      </c>
      <c r="H280" s="4">
        <v>2</v>
      </c>
      <c r="I280" s="7">
        <v>46124</v>
      </c>
      <c r="J280" s="7">
        <v>46126</v>
      </c>
      <c r="K280" s="4" t="s">
        <v>78</v>
      </c>
      <c r="L280" s="4" t="str">
        <f t="shared" si="4"/>
        <v>Normal</v>
      </c>
    </row>
    <row r="281" spans="1:12" x14ac:dyDescent="0.3">
      <c r="A281" s="9">
        <v>1280</v>
      </c>
      <c r="B281" s="9" t="s">
        <v>56</v>
      </c>
      <c r="C281" s="4" t="s">
        <v>38</v>
      </c>
      <c r="D281" s="4" t="s">
        <v>20</v>
      </c>
      <c r="E281" s="4" t="s">
        <v>51</v>
      </c>
      <c r="F281" s="4">
        <v>9</v>
      </c>
      <c r="G281" s="4">
        <v>50</v>
      </c>
      <c r="H281" s="4">
        <v>7</v>
      </c>
      <c r="I281" s="7">
        <v>46085</v>
      </c>
      <c r="J281" s="7">
        <v>46095</v>
      </c>
      <c r="K281" s="4" t="s">
        <v>81</v>
      </c>
      <c r="L281" s="4" t="str">
        <f t="shared" si="4"/>
        <v>Normal</v>
      </c>
    </row>
    <row r="282" spans="1:12" x14ac:dyDescent="0.3">
      <c r="A282" s="9">
        <v>1281</v>
      </c>
      <c r="B282" s="9" t="s">
        <v>53</v>
      </c>
      <c r="C282" s="4" t="s">
        <v>23</v>
      </c>
      <c r="D282" s="4" t="s">
        <v>20</v>
      </c>
      <c r="E282" s="4" t="s">
        <v>48</v>
      </c>
      <c r="F282" s="4">
        <v>6</v>
      </c>
      <c r="G282" s="4">
        <v>253</v>
      </c>
      <c r="H282" s="4">
        <v>0</v>
      </c>
      <c r="I282" s="7">
        <v>46055</v>
      </c>
      <c r="J282" s="7">
        <v>46063</v>
      </c>
      <c r="K282" s="4" t="s">
        <v>80</v>
      </c>
      <c r="L282" s="4" t="str">
        <f t="shared" si="4"/>
        <v>Normal</v>
      </c>
    </row>
    <row r="283" spans="1:12" x14ac:dyDescent="0.3">
      <c r="A283" s="9">
        <v>1282</v>
      </c>
      <c r="B283" s="9" t="s">
        <v>54</v>
      </c>
      <c r="C283" s="4" t="s">
        <v>42</v>
      </c>
      <c r="D283" s="4" t="s">
        <v>24</v>
      </c>
      <c r="E283" s="4" t="s">
        <v>43</v>
      </c>
      <c r="F283" s="4">
        <v>12</v>
      </c>
      <c r="G283" s="4">
        <v>3178</v>
      </c>
      <c r="H283" s="4">
        <v>10</v>
      </c>
      <c r="I283" s="7">
        <v>46176</v>
      </c>
      <c r="J283" s="7">
        <v>46177</v>
      </c>
      <c r="K283" s="4" t="s">
        <v>49</v>
      </c>
      <c r="L283" s="4" t="str">
        <f t="shared" si="4"/>
        <v>Normal</v>
      </c>
    </row>
    <row r="284" spans="1:12" x14ac:dyDescent="0.3">
      <c r="A284" s="9">
        <v>1283</v>
      </c>
      <c r="B284" s="9" t="s">
        <v>39</v>
      </c>
      <c r="C284" s="4" t="s">
        <v>19</v>
      </c>
      <c r="D284" s="4" t="s">
        <v>24</v>
      </c>
      <c r="E284" s="4" t="s">
        <v>10</v>
      </c>
      <c r="F284" s="4">
        <v>6</v>
      </c>
      <c r="G284" s="4">
        <v>1167</v>
      </c>
      <c r="H284" s="4">
        <v>2</v>
      </c>
      <c r="I284" s="7">
        <v>46100</v>
      </c>
      <c r="J284" s="7">
        <v>46106</v>
      </c>
      <c r="K284" s="4" t="s">
        <v>78</v>
      </c>
      <c r="L284" s="4" t="str">
        <f t="shared" si="4"/>
        <v>Normal</v>
      </c>
    </row>
    <row r="285" spans="1:12" x14ac:dyDescent="0.3">
      <c r="A285" s="9">
        <v>1284</v>
      </c>
      <c r="B285" s="9" t="s">
        <v>39</v>
      </c>
      <c r="C285" s="4" t="s">
        <v>27</v>
      </c>
      <c r="D285" s="4" t="s">
        <v>20</v>
      </c>
      <c r="E285" s="4" t="s">
        <v>37</v>
      </c>
      <c r="F285" s="4">
        <v>16</v>
      </c>
      <c r="G285" s="4">
        <v>419</v>
      </c>
      <c r="H285" s="4">
        <v>2</v>
      </c>
      <c r="I285" s="7">
        <v>46082</v>
      </c>
      <c r="J285" s="7">
        <v>46090</v>
      </c>
      <c r="K285" s="4" t="s">
        <v>78</v>
      </c>
      <c r="L285" s="4" t="str">
        <f t="shared" si="4"/>
        <v>Normal</v>
      </c>
    </row>
    <row r="286" spans="1:12" x14ac:dyDescent="0.3">
      <c r="A286" s="9">
        <v>1285</v>
      </c>
      <c r="B286" s="9" t="s">
        <v>32</v>
      </c>
      <c r="C286" s="4" t="s">
        <v>38</v>
      </c>
      <c r="D286" s="4" t="s">
        <v>20</v>
      </c>
      <c r="E286" s="4" t="s">
        <v>36</v>
      </c>
      <c r="F286" s="4">
        <v>7</v>
      </c>
      <c r="G286" s="4">
        <v>439</v>
      </c>
      <c r="H286" s="4">
        <v>15</v>
      </c>
      <c r="I286" s="7">
        <v>46055</v>
      </c>
      <c r="J286" s="7">
        <v>46058</v>
      </c>
      <c r="K286" s="4" t="s">
        <v>79</v>
      </c>
      <c r="L286" s="4" t="str">
        <f t="shared" si="4"/>
        <v>Normal</v>
      </c>
    </row>
    <row r="287" spans="1:12" x14ac:dyDescent="0.3">
      <c r="A287" s="9">
        <v>1286</v>
      </c>
      <c r="B287" s="9" t="s">
        <v>44</v>
      </c>
      <c r="C287" s="4" t="s">
        <v>23</v>
      </c>
      <c r="D287" s="4" t="s">
        <v>24</v>
      </c>
      <c r="E287" s="4" t="s">
        <v>11</v>
      </c>
      <c r="F287" s="4">
        <v>9</v>
      </c>
      <c r="G287" s="4">
        <v>1340</v>
      </c>
      <c r="H287" s="4">
        <v>2</v>
      </c>
      <c r="I287" s="7">
        <v>46168</v>
      </c>
      <c r="J287" s="7">
        <v>46173</v>
      </c>
      <c r="K287" s="4" t="s">
        <v>78</v>
      </c>
      <c r="L287" s="4" t="str">
        <f t="shared" si="4"/>
        <v>Normal</v>
      </c>
    </row>
    <row r="288" spans="1:12" x14ac:dyDescent="0.3">
      <c r="A288" s="9">
        <v>1287</v>
      </c>
      <c r="B288" s="9" t="s">
        <v>56</v>
      </c>
      <c r="C288" s="4" t="s">
        <v>31</v>
      </c>
      <c r="D288" s="4" t="s">
        <v>20</v>
      </c>
      <c r="E288" s="4" t="s">
        <v>21</v>
      </c>
      <c r="F288" s="4">
        <v>15</v>
      </c>
      <c r="G288" s="4">
        <v>251</v>
      </c>
      <c r="H288" s="4">
        <v>2</v>
      </c>
      <c r="I288" s="7">
        <v>46116</v>
      </c>
      <c r="J288" s="7">
        <v>46122</v>
      </c>
      <c r="K288" s="4" t="s">
        <v>81</v>
      </c>
      <c r="L288" s="4" t="str">
        <f t="shared" si="4"/>
        <v>Normal</v>
      </c>
    </row>
    <row r="289" spans="1:12" x14ac:dyDescent="0.3">
      <c r="A289" s="9">
        <v>1288</v>
      </c>
      <c r="B289" s="9" t="s">
        <v>52</v>
      </c>
      <c r="C289" s="4" t="s">
        <v>26</v>
      </c>
      <c r="D289" s="4" t="s">
        <v>34</v>
      </c>
      <c r="E289" s="4" t="s">
        <v>9</v>
      </c>
      <c r="F289" s="4">
        <v>14</v>
      </c>
      <c r="G289" s="4">
        <v>35601</v>
      </c>
      <c r="H289" s="4">
        <v>10</v>
      </c>
      <c r="I289" s="7">
        <v>46179</v>
      </c>
      <c r="J289" s="7">
        <v>46187</v>
      </c>
      <c r="K289" s="4" t="s">
        <v>49</v>
      </c>
      <c r="L289" s="4" t="str">
        <f t="shared" si="4"/>
        <v>Normal</v>
      </c>
    </row>
    <row r="290" spans="1:12" x14ac:dyDescent="0.3">
      <c r="A290" s="9">
        <v>1289</v>
      </c>
      <c r="B290" s="9" t="s">
        <v>28</v>
      </c>
      <c r="C290" s="4" t="s">
        <v>26</v>
      </c>
      <c r="D290" s="4" t="s">
        <v>34</v>
      </c>
      <c r="E290" s="4" t="s">
        <v>6</v>
      </c>
      <c r="F290" s="4">
        <v>19</v>
      </c>
      <c r="G290" s="4">
        <v>25336</v>
      </c>
      <c r="H290" s="4">
        <v>2</v>
      </c>
      <c r="I290" s="7">
        <v>46122</v>
      </c>
      <c r="J290" s="7">
        <v>46130</v>
      </c>
      <c r="K290" s="4" t="s">
        <v>80</v>
      </c>
      <c r="L290" s="4" t="str">
        <f t="shared" si="4"/>
        <v>Normal</v>
      </c>
    </row>
    <row r="291" spans="1:12" x14ac:dyDescent="0.3">
      <c r="A291" s="9">
        <v>1290</v>
      </c>
      <c r="B291" s="9" t="s">
        <v>28</v>
      </c>
      <c r="C291" s="4" t="s">
        <v>26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7">
        <v>46110</v>
      </c>
      <c r="J291" s="7">
        <v>46111</v>
      </c>
      <c r="K291" s="4" t="s">
        <v>49</v>
      </c>
      <c r="L291" s="4" t="str">
        <f t="shared" si="4"/>
        <v>Normal</v>
      </c>
    </row>
    <row r="292" spans="1:12" x14ac:dyDescent="0.3">
      <c r="A292" s="9">
        <v>1291</v>
      </c>
      <c r="B292" s="9" t="s">
        <v>25</v>
      </c>
      <c r="C292" s="4" t="s">
        <v>23</v>
      </c>
      <c r="D292" s="4" t="s">
        <v>20</v>
      </c>
      <c r="E292" s="4" t="s">
        <v>36</v>
      </c>
      <c r="F292" s="4">
        <v>17</v>
      </c>
      <c r="G292" s="4">
        <v>415</v>
      </c>
      <c r="H292" s="4">
        <v>5</v>
      </c>
      <c r="I292" s="7">
        <v>46137</v>
      </c>
      <c r="J292" s="7">
        <v>46141</v>
      </c>
      <c r="K292" s="4" t="s">
        <v>79</v>
      </c>
      <c r="L292" s="4" t="str">
        <f t="shared" si="4"/>
        <v>Normal</v>
      </c>
    </row>
    <row r="293" spans="1:12" x14ac:dyDescent="0.3">
      <c r="A293" s="9">
        <v>1292</v>
      </c>
      <c r="B293" s="9" t="s">
        <v>52</v>
      </c>
      <c r="C293" s="4" t="s">
        <v>33</v>
      </c>
      <c r="D293" s="4" t="s">
        <v>34</v>
      </c>
      <c r="E293" s="4" t="s">
        <v>12</v>
      </c>
      <c r="F293" s="4">
        <v>11</v>
      </c>
      <c r="G293" s="4">
        <v>25158</v>
      </c>
      <c r="H293" s="4">
        <v>5</v>
      </c>
      <c r="I293" s="7">
        <v>46186</v>
      </c>
      <c r="J293" s="7">
        <v>46193</v>
      </c>
      <c r="K293" s="4" t="s">
        <v>79</v>
      </c>
      <c r="L293" s="4" t="str">
        <f t="shared" si="4"/>
        <v>Normal</v>
      </c>
    </row>
    <row r="294" spans="1:12" x14ac:dyDescent="0.3">
      <c r="A294" s="9">
        <v>1293</v>
      </c>
      <c r="B294" s="9" t="s">
        <v>47</v>
      </c>
      <c r="C294" s="4" t="s">
        <v>42</v>
      </c>
      <c r="D294" s="4" t="s">
        <v>24</v>
      </c>
      <c r="E294" s="4" t="s">
        <v>10</v>
      </c>
      <c r="F294" s="4">
        <v>7</v>
      </c>
      <c r="G294" s="4">
        <v>11481</v>
      </c>
      <c r="H294" s="4">
        <v>15</v>
      </c>
      <c r="I294" s="7">
        <v>46045</v>
      </c>
      <c r="J294" s="7">
        <v>46050</v>
      </c>
      <c r="K294" s="4" t="s">
        <v>79</v>
      </c>
      <c r="L294" s="4" t="str">
        <f t="shared" si="4"/>
        <v>Normal</v>
      </c>
    </row>
    <row r="295" spans="1:12" x14ac:dyDescent="0.3">
      <c r="A295" s="9">
        <v>1294</v>
      </c>
      <c r="B295" s="9" t="s">
        <v>25</v>
      </c>
      <c r="C295" s="4" t="s">
        <v>19</v>
      </c>
      <c r="D295" s="4" t="s">
        <v>24</v>
      </c>
      <c r="E295" s="4" t="s">
        <v>7</v>
      </c>
      <c r="F295" s="4">
        <v>8</v>
      </c>
      <c r="G295" s="4">
        <v>14448</v>
      </c>
      <c r="H295" s="4">
        <v>10</v>
      </c>
      <c r="I295" s="7">
        <v>46181</v>
      </c>
      <c r="J295" s="7">
        <v>46189</v>
      </c>
      <c r="K295" s="4" t="s">
        <v>78</v>
      </c>
      <c r="L295" s="4" t="str">
        <f t="shared" si="4"/>
        <v>Normal</v>
      </c>
    </row>
    <row r="296" spans="1:12" x14ac:dyDescent="0.3">
      <c r="A296" s="9">
        <v>1295</v>
      </c>
      <c r="B296" s="9" t="s">
        <v>50</v>
      </c>
      <c r="C296" s="4" t="s">
        <v>38</v>
      </c>
      <c r="D296" s="4" t="s">
        <v>24</v>
      </c>
      <c r="E296" s="4" t="s">
        <v>8</v>
      </c>
      <c r="F296" s="4">
        <v>16</v>
      </c>
      <c r="G296" s="4">
        <v>11935</v>
      </c>
      <c r="H296" s="4">
        <v>12</v>
      </c>
      <c r="I296" s="7">
        <v>46157</v>
      </c>
      <c r="J296" s="7">
        <v>46162</v>
      </c>
      <c r="K296" s="4" t="s">
        <v>78</v>
      </c>
      <c r="L296" s="4" t="str">
        <f t="shared" si="4"/>
        <v>Priority Order</v>
      </c>
    </row>
    <row r="297" spans="1:12" x14ac:dyDescent="0.3">
      <c r="A297" s="9">
        <v>1296</v>
      </c>
      <c r="B297" s="9" t="s">
        <v>28</v>
      </c>
      <c r="C297" s="4" t="s">
        <v>38</v>
      </c>
      <c r="D297" s="4" t="s">
        <v>20</v>
      </c>
      <c r="E297" s="4" t="s">
        <v>48</v>
      </c>
      <c r="F297" s="4">
        <v>6</v>
      </c>
      <c r="G297" s="4">
        <v>201</v>
      </c>
      <c r="H297" s="4">
        <v>0</v>
      </c>
      <c r="I297" s="7">
        <v>46063</v>
      </c>
      <c r="J297" s="7">
        <v>46072</v>
      </c>
      <c r="K297" s="4" t="s">
        <v>81</v>
      </c>
      <c r="L297" s="4" t="str">
        <f t="shared" si="4"/>
        <v>Normal</v>
      </c>
    </row>
    <row r="298" spans="1:12" x14ac:dyDescent="0.3">
      <c r="A298" s="9">
        <v>1297</v>
      </c>
      <c r="B298" s="9" t="s">
        <v>52</v>
      </c>
      <c r="C298" s="4" t="s">
        <v>27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7">
        <v>46178</v>
      </c>
      <c r="J298" s="7">
        <v>46187</v>
      </c>
      <c r="K298" s="4" t="s">
        <v>49</v>
      </c>
      <c r="L298" s="4" t="str">
        <f t="shared" si="4"/>
        <v>Normal</v>
      </c>
    </row>
    <row r="299" spans="1:12" x14ac:dyDescent="0.3">
      <c r="A299" s="9">
        <v>1298</v>
      </c>
      <c r="B299" s="9" t="s">
        <v>25</v>
      </c>
      <c r="C299" s="4" t="s">
        <v>19</v>
      </c>
      <c r="D299" s="4" t="s">
        <v>34</v>
      </c>
      <c r="E299" s="4" t="s">
        <v>12</v>
      </c>
      <c r="F299" s="4">
        <v>19</v>
      </c>
      <c r="G299" s="4">
        <v>20745</v>
      </c>
      <c r="H299" s="4">
        <v>2</v>
      </c>
      <c r="I299" s="7">
        <v>46083</v>
      </c>
      <c r="J299" s="7">
        <v>46093</v>
      </c>
      <c r="K299" s="4" t="s">
        <v>80</v>
      </c>
      <c r="L299" s="4" t="str">
        <f t="shared" si="4"/>
        <v>Normal</v>
      </c>
    </row>
    <row r="300" spans="1:12" x14ac:dyDescent="0.3">
      <c r="A300" s="9">
        <v>1299</v>
      </c>
      <c r="B300" s="9" t="s">
        <v>28</v>
      </c>
      <c r="C300" s="4" t="s">
        <v>23</v>
      </c>
      <c r="D300" s="4" t="s">
        <v>24</v>
      </c>
      <c r="E300" s="4" t="s">
        <v>11</v>
      </c>
      <c r="F300" s="4">
        <v>8</v>
      </c>
      <c r="G300" s="4">
        <v>8783</v>
      </c>
      <c r="H300" s="4">
        <v>2</v>
      </c>
      <c r="I300" s="7">
        <v>46123</v>
      </c>
      <c r="J300" s="7">
        <v>46132</v>
      </c>
      <c r="K300" s="4" t="s">
        <v>78</v>
      </c>
      <c r="L300" s="4" t="str">
        <f t="shared" si="4"/>
        <v>Normal</v>
      </c>
    </row>
    <row r="301" spans="1:12" x14ac:dyDescent="0.3">
      <c r="A301" s="9">
        <v>1300</v>
      </c>
      <c r="B301" s="9" t="s">
        <v>45</v>
      </c>
      <c r="C301" s="4" t="s">
        <v>33</v>
      </c>
      <c r="D301" s="4" t="s">
        <v>34</v>
      </c>
      <c r="E301" s="4" t="s">
        <v>6</v>
      </c>
      <c r="F301" s="4">
        <v>20</v>
      </c>
      <c r="G301" s="4">
        <v>1392</v>
      </c>
      <c r="H301" s="4">
        <v>2</v>
      </c>
      <c r="I301" s="7">
        <v>46110</v>
      </c>
      <c r="J301" s="7">
        <v>46117</v>
      </c>
      <c r="K301" s="4" t="s">
        <v>80</v>
      </c>
      <c r="L301" s="4" t="str">
        <f t="shared" si="4"/>
        <v>Normal</v>
      </c>
    </row>
    <row r="302" spans="1:12" x14ac:dyDescent="0.3">
      <c r="A302" s="9">
        <v>1301</v>
      </c>
      <c r="B302" s="9" t="s">
        <v>52</v>
      </c>
      <c r="C302" s="4" t="s">
        <v>23</v>
      </c>
      <c r="D302" s="4" t="s">
        <v>24</v>
      </c>
      <c r="E302" s="4" t="s">
        <v>8</v>
      </c>
      <c r="F302" s="4">
        <v>3</v>
      </c>
      <c r="G302" s="4">
        <v>7020</v>
      </c>
      <c r="H302" s="4">
        <v>10</v>
      </c>
      <c r="I302" s="7">
        <v>46028</v>
      </c>
      <c r="J302" s="7">
        <v>46038</v>
      </c>
      <c r="K302" s="4" t="s">
        <v>80</v>
      </c>
      <c r="L302" s="4" t="str">
        <f t="shared" si="4"/>
        <v>Normal</v>
      </c>
    </row>
    <row r="303" spans="1:12" x14ac:dyDescent="0.3">
      <c r="A303" s="9">
        <v>1302</v>
      </c>
      <c r="B303" s="9" t="s">
        <v>54</v>
      </c>
      <c r="C303" s="4" t="s">
        <v>19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7">
        <v>46163</v>
      </c>
      <c r="J303" s="7">
        <v>46172</v>
      </c>
      <c r="K303" s="4" t="s">
        <v>80</v>
      </c>
      <c r="L303" s="4" t="str">
        <f t="shared" si="4"/>
        <v>Normal</v>
      </c>
    </row>
    <row r="304" spans="1:12" x14ac:dyDescent="0.3">
      <c r="A304" s="9">
        <v>1303</v>
      </c>
      <c r="B304" s="9" t="s">
        <v>54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7">
        <v>46124</v>
      </c>
      <c r="J304" s="7">
        <v>46127</v>
      </c>
      <c r="K304" s="4" t="s">
        <v>78</v>
      </c>
      <c r="L304" s="4" t="str">
        <f t="shared" si="4"/>
        <v>Normal</v>
      </c>
    </row>
    <row r="305" spans="1:12" x14ac:dyDescent="0.3">
      <c r="A305" s="9">
        <v>1304</v>
      </c>
      <c r="B305" s="9" t="s">
        <v>56</v>
      </c>
      <c r="C305" s="4" t="s">
        <v>27</v>
      </c>
      <c r="D305" s="4" t="s">
        <v>20</v>
      </c>
      <c r="E305" s="4" t="s">
        <v>36</v>
      </c>
      <c r="F305" s="4">
        <v>20</v>
      </c>
      <c r="G305" s="4">
        <v>368</v>
      </c>
      <c r="H305" s="4">
        <v>7</v>
      </c>
      <c r="I305" s="7">
        <v>46042</v>
      </c>
      <c r="J305" s="7">
        <v>46051</v>
      </c>
      <c r="K305" s="4" t="s">
        <v>81</v>
      </c>
      <c r="L305" s="4" t="str">
        <f t="shared" si="4"/>
        <v>Normal</v>
      </c>
    </row>
    <row r="306" spans="1:12" x14ac:dyDescent="0.3">
      <c r="A306" s="9">
        <v>1305</v>
      </c>
      <c r="B306" s="9" t="s">
        <v>55</v>
      </c>
      <c r="C306" s="4" t="s">
        <v>31</v>
      </c>
      <c r="D306" s="4" t="s">
        <v>34</v>
      </c>
      <c r="E306" s="4" t="s">
        <v>9</v>
      </c>
      <c r="F306" s="4">
        <v>20</v>
      </c>
      <c r="G306" s="4">
        <v>31406</v>
      </c>
      <c r="H306" s="4">
        <v>15</v>
      </c>
      <c r="I306" s="7">
        <v>46146</v>
      </c>
      <c r="J306" s="7">
        <v>46154</v>
      </c>
      <c r="K306" s="4" t="s">
        <v>81</v>
      </c>
      <c r="L306" s="4" t="str">
        <f t="shared" si="4"/>
        <v>Normal</v>
      </c>
    </row>
    <row r="307" spans="1:12" x14ac:dyDescent="0.3">
      <c r="A307" s="9">
        <v>1306</v>
      </c>
      <c r="B307" s="9" t="s">
        <v>52</v>
      </c>
      <c r="C307" s="4" t="s">
        <v>42</v>
      </c>
      <c r="D307" s="4" t="s">
        <v>20</v>
      </c>
      <c r="E307" s="4" t="s">
        <v>36</v>
      </c>
      <c r="F307" s="4">
        <v>1</v>
      </c>
      <c r="G307" s="4">
        <v>332</v>
      </c>
      <c r="H307" s="4">
        <v>0</v>
      </c>
      <c r="I307" s="7">
        <v>46191</v>
      </c>
      <c r="J307" s="7">
        <v>46194</v>
      </c>
      <c r="K307" s="4" t="s">
        <v>79</v>
      </c>
      <c r="L307" s="4" t="str">
        <f t="shared" si="4"/>
        <v>Normal</v>
      </c>
    </row>
    <row r="308" spans="1:12" x14ac:dyDescent="0.3">
      <c r="A308" s="9">
        <v>1307</v>
      </c>
      <c r="B308" s="9" t="s">
        <v>54</v>
      </c>
      <c r="C308" s="4" t="s">
        <v>42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7">
        <v>46048</v>
      </c>
      <c r="J308" s="7">
        <v>46051</v>
      </c>
      <c r="K308" s="4" t="s">
        <v>81</v>
      </c>
      <c r="L308" s="4" t="str">
        <f t="shared" si="4"/>
        <v>Normal</v>
      </c>
    </row>
    <row r="309" spans="1:12" x14ac:dyDescent="0.3">
      <c r="A309" s="9">
        <v>1308</v>
      </c>
      <c r="B309" s="9" t="s">
        <v>30</v>
      </c>
      <c r="C309" s="4" t="s">
        <v>26</v>
      </c>
      <c r="D309" s="4" t="s">
        <v>34</v>
      </c>
      <c r="E309" s="4" t="s">
        <v>40</v>
      </c>
      <c r="F309" s="4">
        <v>12</v>
      </c>
      <c r="G309" s="4">
        <v>66075</v>
      </c>
      <c r="H309" s="4">
        <v>5</v>
      </c>
      <c r="I309" s="7">
        <v>46129</v>
      </c>
      <c r="J309" s="7">
        <v>46135</v>
      </c>
      <c r="K309" s="4" t="s">
        <v>79</v>
      </c>
      <c r="L309" s="4" t="str">
        <f t="shared" si="4"/>
        <v>Normal</v>
      </c>
    </row>
    <row r="310" spans="1:12" x14ac:dyDescent="0.3">
      <c r="A310" s="9">
        <v>1309</v>
      </c>
      <c r="B310" s="9" t="s">
        <v>49</v>
      </c>
      <c r="C310" s="4" t="s">
        <v>31</v>
      </c>
      <c r="D310" s="4" t="s">
        <v>20</v>
      </c>
      <c r="E310" s="4" t="s">
        <v>48</v>
      </c>
      <c r="F310" s="4">
        <v>2</v>
      </c>
      <c r="G310" s="4">
        <v>35</v>
      </c>
      <c r="H310" s="4">
        <v>5</v>
      </c>
      <c r="I310" s="7">
        <v>46197</v>
      </c>
      <c r="J310" s="7">
        <v>46198</v>
      </c>
      <c r="K310" s="4" t="s">
        <v>80</v>
      </c>
      <c r="L310" s="4" t="str">
        <f t="shared" si="4"/>
        <v>Normal</v>
      </c>
    </row>
    <row r="311" spans="1:12" x14ac:dyDescent="0.3">
      <c r="A311" s="9">
        <v>1310</v>
      </c>
      <c r="B311" s="9" t="s">
        <v>47</v>
      </c>
      <c r="C311" s="4" t="s">
        <v>23</v>
      </c>
      <c r="D311" s="4" t="s">
        <v>24</v>
      </c>
      <c r="E311" s="4" t="s">
        <v>11</v>
      </c>
      <c r="F311" s="4">
        <v>19</v>
      </c>
      <c r="G311" s="4">
        <v>12691</v>
      </c>
      <c r="H311" s="4">
        <v>0</v>
      </c>
      <c r="I311" s="7">
        <v>46181</v>
      </c>
      <c r="J311" s="7">
        <v>46189</v>
      </c>
      <c r="K311" s="4" t="s">
        <v>49</v>
      </c>
      <c r="L311" s="4" t="str">
        <f t="shared" si="4"/>
        <v>Normal</v>
      </c>
    </row>
    <row r="312" spans="1:12" x14ac:dyDescent="0.3">
      <c r="A312" s="9">
        <v>1311</v>
      </c>
      <c r="B312" s="9" t="s">
        <v>53</v>
      </c>
      <c r="C312" s="4" t="s">
        <v>19</v>
      </c>
      <c r="D312" s="4" t="s">
        <v>20</v>
      </c>
      <c r="E312" s="4" t="s">
        <v>21</v>
      </c>
      <c r="F312" s="4">
        <v>2</v>
      </c>
      <c r="G312" s="4">
        <v>209</v>
      </c>
      <c r="H312" s="4">
        <v>0</v>
      </c>
      <c r="I312" s="7">
        <v>46173</v>
      </c>
      <c r="J312" s="7">
        <v>46176</v>
      </c>
      <c r="K312" s="4" t="s">
        <v>79</v>
      </c>
      <c r="L312" s="4" t="str">
        <f t="shared" si="4"/>
        <v>Normal</v>
      </c>
    </row>
    <row r="313" spans="1:12" x14ac:dyDescent="0.3">
      <c r="A313" s="9">
        <v>1312</v>
      </c>
      <c r="B313" s="9" t="s">
        <v>54</v>
      </c>
      <c r="C313" s="4" t="s">
        <v>26</v>
      </c>
      <c r="D313" s="4" t="s">
        <v>24</v>
      </c>
      <c r="E313" s="4" t="s">
        <v>11</v>
      </c>
      <c r="F313" s="4">
        <v>20</v>
      </c>
      <c r="G313" s="4">
        <v>3274</v>
      </c>
      <c r="H313" s="4">
        <v>2</v>
      </c>
      <c r="I313" s="7">
        <v>46148</v>
      </c>
      <c r="J313" s="7">
        <v>46156</v>
      </c>
      <c r="K313" s="4" t="s">
        <v>80</v>
      </c>
      <c r="L313" s="4" t="str">
        <f t="shared" si="4"/>
        <v>Normal</v>
      </c>
    </row>
    <row r="314" spans="1:12" x14ac:dyDescent="0.3">
      <c r="A314" s="9">
        <v>1313</v>
      </c>
      <c r="B314" s="9" t="s">
        <v>56</v>
      </c>
      <c r="C314" s="4" t="s">
        <v>26</v>
      </c>
      <c r="D314" s="4" t="s">
        <v>24</v>
      </c>
      <c r="E314" s="4" t="s">
        <v>11</v>
      </c>
      <c r="F314" s="4">
        <v>6</v>
      </c>
      <c r="G314" s="4">
        <v>10864</v>
      </c>
      <c r="H314" s="4">
        <v>10</v>
      </c>
      <c r="I314" s="7">
        <v>46041</v>
      </c>
      <c r="J314" s="7">
        <v>46049</v>
      </c>
      <c r="K314" s="4" t="s">
        <v>78</v>
      </c>
      <c r="L314" s="4" t="str">
        <f t="shared" si="4"/>
        <v>Normal</v>
      </c>
    </row>
    <row r="315" spans="1:12" x14ac:dyDescent="0.3">
      <c r="A315" s="9">
        <v>1314</v>
      </c>
      <c r="B315" s="9" t="s">
        <v>50</v>
      </c>
      <c r="C315" s="4" t="s">
        <v>33</v>
      </c>
      <c r="D315" s="4" t="s">
        <v>24</v>
      </c>
      <c r="E315" s="4" t="s">
        <v>7</v>
      </c>
      <c r="F315" s="4">
        <v>10</v>
      </c>
      <c r="G315" s="4">
        <v>6328</v>
      </c>
      <c r="H315" s="4">
        <v>2</v>
      </c>
      <c r="I315" s="7">
        <v>46196</v>
      </c>
      <c r="J315" s="7">
        <v>46197</v>
      </c>
      <c r="K315" s="4" t="s">
        <v>49</v>
      </c>
      <c r="L315" s="4" t="str">
        <f t="shared" si="4"/>
        <v>Normal</v>
      </c>
    </row>
    <row r="316" spans="1:12" x14ac:dyDescent="0.3">
      <c r="A316" s="9">
        <v>1315</v>
      </c>
      <c r="B316" s="9" t="s">
        <v>47</v>
      </c>
      <c r="C316" s="4" t="s">
        <v>31</v>
      </c>
      <c r="D316" s="4" t="s">
        <v>34</v>
      </c>
      <c r="E316" s="4" t="s">
        <v>40</v>
      </c>
      <c r="F316" s="4">
        <v>14</v>
      </c>
      <c r="G316" s="4">
        <v>57670</v>
      </c>
      <c r="H316" s="4">
        <v>2</v>
      </c>
      <c r="I316" s="7">
        <v>46186</v>
      </c>
      <c r="J316" s="7">
        <v>46196</v>
      </c>
      <c r="K316" s="4" t="s">
        <v>78</v>
      </c>
      <c r="L316" s="4" t="str">
        <f t="shared" si="4"/>
        <v>Normal</v>
      </c>
    </row>
    <row r="317" spans="1:12" x14ac:dyDescent="0.3">
      <c r="A317" s="9">
        <v>1316</v>
      </c>
      <c r="B317" s="9" t="s">
        <v>44</v>
      </c>
      <c r="C317" s="4" t="s">
        <v>19</v>
      </c>
      <c r="D317" s="4" t="s">
        <v>24</v>
      </c>
      <c r="E317" s="4" t="s">
        <v>8</v>
      </c>
      <c r="F317" s="4">
        <v>7</v>
      </c>
      <c r="G317" s="4">
        <v>9838</v>
      </c>
      <c r="H317" s="4">
        <v>7</v>
      </c>
      <c r="I317" s="7">
        <v>46078</v>
      </c>
      <c r="J317" s="7">
        <v>46085</v>
      </c>
      <c r="K317" s="4" t="s">
        <v>79</v>
      </c>
      <c r="L317" s="4" t="str">
        <f t="shared" si="4"/>
        <v>Normal</v>
      </c>
    </row>
    <row r="318" spans="1:12" x14ac:dyDescent="0.3">
      <c r="A318" s="9">
        <v>1317</v>
      </c>
      <c r="B318" s="9" t="s">
        <v>56</v>
      </c>
      <c r="C318" s="4" t="s">
        <v>33</v>
      </c>
      <c r="D318" s="4" t="s">
        <v>34</v>
      </c>
      <c r="E318" s="4" t="s">
        <v>40</v>
      </c>
      <c r="F318" s="4">
        <v>7</v>
      </c>
      <c r="G318" s="4">
        <v>67339</v>
      </c>
      <c r="H318" s="4">
        <v>5</v>
      </c>
      <c r="I318" s="7">
        <v>46159</v>
      </c>
      <c r="J318" s="7">
        <v>46169</v>
      </c>
      <c r="K318" s="4" t="s">
        <v>81</v>
      </c>
      <c r="L318" s="4" t="str">
        <f t="shared" si="4"/>
        <v>Normal</v>
      </c>
    </row>
    <row r="319" spans="1:12" x14ac:dyDescent="0.3">
      <c r="A319" s="9">
        <v>1318</v>
      </c>
      <c r="B319" s="9" t="s">
        <v>18</v>
      </c>
      <c r="C319" s="4" t="s">
        <v>42</v>
      </c>
      <c r="D319" s="4" t="s">
        <v>20</v>
      </c>
      <c r="E319" s="4" t="s">
        <v>48</v>
      </c>
      <c r="F319" s="4">
        <v>4</v>
      </c>
      <c r="G319" s="4">
        <v>38</v>
      </c>
      <c r="H319" s="4">
        <v>12</v>
      </c>
      <c r="I319" s="7">
        <v>46169</v>
      </c>
      <c r="J319" s="7">
        <v>46175</v>
      </c>
      <c r="K319" s="4" t="s">
        <v>49</v>
      </c>
      <c r="L319" s="4" t="str">
        <f t="shared" si="4"/>
        <v>Normal</v>
      </c>
    </row>
    <row r="320" spans="1:12" x14ac:dyDescent="0.3">
      <c r="A320" s="9">
        <v>1319</v>
      </c>
      <c r="B320" s="9" t="s">
        <v>25</v>
      </c>
      <c r="C320" s="4" t="s">
        <v>23</v>
      </c>
      <c r="D320" s="4" t="s">
        <v>34</v>
      </c>
      <c r="E320" s="4" t="s">
        <v>12</v>
      </c>
      <c r="F320" s="4">
        <v>17</v>
      </c>
      <c r="G320" s="4">
        <v>58407</v>
      </c>
      <c r="H320" s="4">
        <v>7</v>
      </c>
      <c r="I320" s="7">
        <v>46094</v>
      </c>
      <c r="J320" s="7">
        <v>46102</v>
      </c>
      <c r="K320" s="4" t="s">
        <v>78</v>
      </c>
      <c r="L320" s="4" t="str">
        <f t="shared" si="4"/>
        <v>Normal</v>
      </c>
    </row>
    <row r="321" spans="1:12" x14ac:dyDescent="0.3">
      <c r="A321" s="9">
        <v>1320</v>
      </c>
      <c r="B321" s="9" t="s">
        <v>45</v>
      </c>
      <c r="C321" s="4" t="s">
        <v>38</v>
      </c>
      <c r="D321" s="4" t="s">
        <v>20</v>
      </c>
      <c r="E321" s="4" t="s">
        <v>36</v>
      </c>
      <c r="F321" s="4">
        <v>20</v>
      </c>
      <c r="G321" s="4">
        <v>55</v>
      </c>
      <c r="H321" s="4">
        <v>7</v>
      </c>
      <c r="I321" s="7">
        <v>46183</v>
      </c>
      <c r="J321" s="7">
        <v>46186</v>
      </c>
      <c r="K321" s="4" t="s">
        <v>79</v>
      </c>
      <c r="L321" s="4" t="str">
        <f t="shared" si="4"/>
        <v>Priority Order</v>
      </c>
    </row>
    <row r="322" spans="1:12" x14ac:dyDescent="0.3">
      <c r="A322" s="9">
        <v>1321</v>
      </c>
      <c r="B322" s="9" t="s">
        <v>32</v>
      </c>
      <c r="C322" s="4" t="s">
        <v>26</v>
      </c>
      <c r="D322" s="4" t="s">
        <v>24</v>
      </c>
      <c r="E322" s="4" t="s">
        <v>7</v>
      </c>
      <c r="F322" s="4">
        <v>8</v>
      </c>
      <c r="G322" s="4">
        <v>5619</v>
      </c>
      <c r="H322" s="4">
        <v>7</v>
      </c>
      <c r="I322" s="7">
        <v>46107</v>
      </c>
      <c r="J322" s="7">
        <v>46109</v>
      </c>
      <c r="K322" s="4" t="s">
        <v>81</v>
      </c>
      <c r="L322" s="4" t="str">
        <f t="shared" si="4"/>
        <v>Normal</v>
      </c>
    </row>
    <row r="323" spans="1:12" x14ac:dyDescent="0.3">
      <c r="A323" s="9">
        <v>1322</v>
      </c>
      <c r="B323" s="9" t="s">
        <v>29</v>
      </c>
      <c r="C323" s="4" t="s">
        <v>19</v>
      </c>
      <c r="D323" s="4" t="s">
        <v>24</v>
      </c>
      <c r="E323" s="4" t="s">
        <v>10</v>
      </c>
      <c r="F323" s="4">
        <v>14</v>
      </c>
      <c r="G323" s="4">
        <v>9081</v>
      </c>
      <c r="H323" s="4">
        <v>15</v>
      </c>
      <c r="I323" s="7">
        <v>46141</v>
      </c>
      <c r="J323" s="7">
        <v>46146</v>
      </c>
      <c r="K323" s="4" t="s">
        <v>78</v>
      </c>
      <c r="L323" s="4" t="str">
        <f t="shared" ref="L323:L386" si="5">IF(AND(C323="Mumbai",F323&gt;=15),"Priority Order","Normal")</f>
        <v>Normal</v>
      </c>
    </row>
    <row r="324" spans="1:12" x14ac:dyDescent="0.3">
      <c r="A324" s="9">
        <v>1323</v>
      </c>
      <c r="B324" s="9" t="s">
        <v>54</v>
      </c>
      <c r="C324" s="4" t="s">
        <v>38</v>
      </c>
      <c r="D324" s="4" t="s">
        <v>34</v>
      </c>
      <c r="E324" s="4" t="s">
        <v>12</v>
      </c>
      <c r="F324" s="4">
        <v>2</v>
      </c>
      <c r="G324" s="4">
        <v>32074</v>
      </c>
      <c r="H324" s="4">
        <v>10</v>
      </c>
      <c r="I324" s="7">
        <v>46073</v>
      </c>
      <c r="J324" s="7">
        <v>46078</v>
      </c>
      <c r="K324" s="4" t="s">
        <v>78</v>
      </c>
      <c r="L324" s="4" t="str">
        <f t="shared" si="5"/>
        <v>Normal</v>
      </c>
    </row>
    <row r="325" spans="1:12" x14ac:dyDescent="0.3">
      <c r="A325" s="9">
        <v>1324</v>
      </c>
      <c r="B325" s="9" t="s">
        <v>32</v>
      </c>
      <c r="C325" s="4" t="s">
        <v>26</v>
      </c>
      <c r="D325" s="4" t="s">
        <v>24</v>
      </c>
      <c r="E325" s="4" t="s">
        <v>7</v>
      </c>
      <c r="F325" s="4">
        <v>1</v>
      </c>
      <c r="G325" s="4">
        <v>4286</v>
      </c>
      <c r="H325" s="4">
        <v>15</v>
      </c>
      <c r="I325" s="7">
        <v>46053</v>
      </c>
      <c r="J325" s="7">
        <v>46056</v>
      </c>
      <c r="K325" s="4" t="s">
        <v>79</v>
      </c>
      <c r="L325" s="4" t="str">
        <f t="shared" si="5"/>
        <v>Normal</v>
      </c>
    </row>
    <row r="326" spans="1:12" x14ac:dyDescent="0.3">
      <c r="A326" s="9">
        <v>1325</v>
      </c>
      <c r="B326" s="9" t="s">
        <v>46</v>
      </c>
      <c r="C326" s="4" t="s">
        <v>42</v>
      </c>
      <c r="D326" s="4" t="s">
        <v>34</v>
      </c>
      <c r="E326" s="4" t="s">
        <v>5</v>
      </c>
      <c r="F326" s="4">
        <v>9</v>
      </c>
      <c r="G326" s="4">
        <v>58442</v>
      </c>
      <c r="H326" s="4">
        <v>12</v>
      </c>
      <c r="I326" s="7">
        <v>46076</v>
      </c>
      <c r="J326" s="7">
        <v>46085</v>
      </c>
      <c r="K326" s="4" t="s">
        <v>79</v>
      </c>
      <c r="L326" s="4" t="str">
        <f t="shared" si="5"/>
        <v>Normal</v>
      </c>
    </row>
    <row r="327" spans="1:12" x14ac:dyDescent="0.3">
      <c r="A327" s="9">
        <v>1326</v>
      </c>
      <c r="B327" s="9" t="s">
        <v>28</v>
      </c>
      <c r="C327" s="4" t="s">
        <v>23</v>
      </c>
      <c r="D327" s="4" t="s">
        <v>24</v>
      </c>
      <c r="E327" s="4" t="s">
        <v>43</v>
      </c>
      <c r="F327" s="4">
        <v>18</v>
      </c>
      <c r="G327" s="4">
        <v>1830</v>
      </c>
      <c r="H327" s="4">
        <v>10</v>
      </c>
      <c r="I327" s="7">
        <v>46165</v>
      </c>
      <c r="J327" s="7">
        <v>46172</v>
      </c>
      <c r="K327" s="4" t="s">
        <v>78</v>
      </c>
      <c r="L327" s="4" t="str">
        <f t="shared" si="5"/>
        <v>Normal</v>
      </c>
    </row>
    <row r="328" spans="1:12" x14ac:dyDescent="0.3">
      <c r="A328" s="9">
        <v>1327</v>
      </c>
      <c r="B328" s="9" t="s">
        <v>46</v>
      </c>
      <c r="C328" s="4" t="s">
        <v>19</v>
      </c>
      <c r="D328" s="4" t="s">
        <v>20</v>
      </c>
      <c r="E328" s="4" t="s">
        <v>51</v>
      </c>
      <c r="F328" s="4">
        <v>15</v>
      </c>
      <c r="G328" s="4">
        <v>449</v>
      </c>
      <c r="H328" s="4">
        <v>5</v>
      </c>
      <c r="I328" s="7">
        <v>46152</v>
      </c>
      <c r="J328" s="7">
        <v>46153</v>
      </c>
      <c r="K328" s="4" t="s">
        <v>78</v>
      </c>
      <c r="L328" s="4" t="str">
        <f t="shared" si="5"/>
        <v>Normal</v>
      </c>
    </row>
    <row r="329" spans="1:12" x14ac:dyDescent="0.3">
      <c r="A329" s="9">
        <v>1328</v>
      </c>
      <c r="B329" s="9" t="s">
        <v>22</v>
      </c>
      <c r="C329" s="4" t="s">
        <v>38</v>
      </c>
      <c r="D329" s="4" t="s">
        <v>20</v>
      </c>
      <c r="E329" s="4" t="s">
        <v>36</v>
      </c>
      <c r="F329" s="4">
        <v>4</v>
      </c>
      <c r="G329" s="4">
        <v>132</v>
      </c>
      <c r="H329" s="4">
        <v>0</v>
      </c>
      <c r="I329" s="7">
        <v>46109</v>
      </c>
      <c r="J329" s="7">
        <v>46114</v>
      </c>
      <c r="K329" s="4" t="s">
        <v>49</v>
      </c>
      <c r="L329" s="4" t="str">
        <f t="shared" si="5"/>
        <v>Normal</v>
      </c>
    </row>
    <row r="330" spans="1:12" x14ac:dyDescent="0.3">
      <c r="A330" s="9">
        <v>1329</v>
      </c>
      <c r="B330" s="9" t="s">
        <v>30</v>
      </c>
      <c r="C330" s="4" t="s">
        <v>42</v>
      </c>
      <c r="D330" s="4" t="s">
        <v>20</v>
      </c>
      <c r="E330" s="4" t="s">
        <v>51</v>
      </c>
      <c r="F330" s="4">
        <v>18</v>
      </c>
      <c r="G330" s="4">
        <v>227</v>
      </c>
      <c r="H330" s="4">
        <v>5</v>
      </c>
      <c r="I330" s="7">
        <v>46126</v>
      </c>
      <c r="J330" s="7">
        <v>46136</v>
      </c>
      <c r="K330" s="4" t="s">
        <v>49</v>
      </c>
      <c r="L330" s="4" t="str">
        <f t="shared" si="5"/>
        <v>Normal</v>
      </c>
    </row>
    <row r="331" spans="1:12" x14ac:dyDescent="0.3">
      <c r="A331" s="9">
        <v>1330</v>
      </c>
      <c r="B331" s="9" t="s">
        <v>47</v>
      </c>
      <c r="C331" s="4" t="s">
        <v>23</v>
      </c>
      <c r="D331" s="4" t="s">
        <v>24</v>
      </c>
      <c r="E331" s="4" t="s">
        <v>7</v>
      </c>
      <c r="F331" s="4">
        <v>13</v>
      </c>
      <c r="G331" s="4">
        <v>12071</v>
      </c>
      <c r="H331" s="4">
        <v>0</v>
      </c>
      <c r="I331" s="7">
        <v>46032</v>
      </c>
      <c r="J331" s="7">
        <v>46036</v>
      </c>
      <c r="K331" s="4" t="s">
        <v>81</v>
      </c>
      <c r="L331" s="4" t="str">
        <f t="shared" si="5"/>
        <v>Normal</v>
      </c>
    </row>
    <row r="332" spans="1:12" x14ac:dyDescent="0.3">
      <c r="A332" s="9">
        <v>1331</v>
      </c>
      <c r="B332" s="9" t="s">
        <v>25</v>
      </c>
      <c r="C332" s="4" t="s">
        <v>27</v>
      </c>
      <c r="D332" s="4" t="s">
        <v>34</v>
      </c>
      <c r="E332" s="4" t="s">
        <v>12</v>
      </c>
      <c r="F332" s="4">
        <v>2</v>
      </c>
      <c r="G332" s="4">
        <v>43557</v>
      </c>
      <c r="H332" s="4">
        <v>2</v>
      </c>
      <c r="I332" s="7">
        <v>46190</v>
      </c>
      <c r="J332" s="7">
        <v>46200</v>
      </c>
      <c r="K332" s="4" t="s">
        <v>78</v>
      </c>
      <c r="L332" s="4" t="str">
        <f t="shared" si="5"/>
        <v>Normal</v>
      </c>
    </row>
    <row r="333" spans="1:12" x14ac:dyDescent="0.3">
      <c r="A333" s="9">
        <v>1332</v>
      </c>
      <c r="B333" s="9" t="s">
        <v>49</v>
      </c>
      <c r="C333" s="4" t="s">
        <v>42</v>
      </c>
      <c r="D333" s="4" t="s">
        <v>20</v>
      </c>
      <c r="E333" s="4" t="s">
        <v>48</v>
      </c>
      <c r="F333" s="4">
        <v>7</v>
      </c>
      <c r="G333" s="4">
        <v>439</v>
      </c>
      <c r="H333" s="4">
        <v>2</v>
      </c>
      <c r="I333" s="7">
        <v>46154</v>
      </c>
      <c r="J333" s="7">
        <v>46157</v>
      </c>
      <c r="K333" s="4" t="s">
        <v>78</v>
      </c>
      <c r="L333" s="4" t="str">
        <f t="shared" si="5"/>
        <v>Normal</v>
      </c>
    </row>
    <row r="334" spans="1:12" x14ac:dyDescent="0.3">
      <c r="A334" s="9">
        <v>1333</v>
      </c>
      <c r="B334" s="9" t="s">
        <v>49</v>
      </c>
      <c r="C334" s="4" t="s">
        <v>38</v>
      </c>
      <c r="D334" s="4" t="s">
        <v>20</v>
      </c>
      <c r="E334" s="4" t="s">
        <v>51</v>
      </c>
      <c r="F334" s="4">
        <v>20</v>
      </c>
      <c r="G334" s="4">
        <v>416</v>
      </c>
      <c r="H334" s="4">
        <v>12</v>
      </c>
      <c r="I334" s="7">
        <v>46145</v>
      </c>
      <c r="J334" s="7">
        <v>46146</v>
      </c>
      <c r="K334" s="4" t="s">
        <v>81</v>
      </c>
      <c r="L334" s="4" t="str">
        <f t="shared" si="5"/>
        <v>Priority Order</v>
      </c>
    </row>
    <row r="335" spans="1:12" x14ac:dyDescent="0.3">
      <c r="A335" s="9">
        <v>1334</v>
      </c>
      <c r="B335" s="9" t="s">
        <v>39</v>
      </c>
      <c r="C335" s="4" t="s">
        <v>19</v>
      </c>
      <c r="D335" s="4" t="s">
        <v>34</v>
      </c>
      <c r="E335" s="4" t="s">
        <v>40</v>
      </c>
      <c r="F335" s="4">
        <v>15</v>
      </c>
      <c r="G335" s="4">
        <v>39853</v>
      </c>
      <c r="H335" s="4">
        <v>7</v>
      </c>
      <c r="I335" s="7">
        <v>46038</v>
      </c>
      <c r="J335" s="7">
        <v>46047</v>
      </c>
      <c r="K335" s="4" t="s">
        <v>81</v>
      </c>
      <c r="L335" s="4" t="str">
        <f t="shared" si="5"/>
        <v>Normal</v>
      </c>
    </row>
    <row r="336" spans="1:12" x14ac:dyDescent="0.3">
      <c r="A336" s="9">
        <v>1335</v>
      </c>
      <c r="B336" s="9" t="s">
        <v>45</v>
      </c>
      <c r="C336" s="4" t="s">
        <v>23</v>
      </c>
      <c r="D336" s="4" t="s">
        <v>24</v>
      </c>
      <c r="E336" s="4" t="s">
        <v>7</v>
      </c>
      <c r="F336" s="4">
        <v>9</v>
      </c>
      <c r="G336" s="4">
        <v>1495</v>
      </c>
      <c r="H336" s="4">
        <v>12</v>
      </c>
      <c r="I336" s="7">
        <v>46168</v>
      </c>
      <c r="J336" s="7">
        <v>46173</v>
      </c>
      <c r="K336" s="4" t="s">
        <v>78</v>
      </c>
      <c r="L336" s="4" t="str">
        <f t="shared" si="5"/>
        <v>Normal</v>
      </c>
    </row>
    <row r="337" spans="1:12" x14ac:dyDescent="0.3">
      <c r="A337" s="9">
        <v>1336</v>
      </c>
      <c r="B337" s="9" t="s">
        <v>22</v>
      </c>
      <c r="C337" s="4" t="s">
        <v>27</v>
      </c>
      <c r="D337" s="4" t="s">
        <v>24</v>
      </c>
      <c r="E337" s="4" t="s">
        <v>11</v>
      </c>
      <c r="F337" s="4">
        <v>10</v>
      </c>
      <c r="G337" s="4">
        <v>5624</v>
      </c>
      <c r="H337" s="4">
        <v>0</v>
      </c>
      <c r="I337" s="7">
        <v>46086</v>
      </c>
      <c r="J337" s="7">
        <v>46092</v>
      </c>
      <c r="K337" s="4" t="s">
        <v>49</v>
      </c>
      <c r="L337" s="4" t="str">
        <f t="shared" si="5"/>
        <v>Normal</v>
      </c>
    </row>
    <row r="338" spans="1:12" x14ac:dyDescent="0.3">
      <c r="A338" s="9">
        <v>1337</v>
      </c>
      <c r="B338" s="9" t="s">
        <v>22</v>
      </c>
      <c r="C338" s="4" t="s">
        <v>19</v>
      </c>
      <c r="D338" s="4" t="s">
        <v>20</v>
      </c>
      <c r="E338" s="4" t="s">
        <v>51</v>
      </c>
      <c r="F338" s="4">
        <v>14</v>
      </c>
      <c r="G338" s="4">
        <v>373</v>
      </c>
      <c r="H338" s="4">
        <v>10</v>
      </c>
      <c r="I338" s="7">
        <v>46074</v>
      </c>
      <c r="J338" s="7">
        <v>46080</v>
      </c>
      <c r="K338" s="4" t="s">
        <v>49</v>
      </c>
      <c r="L338" s="4" t="str">
        <f t="shared" si="5"/>
        <v>Normal</v>
      </c>
    </row>
    <row r="339" spans="1:12" x14ac:dyDescent="0.3">
      <c r="A339" s="9">
        <v>1338</v>
      </c>
      <c r="B339" s="9" t="s">
        <v>56</v>
      </c>
      <c r="C339" s="4" t="s">
        <v>27</v>
      </c>
      <c r="D339" s="4" t="s">
        <v>34</v>
      </c>
      <c r="E339" s="4" t="s">
        <v>9</v>
      </c>
      <c r="F339" s="4">
        <v>10</v>
      </c>
      <c r="G339" s="4">
        <v>16719</v>
      </c>
      <c r="H339" s="4">
        <v>5</v>
      </c>
      <c r="I339" s="7">
        <v>46177</v>
      </c>
      <c r="J339" s="7">
        <v>46179</v>
      </c>
      <c r="K339" s="4" t="s">
        <v>78</v>
      </c>
      <c r="L339" s="4" t="str">
        <f t="shared" si="5"/>
        <v>Normal</v>
      </c>
    </row>
    <row r="340" spans="1:12" x14ac:dyDescent="0.3">
      <c r="A340" s="9">
        <v>1339</v>
      </c>
      <c r="B340" s="9" t="s">
        <v>32</v>
      </c>
      <c r="C340" s="4" t="s">
        <v>27</v>
      </c>
      <c r="D340" s="4" t="s">
        <v>20</v>
      </c>
      <c r="E340" s="4" t="s">
        <v>21</v>
      </c>
      <c r="F340" s="4">
        <v>6</v>
      </c>
      <c r="G340" s="4">
        <v>302</v>
      </c>
      <c r="H340" s="4">
        <v>5</v>
      </c>
      <c r="I340" s="7">
        <v>46142</v>
      </c>
      <c r="J340" s="7">
        <v>46148</v>
      </c>
      <c r="K340" s="4" t="s">
        <v>79</v>
      </c>
      <c r="L340" s="4" t="str">
        <f t="shared" si="5"/>
        <v>Normal</v>
      </c>
    </row>
    <row r="341" spans="1:12" x14ac:dyDescent="0.3">
      <c r="A341" s="9">
        <v>1340</v>
      </c>
      <c r="B341" s="9" t="s">
        <v>46</v>
      </c>
      <c r="C341" s="4" t="s">
        <v>23</v>
      </c>
      <c r="D341" s="4" t="s">
        <v>24</v>
      </c>
      <c r="E341" s="4" t="s">
        <v>7</v>
      </c>
      <c r="F341" s="4">
        <v>12</v>
      </c>
      <c r="G341" s="4">
        <v>3857</v>
      </c>
      <c r="H341" s="4">
        <v>12</v>
      </c>
      <c r="I341" s="7">
        <v>46196</v>
      </c>
      <c r="J341" s="7">
        <v>46198</v>
      </c>
      <c r="K341" s="4" t="s">
        <v>81</v>
      </c>
      <c r="L341" s="4" t="str">
        <f t="shared" si="5"/>
        <v>Normal</v>
      </c>
    </row>
    <row r="342" spans="1:12" x14ac:dyDescent="0.3">
      <c r="A342" s="9">
        <v>1341</v>
      </c>
      <c r="B342" s="9" t="s">
        <v>54</v>
      </c>
      <c r="C342" s="4" t="s">
        <v>38</v>
      </c>
      <c r="D342" s="4" t="s">
        <v>24</v>
      </c>
      <c r="E342" s="4" t="s">
        <v>7</v>
      </c>
      <c r="F342" s="4">
        <v>19</v>
      </c>
      <c r="G342" s="4">
        <v>6488</v>
      </c>
      <c r="H342" s="4">
        <v>15</v>
      </c>
      <c r="I342" s="7">
        <v>46026</v>
      </c>
      <c r="J342" s="7">
        <v>46030</v>
      </c>
      <c r="K342" s="4" t="s">
        <v>79</v>
      </c>
      <c r="L342" s="4" t="str">
        <f t="shared" si="5"/>
        <v>Priority Order</v>
      </c>
    </row>
    <row r="343" spans="1:12" x14ac:dyDescent="0.3">
      <c r="A343" s="9">
        <v>1342</v>
      </c>
      <c r="B343" s="9" t="s">
        <v>56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7">
        <v>46132</v>
      </c>
      <c r="J343" s="7">
        <v>46139</v>
      </c>
      <c r="K343" s="4" t="s">
        <v>49</v>
      </c>
      <c r="L343" s="4" t="str">
        <f t="shared" si="5"/>
        <v>Normal</v>
      </c>
    </row>
    <row r="344" spans="1:12" x14ac:dyDescent="0.3">
      <c r="A344" s="9">
        <v>1343</v>
      </c>
      <c r="B344" s="9" t="s">
        <v>56</v>
      </c>
      <c r="C344" s="4" t="s">
        <v>31</v>
      </c>
      <c r="D344" s="4" t="s">
        <v>34</v>
      </c>
      <c r="E344" s="4" t="s">
        <v>5</v>
      </c>
      <c r="F344" s="4">
        <v>14</v>
      </c>
      <c r="G344" s="4">
        <v>32719</v>
      </c>
      <c r="H344" s="4">
        <v>15</v>
      </c>
      <c r="I344" s="7">
        <v>46174</v>
      </c>
      <c r="J344" s="7">
        <v>46179</v>
      </c>
      <c r="K344" s="4" t="s">
        <v>78</v>
      </c>
      <c r="L344" s="4" t="str">
        <f t="shared" si="5"/>
        <v>Normal</v>
      </c>
    </row>
    <row r="345" spans="1:12" x14ac:dyDescent="0.3">
      <c r="A345" s="9">
        <v>1344</v>
      </c>
      <c r="B345" s="9" t="s">
        <v>30</v>
      </c>
      <c r="C345" s="4" t="s">
        <v>23</v>
      </c>
      <c r="D345" s="4" t="s">
        <v>20</v>
      </c>
      <c r="E345" s="4" t="s">
        <v>51</v>
      </c>
      <c r="F345" s="4">
        <v>18</v>
      </c>
      <c r="G345" s="4">
        <v>240</v>
      </c>
      <c r="H345" s="4">
        <v>10</v>
      </c>
      <c r="I345" s="7">
        <v>46155</v>
      </c>
      <c r="J345" s="7">
        <v>46156</v>
      </c>
      <c r="K345" s="4" t="s">
        <v>80</v>
      </c>
      <c r="L345" s="4" t="str">
        <f t="shared" si="5"/>
        <v>Normal</v>
      </c>
    </row>
    <row r="346" spans="1:12" x14ac:dyDescent="0.3">
      <c r="A346" s="9">
        <v>1345</v>
      </c>
      <c r="B346" s="9" t="s">
        <v>32</v>
      </c>
      <c r="C346" s="4" t="s">
        <v>19</v>
      </c>
      <c r="D346" s="4" t="s">
        <v>34</v>
      </c>
      <c r="E346" s="4" t="s">
        <v>6</v>
      </c>
      <c r="F346" s="4">
        <v>12</v>
      </c>
      <c r="G346" s="4">
        <v>50544</v>
      </c>
      <c r="H346" s="4">
        <v>10</v>
      </c>
      <c r="I346" s="7">
        <v>46095</v>
      </c>
      <c r="J346" s="7">
        <v>46097</v>
      </c>
      <c r="K346" s="4" t="s">
        <v>49</v>
      </c>
      <c r="L346" s="4" t="str">
        <f t="shared" si="5"/>
        <v>Normal</v>
      </c>
    </row>
    <row r="347" spans="1:12" x14ac:dyDescent="0.3">
      <c r="A347" s="9">
        <v>1346</v>
      </c>
      <c r="B347" s="9" t="s">
        <v>32</v>
      </c>
      <c r="C347" s="4" t="s">
        <v>26</v>
      </c>
      <c r="D347" s="4" t="s">
        <v>24</v>
      </c>
      <c r="E347" s="4" t="s">
        <v>7</v>
      </c>
      <c r="F347" s="4">
        <v>16</v>
      </c>
      <c r="G347" s="4">
        <v>6910</v>
      </c>
      <c r="H347" s="4">
        <v>15</v>
      </c>
      <c r="I347" s="7">
        <v>46140</v>
      </c>
      <c r="J347" s="7">
        <v>46142</v>
      </c>
      <c r="K347" s="4" t="s">
        <v>49</v>
      </c>
      <c r="L347" s="4" t="str">
        <f t="shared" si="5"/>
        <v>Normal</v>
      </c>
    </row>
    <row r="348" spans="1:12" x14ac:dyDescent="0.3">
      <c r="A348" s="9">
        <v>1347</v>
      </c>
      <c r="B348" s="9" t="s">
        <v>49</v>
      </c>
      <c r="C348" s="4" t="s">
        <v>26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7">
        <v>46037</v>
      </c>
      <c r="J348" s="7">
        <v>46044</v>
      </c>
      <c r="K348" s="4" t="s">
        <v>80</v>
      </c>
      <c r="L348" s="4" t="str">
        <f t="shared" si="5"/>
        <v>Normal</v>
      </c>
    </row>
    <row r="349" spans="1:12" x14ac:dyDescent="0.3">
      <c r="A349" s="9">
        <v>1348</v>
      </c>
      <c r="B349" s="9" t="s">
        <v>18</v>
      </c>
      <c r="C349" s="4" t="s">
        <v>33</v>
      </c>
      <c r="D349" s="4" t="s">
        <v>20</v>
      </c>
      <c r="E349" s="4" t="s">
        <v>48</v>
      </c>
      <c r="F349" s="4">
        <v>12</v>
      </c>
      <c r="G349" s="4">
        <v>244</v>
      </c>
      <c r="H349" s="4">
        <v>7</v>
      </c>
      <c r="I349" s="7">
        <v>46048</v>
      </c>
      <c r="J349" s="7">
        <v>46053</v>
      </c>
      <c r="K349" s="4" t="s">
        <v>78</v>
      </c>
      <c r="L349" s="4" t="str">
        <f t="shared" si="5"/>
        <v>Normal</v>
      </c>
    </row>
    <row r="350" spans="1:12" x14ac:dyDescent="0.3">
      <c r="A350" s="9">
        <v>1349</v>
      </c>
      <c r="B350" s="9" t="s">
        <v>39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7">
        <v>46079</v>
      </c>
      <c r="J350" s="7">
        <v>46083</v>
      </c>
      <c r="K350" s="4" t="s">
        <v>79</v>
      </c>
      <c r="L350" s="4" t="str">
        <f t="shared" si="5"/>
        <v>Normal</v>
      </c>
    </row>
    <row r="351" spans="1:12" x14ac:dyDescent="0.3">
      <c r="A351" s="9">
        <v>1350</v>
      </c>
      <c r="B351" s="9" t="s">
        <v>28</v>
      </c>
      <c r="C351" s="4" t="s">
        <v>42</v>
      </c>
      <c r="D351" s="4" t="s">
        <v>24</v>
      </c>
      <c r="E351" s="4" t="s">
        <v>8</v>
      </c>
      <c r="F351" s="4">
        <v>16</v>
      </c>
      <c r="G351" s="4">
        <v>11790</v>
      </c>
      <c r="H351" s="4">
        <v>12</v>
      </c>
      <c r="I351" s="7">
        <v>46185</v>
      </c>
      <c r="J351" s="7">
        <v>46190</v>
      </c>
      <c r="K351" s="4" t="s">
        <v>49</v>
      </c>
      <c r="L351" s="4" t="str">
        <f t="shared" si="5"/>
        <v>Normal</v>
      </c>
    </row>
    <row r="352" spans="1:12" x14ac:dyDescent="0.3">
      <c r="A352" s="9">
        <v>1351</v>
      </c>
      <c r="B352" s="9" t="s">
        <v>41</v>
      </c>
      <c r="C352" s="4" t="s">
        <v>33</v>
      </c>
      <c r="D352" s="4" t="s">
        <v>34</v>
      </c>
      <c r="E352" s="4" t="s">
        <v>6</v>
      </c>
      <c r="F352" s="4">
        <v>12</v>
      </c>
      <c r="G352" s="4">
        <v>1272</v>
      </c>
      <c r="H352" s="4">
        <v>0</v>
      </c>
      <c r="I352" s="7">
        <v>46026</v>
      </c>
      <c r="J352" s="7">
        <v>46029</v>
      </c>
      <c r="K352" s="4" t="s">
        <v>78</v>
      </c>
      <c r="L352" s="4" t="str">
        <f t="shared" si="5"/>
        <v>Normal</v>
      </c>
    </row>
    <row r="353" spans="1:12" x14ac:dyDescent="0.3">
      <c r="A353" s="9">
        <v>1352</v>
      </c>
      <c r="B353" s="9" t="s">
        <v>52</v>
      </c>
      <c r="C353" s="4" t="s">
        <v>26</v>
      </c>
      <c r="D353" s="4" t="s">
        <v>20</v>
      </c>
      <c r="E353" s="4" t="s">
        <v>21</v>
      </c>
      <c r="F353" s="4">
        <v>12</v>
      </c>
      <c r="G353" s="4">
        <v>203</v>
      </c>
      <c r="H353" s="4">
        <v>5</v>
      </c>
      <c r="I353" s="7">
        <v>46024</v>
      </c>
      <c r="J353" s="7">
        <v>46033</v>
      </c>
      <c r="K353" s="4" t="s">
        <v>78</v>
      </c>
      <c r="L353" s="4" t="str">
        <f t="shared" si="5"/>
        <v>Normal</v>
      </c>
    </row>
    <row r="354" spans="1:12" x14ac:dyDescent="0.3">
      <c r="A354" s="9">
        <v>1353</v>
      </c>
      <c r="B354" s="9" t="s">
        <v>45</v>
      </c>
      <c r="C354" s="4" t="s">
        <v>42</v>
      </c>
      <c r="D354" s="4" t="s">
        <v>20</v>
      </c>
      <c r="E354" s="4" t="s">
        <v>21</v>
      </c>
      <c r="F354" s="4">
        <v>6</v>
      </c>
      <c r="G354" s="4">
        <v>495</v>
      </c>
      <c r="H354" s="4">
        <v>2</v>
      </c>
      <c r="I354" s="7">
        <v>46194</v>
      </c>
      <c r="J354" s="7">
        <v>46200</v>
      </c>
      <c r="K354" s="4" t="s">
        <v>80</v>
      </c>
      <c r="L354" s="4" t="str">
        <f t="shared" si="5"/>
        <v>Normal</v>
      </c>
    </row>
    <row r="355" spans="1:12" x14ac:dyDescent="0.3">
      <c r="A355" s="9">
        <v>1354</v>
      </c>
      <c r="B355" s="9" t="s">
        <v>45</v>
      </c>
      <c r="C355" s="4" t="s">
        <v>42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7">
        <v>46118</v>
      </c>
      <c r="J355" s="7">
        <v>46120</v>
      </c>
      <c r="K355" s="4" t="s">
        <v>81</v>
      </c>
      <c r="L355" s="4" t="str">
        <f t="shared" si="5"/>
        <v>Normal</v>
      </c>
    </row>
    <row r="356" spans="1:12" x14ac:dyDescent="0.3">
      <c r="A356" s="9">
        <v>1355</v>
      </c>
      <c r="B356" s="9" t="s">
        <v>29</v>
      </c>
      <c r="C356" s="4" t="s">
        <v>19</v>
      </c>
      <c r="D356" s="4" t="s">
        <v>34</v>
      </c>
      <c r="E356" s="4" t="s">
        <v>9</v>
      </c>
      <c r="F356" s="4">
        <v>18</v>
      </c>
      <c r="G356" s="4">
        <v>35997</v>
      </c>
      <c r="H356" s="4">
        <v>2</v>
      </c>
      <c r="I356" s="7">
        <v>46024</v>
      </c>
      <c r="J356" s="7">
        <v>46031</v>
      </c>
      <c r="K356" s="4" t="s">
        <v>81</v>
      </c>
      <c r="L356" s="4" t="str">
        <f t="shared" si="5"/>
        <v>Normal</v>
      </c>
    </row>
    <row r="357" spans="1:12" x14ac:dyDescent="0.3">
      <c r="A357" s="9">
        <v>1356</v>
      </c>
      <c r="B357" s="9" t="s">
        <v>28</v>
      </c>
      <c r="C357" s="4" t="s">
        <v>38</v>
      </c>
      <c r="D357" s="4" t="s">
        <v>34</v>
      </c>
      <c r="E357" s="4" t="s">
        <v>9</v>
      </c>
      <c r="F357" s="4">
        <v>16</v>
      </c>
      <c r="G357" s="4">
        <v>53457</v>
      </c>
      <c r="H357" s="4">
        <v>10</v>
      </c>
      <c r="I357" s="7">
        <v>46201</v>
      </c>
      <c r="J357" s="7">
        <v>46204</v>
      </c>
      <c r="K357" s="4" t="s">
        <v>78</v>
      </c>
      <c r="L357" s="4" t="str">
        <f t="shared" si="5"/>
        <v>Priority Order</v>
      </c>
    </row>
    <row r="358" spans="1:12" x14ac:dyDescent="0.3">
      <c r="A358" s="9">
        <v>1357</v>
      </c>
      <c r="B358" s="9" t="s">
        <v>56</v>
      </c>
      <c r="C358" s="4" t="s">
        <v>27</v>
      </c>
      <c r="D358" s="4" t="s">
        <v>20</v>
      </c>
      <c r="E358" s="4" t="s">
        <v>37</v>
      </c>
      <c r="F358" s="4">
        <v>6</v>
      </c>
      <c r="G358" s="4">
        <v>365</v>
      </c>
      <c r="H358" s="4">
        <v>7</v>
      </c>
      <c r="I358" s="7">
        <v>46133</v>
      </c>
      <c r="J358" s="7">
        <v>46140</v>
      </c>
      <c r="K358" s="4" t="s">
        <v>81</v>
      </c>
      <c r="L358" s="4" t="str">
        <f t="shared" si="5"/>
        <v>Normal</v>
      </c>
    </row>
    <row r="359" spans="1:12" x14ac:dyDescent="0.3">
      <c r="A359" s="9">
        <v>1358</v>
      </c>
      <c r="B359" s="9" t="s">
        <v>39</v>
      </c>
      <c r="C359" s="4" t="s">
        <v>38</v>
      </c>
      <c r="D359" s="4" t="s">
        <v>24</v>
      </c>
      <c r="E359" s="4" t="s">
        <v>7</v>
      </c>
      <c r="F359" s="4">
        <v>7</v>
      </c>
      <c r="G359" s="4">
        <v>6618</v>
      </c>
      <c r="H359" s="4">
        <v>0</v>
      </c>
      <c r="I359" s="7">
        <v>46127</v>
      </c>
      <c r="J359" s="7">
        <v>46129</v>
      </c>
      <c r="K359" s="4" t="s">
        <v>79</v>
      </c>
      <c r="L359" s="4" t="str">
        <f t="shared" si="5"/>
        <v>Normal</v>
      </c>
    </row>
    <row r="360" spans="1:12" x14ac:dyDescent="0.3">
      <c r="A360" s="9">
        <v>1359</v>
      </c>
      <c r="B360" s="9" t="s">
        <v>52</v>
      </c>
      <c r="C360" s="4" t="s">
        <v>19</v>
      </c>
      <c r="D360" s="4" t="s">
        <v>34</v>
      </c>
      <c r="E360" s="4" t="s">
        <v>12</v>
      </c>
      <c r="F360" s="4">
        <v>9</v>
      </c>
      <c r="G360" s="4">
        <v>38179</v>
      </c>
      <c r="H360" s="4">
        <v>0</v>
      </c>
      <c r="I360" s="7">
        <v>46096</v>
      </c>
      <c r="J360" s="7">
        <v>46099</v>
      </c>
      <c r="K360" s="4" t="s">
        <v>78</v>
      </c>
      <c r="L360" s="4" t="str">
        <f t="shared" si="5"/>
        <v>Normal</v>
      </c>
    </row>
    <row r="361" spans="1:12" x14ac:dyDescent="0.3">
      <c r="A361" s="9">
        <v>1360</v>
      </c>
      <c r="B361" s="9" t="s">
        <v>18</v>
      </c>
      <c r="C361" s="4" t="s">
        <v>42</v>
      </c>
      <c r="D361" s="4" t="s">
        <v>24</v>
      </c>
      <c r="E361" s="4" t="s">
        <v>10</v>
      </c>
      <c r="F361" s="4">
        <v>19</v>
      </c>
      <c r="G361" s="4">
        <v>6681</v>
      </c>
      <c r="H361" s="4">
        <v>2</v>
      </c>
      <c r="I361" s="7">
        <v>46146</v>
      </c>
      <c r="J361" s="7">
        <v>46150</v>
      </c>
      <c r="K361" s="4" t="s">
        <v>78</v>
      </c>
      <c r="L361" s="4" t="str">
        <f t="shared" si="5"/>
        <v>Normal</v>
      </c>
    </row>
    <row r="362" spans="1:12" x14ac:dyDescent="0.3">
      <c r="A362" s="9">
        <v>1361</v>
      </c>
      <c r="B362" s="9" t="s">
        <v>41</v>
      </c>
      <c r="C362" s="4" t="s">
        <v>23</v>
      </c>
      <c r="D362" s="4" t="s">
        <v>24</v>
      </c>
      <c r="E362" s="4" t="s">
        <v>10</v>
      </c>
      <c r="F362" s="4">
        <v>2</v>
      </c>
      <c r="G362" s="4">
        <v>1822</v>
      </c>
      <c r="H362" s="4">
        <v>5</v>
      </c>
      <c r="I362" s="7">
        <v>46141</v>
      </c>
      <c r="J362" s="7">
        <v>46145</v>
      </c>
      <c r="K362" s="4" t="s">
        <v>79</v>
      </c>
      <c r="L362" s="4" t="str">
        <f t="shared" si="5"/>
        <v>Normal</v>
      </c>
    </row>
    <row r="363" spans="1:12" x14ac:dyDescent="0.3">
      <c r="A363" s="9">
        <v>1362</v>
      </c>
      <c r="B363" s="9" t="s">
        <v>22</v>
      </c>
      <c r="C363" s="4" t="s">
        <v>19</v>
      </c>
      <c r="D363" s="4" t="s">
        <v>24</v>
      </c>
      <c r="E363" s="4" t="s">
        <v>8</v>
      </c>
      <c r="F363" s="4">
        <v>1</v>
      </c>
      <c r="G363" s="4">
        <v>10474</v>
      </c>
      <c r="H363" s="4">
        <v>0</v>
      </c>
      <c r="I363" s="7">
        <v>46094</v>
      </c>
      <c r="J363" s="7">
        <v>46096</v>
      </c>
      <c r="K363" s="4" t="s">
        <v>49</v>
      </c>
      <c r="L363" s="4" t="str">
        <f t="shared" si="5"/>
        <v>Normal</v>
      </c>
    </row>
    <row r="364" spans="1:12" x14ac:dyDescent="0.3">
      <c r="A364" s="9">
        <v>1363</v>
      </c>
      <c r="B364" s="9" t="s">
        <v>29</v>
      </c>
      <c r="C364" s="4" t="s">
        <v>27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7">
        <v>46122</v>
      </c>
      <c r="J364" s="7">
        <v>46128</v>
      </c>
      <c r="K364" s="4" t="s">
        <v>78</v>
      </c>
      <c r="L364" s="4" t="str">
        <f t="shared" si="5"/>
        <v>Normal</v>
      </c>
    </row>
    <row r="365" spans="1:12" x14ac:dyDescent="0.3">
      <c r="A365" s="9">
        <v>1364</v>
      </c>
      <c r="B365" s="9" t="s">
        <v>30</v>
      </c>
      <c r="C365" s="4" t="s">
        <v>26</v>
      </c>
      <c r="D365" s="4" t="s">
        <v>24</v>
      </c>
      <c r="E365" s="4" t="s">
        <v>11</v>
      </c>
      <c r="F365" s="4">
        <v>16</v>
      </c>
      <c r="G365" s="4">
        <v>1744</v>
      </c>
      <c r="H365" s="4">
        <v>15</v>
      </c>
      <c r="I365" s="7">
        <v>46031</v>
      </c>
      <c r="J365" s="7">
        <v>46033</v>
      </c>
      <c r="K365" s="4" t="s">
        <v>81</v>
      </c>
      <c r="L365" s="4" t="str">
        <f t="shared" si="5"/>
        <v>Normal</v>
      </c>
    </row>
    <row r="366" spans="1:12" x14ac:dyDescent="0.3">
      <c r="A366" s="9">
        <v>1365</v>
      </c>
      <c r="B366" s="9" t="s">
        <v>44</v>
      </c>
      <c r="C366" s="4" t="s">
        <v>33</v>
      </c>
      <c r="D366" s="4" t="s">
        <v>20</v>
      </c>
      <c r="E366" s="4" t="s">
        <v>48</v>
      </c>
      <c r="F366" s="4">
        <v>17</v>
      </c>
      <c r="G366" s="4">
        <v>119</v>
      </c>
      <c r="H366" s="4">
        <v>7</v>
      </c>
      <c r="I366" s="7">
        <v>46070</v>
      </c>
      <c r="J366" s="7">
        <v>46072</v>
      </c>
      <c r="K366" s="4" t="s">
        <v>79</v>
      </c>
      <c r="L366" s="4" t="str">
        <f t="shared" si="5"/>
        <v>Normal</v>
      </c>
    </row>
    <row r="367" spans="1:12" x14ac:dyDescent="0.3">
      <c r="A367" s="9">
        <v>1366</v>
      </c>
      <c r="B367" s="9" t="s">
        <v>28</v>
      </c>
      <c r="C367" s="4" t="s">
        <v>23</v>
      </c>
      <c r="D367" s="4" t="s">
        <v>34</v>
      </c>
      <c r="E367" s="4" t="s">
        <v>12</v>
      </c>
      <c r="F367" s="4">
        <v>20</v>
      </c>
      <c r="G367" s="4">
        <v>44312</v>
      </c>
      <c r="H367" s="4">
        <v>10</v>
      </c>
      <c r="I367" s="7">
        <v>46047</v>
      </c>
      <c r="J367" s="7">
        <v>46054</v>
      </c>
      <c r="K367" s="4" t="s">
        <v>49</v>
      </c>
      <c r="L367" s="4" t="str">
        <f t="shared" si="5"/>
        <v>Normal</v>
      </c>
    </row>
    <row r="368" spans="1:12" x14ac:dyDescent="0.3">
      <c r="A368" s="9">
        <v>1367</v>
      </c>
      <c r="B368" s="9" t="s">
        <v>52</v>
      </c>
      <c r="C368" s="4" t="s">
        <v>27</v>
      </c>
      <c r="D368" s="4" t="s">
        <v>20</v>
      </c>
      <c r="E368" s="4" t="s">
        <v>51</v>
      </c>
      <c r="F368" s="4">
        <v>1</v>
      </c>
      <c r="G368" s="4">
        <v>371</v>
      </c>
      <c r="H368" s="4">
        <v>5</v>
      </c>
      <c r="I368" s="7">
        <v>46158</v>
      </c>
      <c r="J368" s="7">
        <v>46168</v>
      </c>
      <c r="K368" s="4" t="s">
        <v>49</v>
      </c>
      <c r="L368" s="4" t="str">
        <f t="shared" si="5"/>
        <v>Normal</v>
      </c>
    </row>
    <row r="369" spans="1:12" x14ac:dyDescent="0.3">
      <c r="A369" s="9">
        <v>1368</v>
      </c>
      <c r="B369" s="9" t="s">
        <v>53</v>
      </c>
      <c r="C369" s="4" t="s">
        <v>38</v>
      </c>
      <c r="D369" s="4" t="s">
        <v>20</v>
      </c>
      <c r="E369" s="4" t="s">
        <v>36</v>
      </c>
      <c r="F369" s="4">
        <v>9</v>
      </c>
      <c r="G369" s="4">
        <v>115</v>
      </c>
      <c r="H369" s="4">
        <v>0</v>
      </c>
      <c r="I369" s="7">
        <v>46036</v>
      </c>
      <c r="J369" s="7">
        <v>46045</v>
      </c>
      <c r="K369" s="4" t="s">
        <v>80</v>
      </c>
      <c r="L369" s="4" t="str">
        <f t="shared" si="5"/>
        <v>Normal</v>
      </c>
    </row>
    <row r="370" spans="1:12" x14ac:dyDescent="0.3">
      <c r="A370" s="9">
        <v>1369</v>
      </c>
      <c r="B370" s="9" t="s">
        <v>54</v>
      </c>
      <c r="C370" s="4" t="s">
        <v>27</v>
      </c>
      <c r="D370" s="4" t="s">
        <v>24</v>
      </c>
      <c r="E370" s="4" t="s">
        <v>7</v>
      </c>
      <c r="F370" s="4">
        <v>19</v>
      </c>
      <c r="G370" s="4">
        <v>5840</v>
      </c>
      <c r="H370" s="4">
        <v>5</v>
      </c>
      <c r="I370" s="7">
        <v>46062</v>
      </c>
      <c r="J370" s="7">
        <v>46067</v>
      </c>
      <c r="K370" s="4" t="s">
        <v>78</v>
      </c>
      <c r="L370" s="4" t="str">
        <f t="shared" si="5"/>
        <v>Normal</v>
      </c>
    </row>
    <row r="371" spans="1:12" x14ac:dyDescent="0.3">
      <c r="A371" s="9">
        <v>1370</v>
      </c>
      <c r="B371" s="9" t="s">
        <v>56</v>
      </c>
      <c r="C371" s="4" t="s">
        <v>38</v>
      </c>
      <c r="D371" s="4" t="s">
        <v>20</v>
      </c>
      <c r="E371" s="4" t="s">
        <v>51</v>
      </c>
      <c r="F371" s="4">
        <v>13</v>
      </c>
      <c r="G371" s="4">
        <v>337</v>
      </c>
      <c r="H371" s="4">
        <v>7</v>
      </c>
      <c r="I371" s="7">
        <v>46184</v>
      </c>
      <c r="J371" s="7">
        <v>46188</v>
      </c>
      <c r="K371" s="4" t="s">
        <v>78</v>
      </c>
      <c r="L371" s="4" t="str">
        <f t="shared" si="5"/>
        <v>Normal</v>
      </c>
    </row>
    <row r="372" spans="1:12" x14ac:dyDescent="0.3">
      <c r="A372" s="9">
        <v>1371</v>
      </c>
      <c r="B372" s="9" t="s">
        <v>46</v>
      </c>
      <c r="C372" s="4" t="s">
        <v>38</v>
      </c>
      <c r="D372" s="4" t="s">
        <v>24</v>
      </c>
      <c r="E372" s="4" t="s">
        <v>7</v>
      </c>
      <c r="F372" s="4">
        <v>19</v>
      </c>
      <c r="G372" s="4">
        <v>1087</v>
      </c>
      <c r="H372" s="4">
        <v>15</v>
      </c>
      <c r="I372" s="7">
        <v>46072</v>
      </c>
      <c r="J372" s="7">
        <v>46082</v>
      </c>
      <c r="K372" s="4" t="s">
        <v>79</v>
      </c>
      <c r="L372" s="4" t="str">
        <f t="shared" si="5"/>
        <v>Priority Order</v>
      </c>
    </row>
    <row r="373" spans="1:12" x14ac:dyDescent="0.3">
      <c r="A373" s="9">
        <v>1372</v>
      </c>
      <c r="B373" s="9" t="s">
        <v>46</v>
      </c>
      <c r="C373" s="4" t="s">
        <v>23</v>
      </c>
      <c r="D373" s="4" t="s">
        <v>34</v>
      </c>
      <c r="E373" s="4" t="s">
        <v>5</v>
      </c>
      <c r="F373" s="4">
        <v>9</v>
      </c>
      <c r="G373" s="4">
        <v>9551</v>
      </c>
      <c r="H373" s="4">
        <v>10</v>
      </c>
      <c r="I373" s="7">
        <v>46161</v>
      </c>
      <c r="J373" s="7">
        <v>46168</v>
      </c>
      <c r="K373" s="4" t="s">
        <v>78</v>
      </c>
      <c r="L373" s="4" t="str">
        <f t="shared" si="5"/>
        <v>Normal</v>
      </c>
    </row>
    <row r="374" spans="1:12" x14ac:dyDescent="0.3">
      <c r="A374" s="9">
        <v>1373</v>
      </c>
      <c r="B374" s="9" t="s">
        <v>52</v>
      </c>
      <c r="C374" s="4" t="s">
        <v>27</v>
      </c>
      <c r="D374" s="4" t="s">
        <v>34</v>
      </c>
      <c r="E374" s="4" t="s">
        <v>9</v>
      </c>
      <c r="F374" s="4">
        <v>11</v>
      </c>
      <c r="G374" s="4">
        <v>47930</v>
      </c>
      <c r="H374" s="4">
        <v>12</v>
      </c>
      <c r="I374" s="7">
        <v>46191</v>
      </c>
      <c r="J374" s="7">
        <v>46201</v>
      </c>
      <c r="K374" s="4" t="s">
        <v>79</v>
      </c>
      <c r="L374" s="4" t="str">
        <f t="shared" si="5"/>
        <v>Normal</v>
      </c>
    </row>
    <row r="375" spans="1:12" x14ac:dyDescent="0.3">
      <c r="A375" s="9">
        <v>1374</v>
      </c>
      <c r="B375" s="9" t="s">
        <v>54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7">
        <v>46063</v>
      </c>
      <c r="J375" s="7">
        <v>46066</v>
      </c>
      <c r="K375" s="4" t="s">
        <v>81</v>
      </c>
      <c r="L375" s="4" t="str">
        <f t="shared" si="5"/>
        <v>Normal</v>
      </c>
    </row>
    <row r="376" spans="1:12" x14ac:dyDescent="0.3">
      <c r="A376" s="9">
        <v>1375</v>
      </c>
      <c r="B376" s="9" t="s">
        <v>44</v>
      </c>
      <c r="C376" s="4" t="s">
        <v>42</v>
      </c>
      <c r="D376" s="4" t="s">
        <v>34</v>
      </c>
      <c r="E376" s="4" t="s">
        <v>6</v>
      </c>
      <c r="F376" s="4">
        <v>20</v>
      </c>
      <c r="G376" s="4">
        <v>56766</v>
      </c>
      <c r="H376" s="4">
        <v>0</v>
      </c>
      <c r="I376" s="7">
        <v>46052</v>
      </c>
      <c r="J376" s="7">
        <v>46061</v>
      </c>
      <c r="K376" s="4" t="s">
        <v>80</v>
      </c>
      <c r="L376" s="4" t="str">
        <f t="shared" si="5"/>
        <v>Normal</v>
      </c>
    </row>
    <row r="377" spans="1:12" x14ac:dyDescent="0.3">
      <c r="A377" s="9">
        <v>1376</v>
      </c>
      <c r="B377" s="9" t="s">
        <v>50</v>
      </c>
      <c r="C377" s="4" t="s">
        <v>31</v>
      </c>
      <c r="D377" s="4" t="s">
        <v>20</v>
      </c>
      <c r="E377" s="4" t="s">
        <v>48</v>
      </c>
      <c r="F377" s="4">
        <v>20</v>
      </c>
      <c r="G377" s="4">
        <v>429</v>
      </c>
      <c r="H377" s="4">
        <v>5</v>
      </c>
      <c r="I377" s="7">
        <v>46178</v>
      </c>
      <c r="J377" s="7">
        <v>46184</v>
      </c>
      <c r="K377" s="4" t="s">
        <v>79</v>
      </c>
      <c r="L377" s="4" t="str">
        <f t="shared" si="5"/>
        <v>Normal</v>
      </c>
    </row>
    <row r="378" spans="1:12" x14ac:dyDescent="0.3">
      <c r="A378" s="9">
        <v>1377</v>
      </c>
      <c r="B378" s="9" t="s">
        <v>32</v>
      </c>
      <c r="C378" s="4" t="s">
        <v>38</v>
      </c>
      <c r="D378" s="4" t="s">
        <v>24</v>
      </c>
      <c r="E378" s="4" t="s">
        <v>7</v>
      </c>
      <c r="F378" s="4">
        <v>3</v>
      </c>
      <c r="G378" s="4">
        <v>5480</v>
      </c>
      <c r="H378" s="4">
        <v>12</v>
      </c>
      <c r="I378" s="7">
        <v>46105</v>
      </c>
      <c r="J378" s="7">
        <v>46111</v>
      </c>
      <c r="K378" s="4" t="s">
        <v>80</v>
      </c>
      <c r="L378" s="4" t="str">
        <f t="shared" si="5"/>
        <v>Normal</v>
      </c>
    </row>
    <row r="379" spans="1:12" x14ac:dyDescent="0.3">
      <c r="A379" s="9">
        <v>1378</v>
      </c>
      <c r="B379" s="9" t="s">
        <v>53</v>
      </c>
      <c r="C379" s="4" t="s">
        <v>26</v>
      </c>
      <c r="D379" s="4" t="s">
        <v>34</v>
      </c>
      <c r="E379" s="4" t="s">
        <v>6</v>
      </c>
      <c r="F379" s="4">
        <v>15</v>
      </c>
      <c r="G379" s="4">
        <v>22693</v>
      </c>
      <c r="H379" s="4">
        <v>12</v>
      </c>
      <c r="I379" s="7">
        <v>46074</v>
      </c>
      <c r="J379" s="7">
        <v>46080</v>
      </c>
      <c r="K379" s="4" t="s">
        <v>81</v>
      </c>
      <c r="L379" s="4" t="str">
        <f t="shared" si="5"/>
        <v>Normal</v>
      </c>
    </row>
    <row r="380" spans="1:12" x14ac:dyDescent="0.3">
      <c r="A380" s="9">
        <v>1379</v>
      </c>
      <c r="B380" s="9" t="s">
        <v>45</v>
      </c>
      <c r="C380" s="4" t="s">
        <v>23</v>
      </c>
      <c r="D380" s="4" t="s">
        <v>20</v>
      </c>
      <c r="E380" s="4" t="s">
        <v>21</v>
      </c>
      <c r="F380" s="4">
        <v>11</v>
      </c>
      <c r="G380" s="4">
        <v>136</v>
      </c>
      <c r="H380" s="4">
        <v>15</v>
      </c>
      <c r="I380" s="7">
        <v>46106</v>
      </c>
      <c r="J380" s="7">
        <v>46107</v>
      </c>
      <c r="K380" s="4" t="s">
        <v>79</v>
      </c>
      <c r="L380" s="4" t="str">
        <f t="shared" si="5"/>
        <v>Normal</v>
      </c>
    </row>
    <row r="381" spans="1:12" x14ac:dyDescent="0.3">
      <c r="A381" s="9">
        <v>1380</v>
      </c>
      <c r="B381" s="9" t="s">
        <v>50</v>
      </c>
      <c r="C381" s="4" t="s">
        <v>42</v>
      </c>
      <c r="D381" s="4" t="s">
        <v>20</v>
      </c>
      <c r="E381" s="4" t="s">
        <v>51</v>
      </c>
      <c r="F381" s="4">
        <v>3</v>
      </c>
      <c r="G381" s="4">
        <v>412</v>
      </c>
      <c r="H381" s="4">
        <v>7</v>
      </c>
      <c r="I381" s="7">
        <v>46128</v>
      </c>
      <c r="J381" s="7">
        <v>46138</v>
      </c>
      <c r="K381" s="4" t="s">
        <v>80</v>
      </c>
      <c r="L381" s="4" t="str">
        <f t="shared" si="5"/>
        <v>Normal</v>
      </c>
    </row>
    <row r="382" spans="1:12" x14ac:dyDescent="0.3">
      <c r="A382" s="9">
        <v>1381</v>
      </c>
      <c r="B382" s="9" t="s">
        <v>53</v>
      </c>
      <c r="C382" s="4" t="s">
        <v>33</v>
      </c>
      <c r="D382" s="4" t="s">
        <v>24</v>
      </c>
      <c r="E382" s="4" t="s">
        <v>8</v>
      </c>
      <c r="F382" s="4">
        <v>5</v>
      </c>
      <c r="G382" s="4">
        <v>7484</v>
      </c>
      <c r="H382" s="4">
        <v>2</v>
      </c>
      <c r="I382" s="7">
        <v>46089</v>
      </c>
      <c r="J382" s="7">
        <v>46093</v>
      </c>
      <c r="K382" s="4" t="s">
        <v>79</v>
      </c>
      <c r="L382" s="4" t="str">
        <f t="shared" si="5"/>
        <v>Normal</v>
      </c>
    </row>
    <row r="383" spans="1:12" x14ac:dyDescent="0.3">
      <c r="A383" s="9">
        <v>1382</v>
      </c>
      <c r="B383" s="9" t="s">
        <v>47</v>
      </c>
      <c r="C383" s="4" t="s">
        <v>33</v>
      </c>
      <c r="D383" s="4" t="s">
        <v>34</v>
      </c>
      <c r="E383" s="4" t="s">
        <v>9</v>
      </c>
      <c r="F383" s="4">
        <v>11</v>
      </c>
      <c r="G383" s="4">
        <v>36198</v>
      </c>
      <c r="H383" s="4">
        <v>0</v>
      </c>
      <c r="I383" s="7">
        <v>46130</v>
      </c>
      <c r="J383" s="7">
        <v>46134</v>
      </c>
      <c r="K383" s="4" t="s">
        <v>78</v>
      </c>
      <c r="L383" s="4" t="str">
        <f t="shared" si="5"/>
        <v>Normal</v>
      </c>
    </row>
    <row r="384" spans="1:12" x14ac:dyDescent="0.3">
      <c r="A384" s="9">
        <v>1383</v>
      </c>
      <c r="B384" s="9" t="s">
        <v>32</v>
      </c>
      <c r="C384" s="4" t="s">
        <v>19</v>
      </c>
      <c r="D384" s="4" t="s">
        <v>20</v>
      </c>
      <c r="E384" s="4" t="s">
        <v>51</v>
      </c>
      <c r="F384" s="4">
        <v>14</v>
      </c>
      <c r="G384" s="4">
        <v>334</v>
      </c>
      <c r="H384" s="4">
        <v>10</v>
      </c>
      <c r="I384" s="7">
        <v>46196</v>
      </c>
      <c r="J384" s="7">
        <v>46203</v>
      </c>
      <c r="K384" s="4" t="s">
        <v>78</v>
      </c>
      <c r="L384" s="4" t="str">
        <f t="shared" si="5"/>
        <v>Normal</v>
      </c>
    </row>
    <row r="385" spans="1:12" x14ac:dyDescent="0.3">
      <c r="A385" s="9">
        <v>1384</v>
      </c>
      <c r="B385" s="9" t="s">
        <v>56</v>
      </c>
      <c r="C385" s="4" t="s">
        <v>19</v>
      </c>
      <c r="D385" s="4" t="s">
        <v>34</v>
      </c>
      <c r="E385" s="4" t="s">
        <v>5</v>
      </c>
      <c r="F385" s="4">
        <v>15</v>
      </c>
      <c r="G385" s="4">
        <v>38116</v>
      </c>
      <c r="H385" s="4">
        <v>0</v>
      </c>
      <c r="I385" s="7">
        <v>46074</v>
      </c>
      <c r="J385" s="7">
        <v>46078</v>
      </c>
      <c r="K385" s="4" t="s">
        <v>49</v>
      </c>
      <c r="L385" s="4" t="str">
        <f t="shared" si="5"/>
        <v>Normal</v>
      </c>
    </row>
    <row r="386" spans="1:12" x14ac:dyDescent="0.3">
      <c r="A386" s="9">
        <v>1385</v>
      </c>
      <c r="B386" s="9" t="s">
        <v>28</v>
      </c>
      <c r="C386" s="4" t="s">
        <v>33</v>
      </c>
      <c r="D386" s="4" t="s">
        <v>34</v>
      </c>
      <c r="E386" s="4" t="s">
        <v>5</v>
      </c>
      <c r="F386" s="4">
        <v>12</v>
      </c>
      <c r="G386" s="4">
        <v>61360</v>
      </c>
      <c r="H386" s="4">
        <v>10</v>
      </c>
      <c r="I386" s="7">
        <v>46048</v>
      </c>
      <c r="J386" s="7">
        <v>46053</v>
      </c>
      <c r="K386" s="4" t="s">
        <v>81</v>
      </c>
      <c r="L386" s="4" t="str">
        <f t="shared" si="5"/>
        <v>Normal</v>
      </c>
    </row>
    <row r="387" spans="1:12" x14ac:dyDescent="0.3">
      <c r="A387" s="9">
        <v>1386</v>
      </c>
      <c r="B387" s="9" t="s">
        <v>29</v>
      </c>
      <c r="C387" s="4" t="s">
        <v>31</v>
      </c>
      <c r="D387" s="4" t="s">
        <v>24</v>
      </c>
      <c r="E387" s="4" t="s">
        <v>8</v>
      </c>
      <c r="F387" s="4">
        <v>9</v>
      </c>
      <c r="G387" s="4">
        <v>7509</v>
      </c>
      <c r="H387" s="4">
        <v>5</v>
      </c>
      <c r="I387" s="7">
        <v>46162</v>
      </c>
      <c r="J387" s="7">
        <v>46171</v>
      </c>
      <c r="K387" s="4" t="s">
        <v>81</v>
      </c>
      <c r="L387" s="4" t="str">
        <f t="shared" ref="L387:L401" si="6">IF(AND(C387="Mumbai",F387&gt;=15),"Priority Order","Normal")</f>
        <v>Normal</v>
      </c>
    </row>
    <row r="388" spans="1:12" x14ac:dyDescent="0.3">
      <c r="A388" s="9">
        <v>1387</v>
      </c>
      <c r="B388" s="9" t="s">
        <v>52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7">
        <v>46102</v>
      </c>
      <c r="J388" s="7">
        <v>46112</v>
      </c>
      <c r="K388" s="4" t="s">
        <v>80</v>
      </c>
      <c r="L388" s="4" t="str">
        <f t="shared" si="6"/>
        <v>Normal</v>
      </c>
    </row>
    <row r="389" spans="1:12" x14ac:dyDescent="0.3">
      <c r="A389" s="9">
        <v>1388</v>
      </c>
      <c r="B389" s="9" t="s">
        <v>53</v>
      </c>
      <c r="C389" s="4" t="s">
        <v>31</v>
      </c>
      <c r="D389" s="4" t="s">
        <v>24</v>
      </c>
      <c r="E389" s="4" t="s">
        <v>8</v>
      </c>
      <c r="F389" s="4">
        <v>12</v>
      </c>
      <c r="G389" s="4">
        <v>11662</v>
      </c>
      <c r="H389" s="4">
        <v>12</v>
      </c>
      <c r="I389" s="7">
        <v>46094</v>
      </c>
      <c r="J389" s="7">
        <v>46096</v>
      </c>
      <c r="K389" s="4" t="s">
        <v>79</v>
      </c>
      <c r="L389" s="4" t="str">
        <f t="shared" si="6"/>
        <v>Normal</v>
      </c>
    </row>
    <row r="390" spans="1:12" x14ac:dyDescent="0.3">
      <c r="A390" s="9">
        <v>1389</v>
      </c>
      <c r="B390" s="9" t="s">
        <v>32</v>
      </c>
      <c r="C390" s="4" t="s">
        <v>19</v>
      </c>
      <c r="D390" s="4" t="s">
        <v>34</v>
      </c>
      <c r="E390" s="4" t="s">
        <v>40</v>
      </c>
      <c r="F390" s="4">
        <v>3</v>
      </c>
      <c r="G390" s="4">
        <v>56380</v>
      </c>
      <c r="H390" s="4">
        <v>5</v>
      </c>
      <c r="I390" s="7">
        <v>46044</v>
      </c>
      <c r="J390" s="7">
        <v>46048</v>
      </c>
      <c r="K390" s="4" t="s">
        <v>81</v>
      </c>
      <c r="L390" s="4" t="str">
        <f t="shared" si="6"/>
        <v>Normal</v>
      </c>
    </row>
    <row r="391" spans="1:12" x14ac:dyDescent="0.3">
      <c r="A391" s="9">
        <v>1390</v>
      </c>
      <c r="B391" s="9" t="s">
        <v>55</v>
      </c>
      <c r="C391" s="4" t="s">
        <v>42</v>
      </c>
      <c r="D391" s="4" t="s">
        <v>24</v>
      </c>
      <c r="E391" s="4" t="s">
        <v>7</v>
      </c>
      <c r="F391" s="4">
        <v>9</v>
      </c>
      <c r="G391" s="4">
        <v>7670</v>
      </c>
      <c r="H391" s="4">
        <v>0</v>
      </c>
      <c r="I391" s="7">
        <v>46076</v>
      </c>
      <c r="J391" s="7">
        <v>46081</v>
      </c>
      <c r="K391" s="4" t="s">
        <v>81</v>
      </c>
      <c r="L391" s="4" t="str">
        <f t="shared" si="6"/>
        <v>Normal</v>
      </c>
    </row>
    <row r="392" spans="1:12" x14ac:dyDescent="0.3">
      <c r="A392" s="9">
        <v>1391</v>
      </c>
      <c r="B392" s="9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7">
        <v>46100</v>
      </c>
      <c r="J392" s="7">
        <v>46103</v>
      </c>
      <c r="K392" s="4" t="s">
        <v>80</v>
      </c>
      <c r="L392" s="4" t="str">
        <f t="shared" si="6"/>
        <v>Normal</v>
      </c>
    </row>
    <row r="393" spans="1:12" x14ac:dyDescent="0.3">
      <c r="A393" s="9">
        <v>1392</v>
      </c>
      <c r="B393" s="9" t="s">
        <v>49</v>
      </c>
      <c r="C393" s="4" t="s">
        <v>42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7">
        <v>46124</v>
      </c>
      <c r="J393" s="7">
        <v>46125</v>
      </c>
      <c r="K393" s="4" t="s">
        <v>49</v>
      </c>
      <c r="L393" s="4" t="str">
        <f t="shared" si="6"/>
        <v>Normal</v>
      </c>
    </row>
    <row r="394" spans="1:12" x14ac:dyDescent="0.3">
      <c r="A394" s="9">
        <v>1393</v>
      </c>
      <c r="B394" s="9" t="s">
        <v>30</v>
      </c>
      <c r="C394" s="4" t="s">
        <v>27</v>
      </c>
      <c r="D394" s="4" t="s">
        <v>34</v>
      </c>
      <c r="E394" s="4" t="s">
        <v>6</v>
      </c>
      <c r="F394" s="4">
        <v>17</v>
      </c>
      <c r="G394" s="4">
        <v>30351</v>
      </c>
      <c r="H394" s="4">
        <v>15</v>
      </c>
      <c r="I394" s="7">
        <v>46047</v>
      </c>
      <c r="J394" s="7">
        <v>46051</v>
      </c>
      <c r="K394" s="4" t="s">
        <v>81</v>
      </c>
      <c r="L394" s="4" t="str">
        <f t="shared" si="6"/>
        <v>Normal</v>
      </c>
    </row>
    <row r="395" spans="1:12" x14ac:dyDescent="0.3">
      <c r="A395" s="9">
        <v>1394</v>
      </c>
      <c r="B395" s="9" t="s">
        <v>52</v>
      </c>
      <c r="C395" s="4" t="s">
        <v>19</v>
      </c>
      <c r="D395" s="4" t="s">
        <v>20</v>
      </c>
      <c r="E395" s="4" t="s">
        <v>21</v>
      </c>
      <c r="F395" s="4">
        <v>10</v>
      </c>
      <c r="G395" s="4">
        <v>138</v>
      </c>
      <c r="H395" s="4">
        <v>2</v>
      </c>
      <c r="I395" s="7">
        <v>46056</v>
      </c>
      <c r="J395" s="7">
        <v>46057</v>
      </c>
      <c r="K395" s="4" t="s">
        <v>78</v>
      </c>
      <c r="L395" s="4" t="str">
        <f t="shared" si="6"/>
        <v>Normal</v>
      </c>
    </row>
    <row r="396" spans="1:12" x14ac:dyDescent="0.3">
      <c r="A396" s="9">
        <v>1395</v>
      </c>
      <c r="B396" s="9" t="s">
        <v>52</v>
      </c>
      <c r="C396" s="4" t="s">
        <v>33</v>
      </c>
      <c r="D396" s="4" t="s">
        <v>24</v>
      </c>
      <c r="E396" s="4" t="s">
        <v>43</v>
      </c>
      <c r="F396" s="4">
        <v>18</v>
      </c>
      <c r="G396" s="4">
        <v>10402</v>
      </c>
      <c r="H396" s="4">
        <v>15</v>
      </c>
      <c r="I396" s="7">
        <v>46062</v>
      </c>
      <c r="J396" s="7">
        <v>46067</v>
      </c>
      <c r="K396" s="4" t="s">
        <v>49</v>
      </c>
      <c r="L396" s="4" t="str">
        <f t="shared" si="6"/>
        <v>Normal</v>
      </c>
    </row>
    <row r="397" spans="1:12" x14ac:dyDescent="0.3">
      <c r="A397" s="9">
        <v>1396</v>
      </c>
      <c r="B397" s="9" t="s">
        <v>25</v>
      </c>
      <c r="C397" s="4" t="s">
        <v>38</v>
      </c>
      <c r="D397" s="4" t="s">
        <v>20</v>
      </c>
      <c r="E397" s="4" t="s">
        <v>51</v>
      </c>
      <c r="F397" s="4">
        <v>8</v>
      </c>
      <c r="G397" s="4">
        <v>54</v>
      </c>
      <c r="H397" s="4">
        <v>15</v>
      </c>
      <c r="I397" s="7">
        <v>46031</v>
      </c>
      <c r="J397" s="7">
        <v>46035</v>
      </c>
      <c r="K397" s="4" t="s">
        <v>78</v>
      </c>
      <c r="L397" s="4" t="str">
        <f t="shared" si="6"/>
        <v>Normal</v>
      </c>
    </row>
    <row r="398" spans="1:12" x14ac:dyDescent="0.3">
      <c r="A398" s="9">
        <v>1397</v>
      </c>
      <c r="B398" s="9" t="s">
        <v>25</v>
      </c>
      <c r="C398" s="4" t="s">
        <v>33</v>
      </c>
      <c r="D398" s="4" t="s">
        <v>24</v>
      </c>
      <c r="E398" s="4" t="s">
        <v>10</v>
      </c>
      <c r="F398" s="4">
        <v>1</v>
      </c>
      <c r="G398" s="4">
        <v>8948</v>
      </c>
      <c r="H398" s="4">
        <v>5</v>
      </c>
      <c r="I398" s="7">
        <v>46194</v>
      </c>
      <c r="J398" s="7">
        <v>46201</v>
      </c>
      <c r="K398" s="4" t="s">
        <v>81</v>
      </c>
      <c r="L398" s="4" t="str">
        <f t="shared" si="6"/>
        <v>Normal</v>
      </c>
    </row>
    <row r="399" spans="1:12" x14ac:dyDescent="0.3">
      <c r="A399" s="9">
        <v>1398</v>
      </c>
      <c r="B399" s="9" t="s">
        <v>55</v>
      </c>
      <c r="C399" s="4" t="s">
        <v>42</v>
      </c>
      <c r="D399" s="4" t="s">
        <v>34</v>
      </c>
      <c r="E399" s="4" t="s">
        <v>5</v>
      </c>
      <c r="F399" s="4">
        <v>12</v>
      </c>
      <c r="G399" s="4">
        <v>10668</v>
      </c>
      <c r="H399" s="4">
        <v>0</v>
      </c>
      <c r="I399" s="7">
        <v>46170</v>
      </c>
      <c r="J399" s="7">
        <v>46176</v>
      </c>
      <c r="K399" s="4" t="s">
        <v>78</v>
      </c>
      <c r="L399" s="4" t="str">
        <f t="shared" si="6"/>
        <v>Normal</v>
      </c>
    </row>
    <row r="400" spans="1:12" x14ac:dyDescent="0.3">
      <c r="A400" s="9">
        <v>1399</v>
      </c>
      <c r="B400" s="9" t="s">
        <v>46</v>
      </c>
      <c r="C400" s="4" t="s">
        <v>31</v>
      </c>
      <c r="D400" s="4" t="s">
        <v>20</v>
      </c>
      <c r="E400" s="4" t="s">
        <v>21</v>
      </c>
      <c r="F400" s="4">
        <v>15</v>
      </c>
      <c r="G400" s="4">
        <v>87</v>
      </c>
      <c r="H400" s="4">
        <v>15</v>
      </c>
      <c r="I400" s="7">
        <v>46089</v>
      </c>
      <c r="J400" s="7">
        <v>46093</v>
      </c>
      <c r="K400" s="4" t="s">
        <v>79</v>
      </c>
      <c r="L400" s="4" t="str">
        <f t="shared" si="6"/>
        <v>Normal</v>
      </c>
    </row>
    <row r="401" spans="1:12" x14ac:dyDescent="0.3">
      <c r="A401" s="9">
        <v>1400</v>
      </c>
      <c r="B401" s="9" t="s">
        <v>39</v>
      </c>
      <c r="C401" s="4" t="s">
        <v>26</v>
      </c>
      <c r="D401" s="4" t="s">
        <v>34</v>
      </c>
      <c r="E401" s="4" t="s">
        <v>35</v>
      </c>
      <c r="F401" s="4">
        <v>13</v>
      </c>
      <c r="G401" s="4">
        <v>52411</v>
      </c>
      <c r="H401" s="4">
        <v>15</v>
      </c>
      <c r="I401" s="7">
        <v>46090</v>
      </c>
      <c r="J401" s="7">
        <v>46092</v>
      </c>
      <c r="K401" s="4" t="s">
        <v>79</v>
      </c>
      <c r="L401" s="4" t="str">
        <f t="shared" si="6"/>
        <v>Normal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3C85-8B0E-4B7E-8F56-1AD1D8B70CDC}">
  <dimension ref="A1:P401"/>
  <sheetViews>
    <sheetView workbookViewId="0">
      <pane ySplit="1" topLeftCell="A2" activePane="bottomLeft" state="frozen"/>
      <selection pane="bottomLeft" sqref="A1:M1"/>
    </sheetView>
  </sheetViews>
  <sheetFormatPr defaultRowHeight="14.4" x14ac:dyDescent="0.3"/>
  <cols>
    <col min="1" max="1" width="8.5546875" bestFit="1" customWidth="1"/>
    <col min="2" max="2" width="9.10937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.33203125" bestFit="1" customWidth="1"/>
    <col min="7" max="7" width="9.6640625" bestFit="1" customWidth="1"/>
    <col min="8" max="8" width="10.77734375" bestFit="1" customWidth="1"/>
    <col min="9" max="9" width="10.6640625" bestFit="1" customWidth="1"/>
    <col min="10" max="10" width="12.6640625" bestFit="1" customWidth="1"/>
    <col min="11" max="11" width="11" bestFit="1" customWidth="1"/>
    <col min="12" max="12" width="12.33203125" bestFit="1" customWidth="1"/>
    <col min="13" max="13" width="10.6640625" bestFit="1" customWidth="1"/>
    <col min="15" max="15" width="12.5546875" bestFit="1" customWidth="1"/>
    <col min="16" max="16" width="14.88671875" bestFit="1" customWidth="1"/>
  </cols>
  <sheetData>
    <row r="1" spans="1:16" x14ac:dyDescent="0.3">
      <c r="A1" s="11" t="s">
        <v>0</v>
      </c>
      <c r="B1" s="11" t="s">
        <v>13</v>
      </c>
      <c r="C1" s="10" t="s">
        <v>14</v>
      </c>
      <c r="D1" s="10" t="s">
        <v>15</v>
      </c>
      <c r="E1" s="10" t="s">
        <v>1</v>
      </c>
      <c r="F1" s="10" t="s">
        <v>4</v>
      </c>
      <c r="G1" s="10" t="s">
        <v>16</v>
      </c>
      <c r="H1" s="10" t="s">
        <v>17</v>
      </c>
      <c r="I1" s="10" t="s">
        <v>2</v>
      </c>
      <c r="J1" s="10" t="s">
        <v>3</v>
      </c>
      <c r="K1" s="13" t="s">
        <v>77</v>
      </c>
      <c r="L1" s="1" t="s">
        <v>65</v>
      </c>
      <c r="M1" s="1" t="s">
        <v>66</v>
      </c>
    </row>
    <row r="2" spans="1:16" x14ac:dyDescent="0.3">
      <c r="A2" s="9">
        <v>1001</v>
      </c>
      <c r="B2" s="9" t="s">
        <v>18</v>
      </c>
      <c r="C2" s="4" t="s">
        <v>19</v>
      </c>
      <c r="D2" s="4" t="s">
        <v>20</v>
      </c>
      <c r="E2" s="4" t="s">
        <v>21</v>
      </c>
      <c r="F2" s="4">
        <v>3</v>
      </c>
      <c r="G2" s="4">
        <v>222</v>
      </c>
      <c r="H2" s="4">
        <v>15</v>
      </c>
      <c r="I2" s="7">
        <v>46081</v>
      </c>
      <c r="J2" s="7">
        <v>46083</v>
      </c>
      <c r="K2" s="4" t="s">
        <v>78</v>
      </c>
      <c r="L2" s="16">
        <f>F2*G2*(1-H2/100)</f>
        <v>566.1</v>
      </c>
      <c r="M2" s="4" t="str" cm="1">
        <f t="array" ref="M2">_xlfn.IFS(L2&gt;=100000, "Excellent", L2&gt;=50000, "Very Good", L2&gt;=20000, "Good", L2&lt;20000, "Average")</f>
        <v>Average</v>
      </c>
    </row>
    <row r="3" spans="1:16" x14ac:dyDescent="0.3">
      <c r="A3" s="9">
        <v>1002</v>
      </c>
      <c r="B3" s="9" t="s">
        <v>22</v>
      </c>
      <c r="C3" s="4" t="s">
        <v>23</v>
      </c>
      <c r="D3" s="4" t="s">
        <v>24</v>
      </c>
      <c r="E3" s="4" t="s">
        <v>7</v>
      </c>
      <c r="F3" s="4">
        <v>7</v>
      </c>
      <c r="G3" s="4">
        <v>8448</v>
      </c>
      <c r="H3" s="4">
        <v>12</v>
      </c>
      <c r="I3" s="7">
        <v>46174</v>
      </c>
      <c r="J3" s="7">
        <v>46179</v>
      </c>
      <c r="K3" s="4" t="s">
        <v>79</v>
      </c>
      <c r="L3" s="16">
        <f>F3*G3*(1-H3/100)</f>
        <v>52039.68</v>
      </c>
      <c r="M3" s="4" t="str" cm="1">
        <f t="array" ref="M3">_xlfn.IFS(L3&gt;=100000, "Excellent", L3&gt;=50000, "Very Good", L3&gt;=20000, "Good", L3&lt;20000, "Average")</f>
        <v>Very Good</v>
      </c>
    </row>
    <row r="4" spans="1:16" x14ac:dyDescent="0.3">
      <c r="A4" s="9">
        <v>1003</v>
      </c>
      <c r="B4" s="9" t="s">
        <v>25</v>
      </c>
      <c r="C4" s="4" t="s">
        <v>26</v>
      </c>
      <c r="D4" s="4" t="s">
        <v>24</v>
      </c>
      <c r="E4" s="4" t="s">
        <v>10</v>
      </c>
      <c r="F4" s="4">
        <v>20</v>
      </c>
      <c r="G4" s="4">
        <v>2123</v>
      </c>
      <c r="H4" s="4">
        <v>15</v>
      </c>
      <c r="I4" s="7">
        <v>46183</v>
      </c>
      <c r="J4" s="7">
        <v>46192</v>
      </c>
      <c r="K4" s="4" t="s">
        <v>80</v>
      </c>
      <c r="L4" s="16">
        <f>F4*G4*(1-H4/100)</f>
        <v>36091</v>
      </c>
      <c r="M4" s="4" t="str" cm="1">
        <f t="array" ref="M4">_xlfn.IFS(L4&gt;=100000, "Excellent", L4&gt;=50000, "Very Good", L4&gt;=20000, "Good", L4&lt;20000, "Average")</f>
        <v>Good</v>
      </c>
    </row>
    <row r="5" spans="1:16" x14ac:dyDescent="0.3">
      <c r="A5" s="9">
        <v>1004</v>
      </c>
      <c r="B5" s="9" t="s">
        <v>22</v>
      </c>
      <c r="C5" s="4" t="s">
        <v>27</v>
      </c>
      <c r="D5" s="4" t="s">
        <v>24</v>
      </c>
      <c r="E5" s="4" t="s">
        <v>10</v>
      </c>
      <c r="F5" s="4">
        <v>16</v>
      </c>
      <c r="G5" s="4">
        <v>11739</v>
      </c>
      <c r="H5" s="4">
        <v>12</v>
      </c>
      <c r="I5" s="7">
        <v>46034</v>
      </c>
      <c r="J5" s="7">
        <v>46040</v>
      </c>
      <c r="K5" s="4" t="s">
        <v>79</v>
      </c>
      <c r="L5" s="16">
        <f>F5*G5*(1-H5/100)</f>
        <v>165285.12</v>
      </c>
      <c r="M5" s="4" t="str" cm="1">
        <f t="array" ref="M5">_xlfn.IFS(L5&gt;=100000, "Excellent", L5&gt;=50000, "Very Good", L5&gt;=20000, "Good", L5&lt;20000, "Average")</f>
        <v>Excellent</v>
      </c>
    </row>
    <row r="6" spans="1:16" x14ac:dyDescent="0.3">
      <c r="A6" s="9">
        <v>1005</v>
      </c>
      <c r="B6" s="9" t="s">
        <v>28</v>
      </c>
      <c r="C6" s="4" t="s">
        <v>23</v>
      </c>
      <c r="D6" s="4" t="s">
        <v>20</v>
      </c>
      <c r="E6" s="4" t="s">
        <v>21</v>
      </c>
      <c r="F6" s="4">
        <v>18</v>
      </c>
      <c r="G6" s="4">
        <v>70</v>
      </c>
      <c r="H6" s="4">
        <v>0</v>
      </c>
      <c r="I6" s="7">
        <v>46171</v>
      </c>
      <c r="J6" s="7">
        <v>46179</v>
      </c>
      <c r="K6" s="4" t="s">
        <v>80</v>
      </c>
      <c r="L6" s="16">
        <f>F6*G6*(1-H6/100)</f>
        <v>1260</v>
      </c>
      <c r="M6" s="4" t="str" cm="1">
        <f t="array" ref="M6">_xlfn.IFS(L6&gt;=100000, "Excellent", L6&gt;=50000, "Very Good", L6&gt;=20000, "Good", L6&lt;20000, "Average")</f>
        <v>Average</v>
      </c>
      <c r="O6" s="19" t="s">
        <v>87</v>
      </c>
      <c r="P6" t="s">
        <v>89</v>
      </c>
    </row>
    <row r="7" spans="1:16" x14ac:dyDescent="0.3">
      <c r="A7" s="9">
        <v>1006</v>
      </c>
      <c r="B7" s="9" t="s">
        <v>29</v>
      </c>
      <c r="C7" s="4" t="s">
        <v>27</v>
      </c>
      <c r="D7" s="4" t="s">
        <v>24</v>
      </c>
      <c r="E7" s="4" t="s">
        <v>8</v>
      </c>
      <c r="F7" s="4">
        <v>3</v>
      </c>
      <c r="G7" s="4">
        <v>2714</v>
      </c>
      <c r="H7" s="4">
        <v>5</v>
      </c>
      <c r="I7" s="7">
        <v>46055</v>
      </c>
      <c r="J7" s="7">
        <v>46062</v>
      </c>
      <c r="K7" s="4" t="s">
        <v>49</v>
      </c>
      <c r="L7" s="16">
        <f>F7*G7*(1-H7/100)</f>
        <v>7734.9</v>
      </c>
      <c r="M7" s="4" t="str" cm="1">
        <f t="array" ref="M7">_xlfn.IFS(L7&gt;=100000, "Excellent", L7&gt;=50000, "Very Good", L7&gt;=20000, "Good", L7&lt;20000, "Average")</f>
        <v>Average</v>
      </c>
      <c r="O7" s="20" t="s">
        <v>27</v>
      </c>
      <c r="P7" s="21">
        <v>591</v>
      </c>
    </row>
    <row r="8" spans="1:16" x14ac:dyDescent="0.3">
      <c r="A8" s="9">
        <v>1007</v>
      </c>
      <c r="B8" s="9" t="s">
        <v>25</v>
      </c>
      <c r="C8" s="4" t="s">
        <v>26</v>
      </c>
      <c r="D8" s="4" t="s">
        <v>20</v>
      </c>
      <c r="E8" s="4" t="s">
        <v>21</v>
      </c>
      <c r="F8" s="4">
        <v>19</v>
      </c>
      <c r="G8" s="4">
        <v>149</v>
      </c>
      <c r="H8" s="4">
        <v>7</v>
      </c>
      <c r="I8" s="7">
        <v>46162</v>
      </c>
      <c r="J8" s="7">
        <v>46168</v>
      </c>
      <c r="K8" s="4" t="s">
        <v>80</v>
      </c>
      <c r="L8" s="16">
        <f>F8*G8*(1-H8/100)</f>
        <v>2632.83</v>
      </c>
      <c r="M8" s="4" t="str" cm="1">
        <f t="array" ref="M8">_xlfn.IFS(L8&gt;=100000, "Excellent", L8&gt;=50000, "Very Good", L8&gt;=20000, "Good", L8&lt;20000, "Average")</f>
        <v>Average</v>
      </c>
      <c r="O8" s="20" t="s">
        <v>31</v>
      </c>
      <c r="P8" s="21">
        <v>546</v>
      </c>
    </row>
    <row r="9" spans="1:16" x14ac:dyDescent="0.3">
      <c r="A9" s="9">
        <v>1008</v>
      </c>
      <c r="B9" s="9" t="s">
        <v>30</v>
      </c>
      <c r="C9" s="4" t="s">
        <v>31</v>
      </c>
      <c r="D9" s="4" t="s">
        <v>24</v>
      </c>
      <c r="E9" s="4" t="s">
        <v>8</v>
      </c>
      <c r="F9" s="4">
        <v>1</v>
      </c>
      <c r="G9" s="4">
        <v>1134</v>
      </c>
      <c r="H9" s="4">
        <v>0</v>
      </c>
      <c r="I9" s="7">
        <v>46033</v>
      </c>
      <c r="J9" s="7">
        <v>46041</v>
      </c>
      <c r="K9" s="4" t="s">
        <v>80</v>
      </c>
      <c r="L9" s="16">
        <f>F9*G9*(1-H9/100)</f>
        <v>1134</v>
      </c>
      <c r="M9" s="4" t="str" cm="1">
        <f t="array" ref="M9">_xlfn.IFS(L9&gt;=100000, "Excellent", L9&gt;=50000, "Very Good", L9&gt;=20000, "Good", L9&lt;20000, "Average")</f>
        <v>Average</v>
      </c>
      <c r="O9" s="20" t="s">
        <v>38</v>
      </c>
      <c r="P9" s="21">
        <v>596</v>
      </c>
    </row>
    <row r="10" spans="1:16" x14ac:dyDescent="0.3">
      <c r="A10" s="9">
        <v>1009</v>
      </c>
      <c r="B10" s="9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7">
        <v>46183</v>
      </c>
      <c r="J10" s="7">
        <v>46193</v>
      </c>
      <c r="K10" s="4" t="s">
        <v>80</v>
      </c>
      <c r="L10" s="16">
        <f>F10*G10*(1-H10/100)</f>
        <v>357904.8</v>
      </c>
      <c r="M10" s="4" t="str" cm="1">
        <f t="array" ref="M10">_xlfn.IFS(L10&gt;=100000, "Excellent", L10&gt;=50000, "Very Good", L10&gt;=20000, "Good", L10&lt;20000, "Average")</f>
        <v>Excellent</v>
      </c>
      <c r="O10" s="20" t="s">
        <v>33</v>
      </c>
      <c r="P10" s="21">
        <v>459</v>
      </c>
    </row>
    <row r="11" spans="1:16" x14ac:dyDescent="0.3">
      <c r="A11" s="9">
        <v>1010</v>
      </c>
      <c r="B11" s="9" t="s">
        <v>18</v>
      </c>
      <c r="C11" s="4" t="s">
        <v>23</v>
      </c>
      <c r="D11" s="4" t="s">
        <v>20</v>
      </c>
      <c r="E11" s="4" t="s">
        <v>36</v>
      </c>
      <c r="F11" s="4">
        <v>14</v>
      </c>
      <c r="G11" s="4">
        <v>470</v>
      </c>
      <c r="H11" s="4">
        <v>5</v>
      </c>
      <c r="I11" s="7">
        <v>46062</v>
      </c>
      <c r="J11" s="7">
        <v>46068</v>
      </c>
      <c r="K11" s="4" t="s">
        <v>78</v>
      </c>
      <c r="L11" s="16">
        <f>F11*G11*(1-H11/100)</f>
        <v>6251</v>
      </c>
      <c r="M11" s="4" t="str" cm="1">
        <f t="array" ref="M11">_xlfn.IFS(L11&gt;=100000, "Excellent", L11&gt;=50000, "Very Good", L11&gt;=20000, "Good", L11&lt;20000, "Average")</f>
        <v>Average</v>
      </c>
      <c r="O11" s="20" t="s">
        <v>19</v>
      </c>
      <c r="P11" s="21">
        <v>511</v>
      </c>
    </row>
    <row r="12" spans="1:16" x14ac:dyDescent="0.3">
      <c r="A12" s="9">
        <v>1011</v>
      </c>
      <c r="B12" s="9" t="s">
        <v>18</v>
      </c>
      <c r="C12" s="4" t="s">
        <v>23</v>
      </c>
      <c r="D12" s="4" t="s">
        <v>20</v>
      </c>
      <c r="E12" s="4" t="s">
        <v>37</v>
      </c>
      <c r="F12" s="4">
        <v>14</v>
      </c>
      <c r="G12" s="4">
        <v>88</v>
      </c>
      <c r="H12" s="4">
        <v>12</v>
      </c>
      <c r="I12" s="7">
        <v>46161</v>
      </c>
      <c r="J12" s="7">
        <v>46163</v>
      </c>
      <c r="K12" s="4" t="s">
        <v>78</v>
      </c>
      <c r="L12" s="16">
        <f>F12*G12*(1-H12/100)</f>
        <v>1084.1600000000001</v>
      </c>
      <c r="M12" s="4" t="str" cm="1">
        <f t="array" ref="M12">_xlfn.IFS(L12&gt;=100000, "Excellent", L12&gt;=50000, "Very Good", L12&gt;=20000, "Good", L12&lt;20000, "Average")</f>
        <v>Average</v>
      </c>
      <c r="O12" s="20" t="s">
        <v>42</v>
      </c>
      <c r="P12" s="21">
        <v>575</v>
      </c>
    </row>
    <row r="13" spans="1:16" x14ac:dyDescent="0.3">
      <c r="A13" s="9">
        <v>1012</v>
      </c>
      <c r="B13" s="9" t="s">
        <v>28</v>
      </c>
      <c r="C13" s="4" t="s">
        <v>38</v>
      </c>
      <c r="D13" s="4" t="s">
        <v>34</v>
      </c>
      <c r="E13" s="4" t="s">
        <v>5</v>
      </c>
      <c r="F13" s="4">
        <v>3</v>
      </c>
      <c r="G13" s="4">
        <v>64615</v>
      </c>
      <c r="H13" s="4">
        <v>10</v>
      </c>
      <c r="I13" s="7">
        <v>46086</v>
      </c>
      <c r="J13" s="7">
        <v>46095</v>
      </c>
      <c r="K13" s="4" t="s">
        <v>49</v>
      </c>
      <c r="L13" s="16">
        <f>F13*G13*(1-H13/100)</f>
        <v>174460.5</v>
      </c>
      <c r="M13" s="4" t="str" cm="1">
        <f t="array" ref="M13">_xlfn.IFS(L13&gt;=100000, "Excellent", L13&gt;=50000, "Very Good", L13&gt;=20000, "Good", L13&lt;20000, "Average")</f>
        <v>Excellent</v>
      </c>
      <c r="O13" s="20" t="s">
        <v>26</v>
      </c>
      <c r="P13" s="21">
        <v>593</v>
      </c>
    </row>
    <row r="14" spans="1:16" x14ac:dyDescent="0.3">
      <c r="A14" s="9">
        <v>1013</v>
      </c>
      <c r="B14" s="9" t="s">
        <v>22</v>
      </c>
      <c r="C14" s="4" t="s">
        <v>31</v>
      </c>
      <c r="D14" s="4" t="s">
        <v>20</v>
      </c>
      <c r="E14" s="4" t="s">
        <v>36</v>
      </c>
      <c r="F14" s="4">
        <v>17</v>
      </c>
      <c r="G14" s="4">
        <v>459</v>
      </c>
      <c r="H14" s="4">
        <v>12</v>
      </c>
      <c r="I14" s="7">
        <v>46095</v>
      </c>
      <c r="J14" s="7">
        <v>46105</v>
      </c>
      <c r="K14" s="4" t="s">
        <v>49</v>
      </c>
      <c r="L14" s="16">
        <f>F14*G14*(1-H14/100)</f>
        <v>6866.64</v>
      </c>
      <c r="M14" s="4" t="str" cm="1">
        <f t="array" ref="M14">_xlfn.IFS(L14&gt;=100000, "Excellent", L14&gt;=50000, "Very Good", L14&gt;=20000, "Good", L14&lt;20000, "Average")</f>
        <v>Average</v>
      </c>
      <c r="O14" s="20" t="s">
        <v>23</v>
      </c>
      <c r="P14" s="21">
        <v>575</v>
      </c>
    </row>
    <row r="15" spans="1:16" x14ac:dyDescent="0.3">
      <c r="A15" s="9">
        <v>1014</v>
      </c>
      <c r="B15" s="9" t="s">
        <v>39</v>
      </c>
      <c r="C15" s="4" t="s">
        <v>23</v>
      </c>
      <c r="D15" s="4" t="s">
        <v>34</v>
      </c>
      <c r="E15" s="4" t="s">
        <v>40</v>
      </c>
      <c r="F15" s="4">
        <v>19</v>
      </c>
      <c r="G15" s="4">
        <v>53683</v>
      </c>
      <c r="H15" s="4">
        <v>12</v>
      </c>
      <c r="I15" s="7">
        <v>46129</v>
      </c>
      <c r="J15" s="7">
        <v>46134</v>
      </c>
      <c r="K15" s="4" t="s">
        <v>49</v>
      </c>
      <c r="L15" s="16">
        <f>F15*G15*(1-H15/100)</f>
        <v>897579.76</v>
      </c>
      <c r="M15" s="4" t="str" cm="1">
        <f t="array" ref="M15">_xlfn.IFS(L15&gt;=100000, "Excellent", L15&gt;=50000, "Very Good", L15&gt;=20000, "Good", L15&lt;20000, "Average")</f>
        <v>Excellent</v>
      </c>
      <c r="O15" s="20" t="s">
        <v>88</v>
      </c>
      <c r="P15" s="21">
        <v>4446</v>
      </c>
    </row>
    <row r="16" spans="1:16" x14ac:dyDescent="0.3">
      <c r="A16" s="9">
        <v>1015</v>
      </c>
      <c r="B16" s="9" t="s">
        <v>41</v>
      </c>
      <c r="C16" s="4" t="s">
        <v>42</v>
      </c>
      <c r="D16" s="4" t="s">
        <v>24</v>
      </c>
      <c r="E16" s="4" t="s">
        <v>43</v>
      </c>
      <c r="F16" s="4">
        <v>11</v>
      </c>
      <c r="G16" s="4">
        <v>14511</v>
      </c>
      <c r="H16" s="4">
        <v>2</v>
      </c>
      <c r="I16" s="7">
        <v>46175</v>
      </c>
      <c r="J16" s="7">
        <v>46185</v>
      </c>
      <c r="K16" s="4" t="s">
        <v>79</v>
      </c>
      <c r="L16" s="16">
        <f>F16*G16*(1-H16/100)</f>
        <v>156428.57999999999</v>
      </c>
      <c r="M16" s="4" t="str" cm="1">
        <f t="array" ref="M16">_xlfn.IFS(L16&gt;=100000, "Excellent", L16&gt;=50000, "Very Good", L16&gt;=20000, "Good", L16&lt;20000, "Average")</f>
        <v>Excellent</v>
      </c>
    </row>
    <row r="17" spans="1:13" x14ac:dyDescent="0.3">
      <c r="A17" s="9">
        <v>1016</v>
      </c>
      <c r="B17" s="9" t="s">
        <v>32</v>
      </c>
      <c r="C17" s="4" t="s">
        <v>33</v>
      </c>
      <c r="D17" s="4" t="s">
        <v>34</v>
      </c>
      <c r="E17" s="4" t="s">
        <v>6</v>
      </c>
      <c r="F17" s="4">
        <v>16</v>
      </c>
      <c r="G17" s="4">
        <v>30234</v>
      </c>
      <c r="H17" s="4">
        <v>15</v>
      </c>
      <c r="I17" s="7">
        <v>46137</v>
      </c>
      <c r="J17" s="7">
        <v>46140</v>
      </c>
      <c r="K17" s="4" t="s">
        <v>80</v>
      </c>
      <c r="L17" s="16">
        <f>F17*G17*(1-H17/100)</f>
        <v>411182.39999999997</v>
      </c>
      <c r="M17" s="4" t="str" cm="1">
        <f t="array" ref="M17">_xlfn.IFS(L17&gt;=100000, "Excellent", L17&gt;=50000, "Very Good", L17&gt;=20000, "Good", L17&lt;20000, "Average")</f>
        <v>Excellent</v>
      </c>
    </row>
    <row r="18" spans="1:13" x14ac:dyDescent="0.3">
      <c r="A18" s="9">
        <v>1017</v>
      </c>
      <c r="B18" s="9" t="s">
        <v>44</v>
      </c>
      <c r="C18" s="4" t="s">
        <v>38</v>
      </c>
      <c r="D18" s="4" t="s">
        <v>20</v>
      </c>
      <c r="E18" s="4" t="s">
        <v>36</v>
      </c>
      <c r="F18" s="4">
        <v>8</v>
      </c>
      <c r="G18" s="4">
        <v>179</v>
      </c>
      <c r="H18" s="4">
        <v>15</v>
      </c>
      <c r="I18" s="7">
        <v>46082</v>
      </c>
      <c r="J18" s="7">
        <v>46084</v>
      </c>
      <c r="K18" s="4" t="s">
        <v>78</v>
      </c>
      <c r="L18" s="16">
        <f>F18*G18*(1-H18/100)</f>
        <v>1217.2</v>
      </c>
      <c r="M18" s="4" t="str" cm="1">
        <f t="array" ref="M18">_xlfn.IFS(L18&gt;=100000, "Excellent", L18&gt;=50000, "Very Good", L18&gt;=20000, "Good", L18&lt;20000, "Average")</f>
        <v>Average</v>
      </c>
    </row>
    <row r="19" spans="1:13" x14ac:dyDescent="0.3">
      <c r="A19" s="9">
        <v>1018</v>
      </c>
      <c r="B19" s="9" t="s">
        <v>45</v>
      </c>
      <c r="C19" s="4" t="s">
        <v>27</v>
      </c>
      <c r="D19" s="4" t="s">
        <v>20</v>
      </c>
      <c r="E19" s="4" t="s">
        <v>21</v>
      </c>
      <c r="F19" s="4">
        <v>20</v>
      </c>
      <c r="G19" s="4">
        <v>301</v>
      </c>
      <c r="H19" s="4">
        <v>0</v>
      </c>
      <c r="I19" s="7">
        <v>46089</v>
      </c>
      <c r="J19" s="7">
        <v>46094</v>
      </c>
      <c r="K19" s="4" t="s">
        <v>49</v>
      </c>
      <c r="L19" s="16">
        <f>F19*G19*(1-H19/100)</f>
        <v>6020</v>
      </c>
      <c r="M19" s="4" t="str" cm="1">
        <f t="array" ref="M19">_xlfn.IFS(L19&gt;=100000, "Excellent", L19&gt;=50000, "Very Good", L19&gt;=20000, "Good", L19&lt;20000, "Average")</f>
        <v>Average</v>
      </c>
    </row>
    <row r="20" spans="1:13" x14ac:dyDescent="0.3">
      <c r="A20" s="9">
        <v>1019</v>
      </c>
      <c r="B20" s="9" t="s">
        <v>18</v>
      </c>
      <c r="C20" s="4" t="s">
        <v>42</v>
      </c>
      <c r="D20" s="4" t="s">
        <v>34</v>
      </c>
      <c r="E20" s="4" t="s">
        <v>40</v>
      </c>
      <c r="F20" s="4">
        <v>18</v>
      </c>
      <c r="G20" s="4">
        <v>45652</v>
      </c>
      <c r="H20" s="4">
        <v>10</v>
      </c>
      <c r="I20" s="7">
        <v>46023</v>
      </c>
      <c r="J20" s="7">
        <v>46030</v>
      </c>
      <c r="K20" s="4" t="s">
        <v>79</v>
      </c>
      <c r="L20" s="16">
        <f>F20*G20*(1-H20/100)</f>
        <v>739562.4</v>
      </c>
      <c r="M20" s="4" t="str" cm="1">
        <f t="array" ref="M20">_xlfn.IFS(L20&gt;=100000, "Excellent", L20&gt;=50000, "Very Good", L20&gt;=20000, "Good", L20&lt;20000, "Average")</f>
        <v>Excellent</v>
      </c>
    </row>
    <row r="21" spans="1:13" x14ac:dyDescent="0.3">
      <c r="A21" s="9">
        <v>1020</v>
      </c>
      <c r="B21" s="9" t="s">
        <v>44</v>
      </c>
      <c r="C21" s="4" t="s">
        <v>19</v>
      </c>
      <c r="D21" s="4" t="s">
        <v>24</v>
      </c>
      <c r="E21" s="4" t="s">
        <v>7</v>
      </c>
      <c r="F21" s="4">
        <v>5</v>
      </c>
      <c r="G21" s="4">
        <v>4582</v>
      </c>
      <c r="H21" s="4">
        <v>5</v>
      </c>
      <c r="I21" s="7">
        <v>46078</v>
      </c>
      <c r="J21" s="7">
        <v>46083</v>
      </c>
      <c r="K21" s="4" t="s">
        <v>78</v>
      </c>
      <c r="L21" s="16">
        <f>F21*G21*(1-H21/100)</f>
        <v>21764.5</v>
      </c>
      <c r="M21" s="4" t="str" cm="1">
        <f t="array" ref="M21">_xlfn.IFS(L21&gt;=100000, "Excellent", L21&gt;=50000, "Very Good", L21&gt;=20000, "Good", L21&lt;20000, "Average")</f>
        <v>Good</v>
      </c>
    </row>
    <row r="22" spans="1:13" x14ac:dyDescent="0.3">
      <c r="A22" s="9">
        <v>1021</v>
      </c>
      <c r="B22" s="9" t="s">
        <v>46</v>
      </c>
      <c r="C22" s="4" t="s">
        <v>42</v>
      </c>
      <c r="D22" s="4" t="s">
        <v>20</v>
      </c>
      <c r="E22" s="4" t="s">
        <v>21</v>
      </c>
      <c r="F22" s="4">
        <v>3</v>
      </c>
      <c r="G22" s="4">
        <v>484</v>
      </c>
      <c r="H22" s="4">
        <v>2</v>
      </c>
      <c r="I22" s="7">
        <v>46144</v>
      </c>
      <c r="J22" s="7">
        <v>46148</v>
      </c>
      <c r="K22" s="4" t="s">
        <v>80</v>
      </c>
      <c r="L22" s="16">
        <f>F22*G22*(1-H22/100)</f>
        <v>1422.96</v>
      </c>
      <c r="M22" s="4" t="str" cm="1">
        <f t="array" ref="M22">_xlfn.IFS(L22&gt;=100000, "Excellent", L22&gt;=50000, "Very Good", L22&gt;=20000, "Good", L22&lt;20000, "Average")</f>
        <v>Average</v>
      </c>
    </row>
    <row r="23" spans="1:13" x14ac:dyDescent="0.3">
      <c r="A23" s="9">
        <v>1022</v>
      </c>
      <c r="B23" s="9" t="s">
        <v>28</v>
      </c>
      <c r="C23" s="4" t="s">
        <v>23</v>
      </c>
      <c r="D23" s="4" t="s">
        <v>34</v>
      </c>
      <c r="E23" s="4" t="s">
        <v>6</v>
      </c>
      <c r="F23" s="4">
        <v>15</v>
      </c>
      <c r="G23" s="4">
        <v>11596</v>
      </c>
      <c r="H23" s="4">
        <v>0</v>
      </c>
      <c r="I23" s="7">
        <v>46117</v>
      </c>
      <c r="J23" s="7">
        <v>46121</v>
      </c>
      <c r="K23" s="4" t="s">
        <v>49</v>
      </c>
      <c r="L23" s="16">
        <f>F23*G23*(1-H23/100)</f>
        <v>173940</v>
      </c>
      <c r="M23" s="4" t="str" cm="1">
        <f t="array" ref="M23">_xlfn.IFS(L23&gt;=100000, "Excellent", L23&gt;=50000, "Very Good", L23&gt;=20000, "Good", L23&lt;20000, "Average")</f>
        <v>Excellent</v>
      </c>
    </row>
    <row r="24" spans="1:13" x14ac:dyDescent="0.3">
      <c r="A24" s="9">
        <v>1023</v>
      </c>
      <c r="B24" s="9" t="s">
        <v>39</v>
      </c>
      <c r="C24" s="4" t="s">
        <v>19</v>
      </c>
      <c r="D24" s="4" t="s">
        <v>24</v>
      </c>
      <c r="E24" s="4" t="s">
        <v>43</v>
      </c>
      <c r="F24" s="4">
        <v>15</v>
      </c>
      <c r="G24" s="4">
        <v>3506</v>
      </c>
      <c r="H24" s="4">
        <v>2</v>
      </c>
      <c r="I24" s="7">
        <v>46193</v>
      </c>
      <c r="J24" s="7">
        <v>46194</v>
      </c>
      <c r="K24" s="4" t="s">
        <v>49</v>
      </c>
      <c r="L24" s="16">
        <f>F24*G24*(1-H24/100)</f>
        <v>51538.2</v>
      </c>
      <c r="M24" s="4" t="str" cm="1">
        <f t="array" ref="M24">_xlfn.IFS(L24&gt;=100000, "Excellent", L24&gt;=50000, "Very Good", L24&gt;=20000, "Good", L24&lt;20000, "Average")</f>
        <v>Very Good</v>
      </c>
    </row>
    <row r="25" spans="1:13" x14ac:dyDescent="0.3">
      <c r="A25" s="9">
        <v>1024</v>
      </c>
      <c r="B25" s="9" t="s">
        <v>32</v>
      </c>
      <c r="C25" s="4" t="s">
        <v>38</v>
      </c>
      <c r="D25" s="4" t="s">
        <v>34</v>
      </c>
      <c r="E25" s="4" t="s">
        <v>40</v>
      </c>
      <c r="F25" s="4">
        <v>12</v>
      </c>
      <c r="G25" s="4">
        <v>1682</v>
      </c>
      <c r="H25" s="4">
        <v>5</v>
      </c>
      <c r="I25" s="7">
        <v>46161</v>
      </c>
      <c r="J25" s="7">
        <v>46165</v>
      </c>
      <c r="K25" s="4" t="s">
        <v>78</v>
      </c>
      <c r="L25" s="16">
        <f>F25*G25*(1-H25/100)</f>
        <v>19174.8</v>
      </c>
      <c r="M25" s="4" t="str" cm="1">
        <f t="array" ref="M25">_xlfn.IFS(L25&gt;=100000, "Excellent", L25&gt;=50000, "Very Good", L25&gt;=20000, "Good", L25&lt;20000, "Average")</f>
        <v>Average</v>
      </c>
    </row>
    <row r="26" spans="1:13" x14ac:dyDescent="0.3">
      <c r="A26" s="9">
        <v>1025</v>
      </c>
      <c r="B26" s="9" t="s">
        <v>25</v>
      </c>
      <c r="C26" s="4" t="s">
        <v>19</v>
      </c>
      <c r="D26" s="4" t="s">
        <v>24</v>
      </c>
      <c r="E26" s="4" t="s">
        <v>7</v>
      </c>
      <c r="F26" s="4">
        <v>18</v>
      </c>
      <c r="G26" s="4">
        <v>7924</v>
      </c>
      <c r="H26" s="4">
        <v>0</v>
      </c>
      <c r="I26" s="7">
        <v>46175</v>
      </c>
      <c r="J26" s="7">
        <v>46181</v>
      </c>
      <c r="K26" s="4" t="s">
        <v>78</v>
      </c>
      <c r="L26" s="16">
        <f>F26*G26*(1-H26/100)</f>
        <v>142632</v>
      </c>
      <c r="M26" s="4" t="str" cm="1">
        <f t="array" ref="M26">_xlfn.IFS(L26&gt;=100000, "Excellent", L26&gt;=50000, "Very Good", L26&gt;=20000, "Good", L26&lt;20000, "Average")</f>
        <v>Excellent</v>
      </c>
    </row>
    <row r="27" spans="1:13" x14ac:dyDescent="0.3">
      <c r="A27" s="9">
        <v>1026</v>
      </c>
      <c r="B27" s="9" t="s">
        <v>47</v>
      </c>
      <c r="C27" s="4" t="s">
        <v>31</v>
      </c>
      <c r="D27" s="4" t="s">
        <v>20</v>
      </c>
      <c r="E27" s="4" t="s">
        <v>48</v>
      </c>
      <c r="F27" s="4">
        <v>17</v>
      </c>
      <c r="G27" s="4">
        <v>323</v>
      </c>
      <c r="H27" s="4">
        <v>10</v>
      </c>
      <c r="I27" s="7">
        <v>46039</v>
      </c>
      <c r="J27" s="7">
        <v>46040</v>
      </c>
      <c r="K27" s="4" t="s">
        <v>49</v>
      </c>
      <c r="L27" s="16">
        <f>F27*G27*(1-H27/100)</f>
        <v>4941.9000000000005</v>
      </c>
      <c r="M27" s="4" t="str" cm="1">
        <f t="array" ref="M27">_xlfn.IFS(L27&gt;=100000, "Excellent", L27&gt;=50000, "Very Good", L27&gt;=20000, "Good", L27&lt;20000, "Average")</f>
        <v>Average</v>
      </c>
    </row>
    <row r="28" spans="1:13" x14ac:dyDescent="0.3">
      <c r="A28" s="9">
        <v>1027</v>
      </c>
      <c r="B28" s="9" t="s">
        <v>49</v>
      </c>
      <c r="C28" s="4" t="s">
        <v>42</v>
      </c>
      <c r="D28" s="4" t="s">
        <v>20</v>
      </c>
      <c r="E28" s="4" t="s">
        <v>48</v>
      </c>
      <c r="F28" s="4">
        <v>4</v>
      </c>
      <c r="G28" s="4">
        <v>264</v>
      </c>
      <c r="H28" s="4">
        <v>0</v>
      </c>
      <c r="I28" s="7">
        <v>46155</v>
      </c>
      <c r="J28" s="7">
        <v>46161</v>
      </c>
      <c r="K28" s="4" t="s">
        <v>81</v>
      </c>
      <c r="L28" s="16">
        <f>F28*G28*(1-H28/100)</f>
        <v>1056</v>
      </c>
      <c r="M28" s="4" t="str" cm="1">
        <f t="array" ref="M28">_xlfn.IFS(L28&gt;=100000, "Excellent", L28&gt;=50000, "Very Good", L28&gt;=20000, "Good", L28&lt;20000, "Average")</f>
        <v>Average</v>
      </c>
    </row>
    <row r="29" spans="1:13" x14ac:dyDescent="0.3">
      <c r="A29" s="9">
        <v>1028</v>
      </c>
      <c r="B29" s="9" t="s">
        <v>45</v>
      </c>
      <c r="C29" s="4" t="s">
        <v>26</v>
      </c>
      <c r="D29" s="4" t="s">
        <v>20</v>
      </c>
      <c r="E29" s="4" t="s">
        <v>36</v>
      </c>
      <c r="F29" s="4">
        <v>13</v>
      </c>
      <c r="G29" s="4">
        <v>433</v>
      </c>
      <c r="H29" s="4">
        <v>2</v>
      </c>
      <c r="I29" s="7">
        <v>46116</v>
      </c>
      <c r="J29" s="7">
        <v>46121</v>
      </c>
      <c r="K29" s="4" t="s">
        <v>80</v>
      </c>
      <c r="L29" s="16">
        <f>F29*G29*(1-H29/100)</f>
        <v>5516.42</v>
      </c>
      <c r="M29" s="4" t="str" cm="1">
        <f t="array" ref="M29">_xlfn.IFS(L29&gt;=100000, "Excellent", L29&gt;=50000, "Very Good", L29&gt;=20000, "Good", L29&lt;20000, "Average")</f>
        <v>Average</v>
      </c>
    </row>
    <row r="30" spans="1:13" x14ac:dyDescent="0.3">
      <c r="A30" s="9">
        <v>1029</v>
      </c>
      <c r="B30" s="9" t="s">
        <v>30</v>
      </c>
      <c r="C30" s="4" t="s">
        <v>27</v>
      </c>
      <c r="D30" s="4" t="s">
        <v>20</v>
      </c>
      <c r="E30" s="4" t="s">
        <v>36</v>
      </c>
      <c r="F30" s="4">
        <v>18</v>
      </c>
      <c r="G30" s="4">
        <v>443</v>
      </c>
      <c r="H30" s="4">
        <v>5</v>
      </c>
      <c r="I30" s="7">
        <v>46046</v>
      </c>
      <c r="J30" s="7">
        <v>46054</v>
      </c>
      <c r="K30" s="4" t="s">
        <v>80</v>
      </c>
      <c r="L30" s="16">
        <f>F30*G30*(1-H30/100)</f>
        <v>7575.2999999999993</v>
      </c>
      <c r="M30" s="4" t="str" cm="1">
        <f t="array" ref="M30">_xlfn.IFS(L30&gt;=100000, "Excellent", L30&gt;=50000, "Very Good", L30&gt;=20000, "Good", L30&lt;20000, "Average")</f>
        <v>Average</v>
      </c>
    </row>
    <row r="31" spans="1:13" x14ac:dyDescent="0.3">
      <c r="A31" s="9">
        <v>1030</v>
      </c>
      <c r="B31" s="9" t="s">
        <v>50</v>
      </c>
      <c r="C31" s="4" t="s">
        <v>19</v>
      </c>
      <c r="D31" s="4" t="s">
        <v>20</v>
      </c>
      <c r="E31" s="4" t="s">
        <v>51</v>
      </c>
      <c r="F31" s="4">
        <v>13</v>
      </c>
      <c r="G31" s="4">
        <v>336</v>
      </c>
      <c r="H31" s="4">
        <v>10</v>
      </c>
      <c r="I31" s="7">
        <v>46098</v>
      </c>
      <c r="J31" s="7">
        <v>46108</v>
      </c>
      <c r="K31" s="4" t="s">
        <v>78</v>
      </c>
      <c r="L31" s="16">
        <f>F31*G31*(1-H31/100)</f>
        <v>3931.2000000000003</v>
      </c>
      <c r="M31" s="4" t="str" cm="1">
        <f t="array" ref="M31">_xlfn.IFS(L31&gt;=100000, "Excellent", L31&gt;=50000, "Very Good", L31&gt;=20000, "Good", L31&lt;20000, "Average")</f>
        <v>Average</v>
      </c>
    </row>
    <row r="32" spans="1:13" x14ac:dyDescent="0.3">
      <c r="A32" s="9">
        <v>1031</v>
      </c>
      <c r="B32" s="9" t="s">
        <v>52</v>
      </c>
      <c r="C32" s="4" t="s">
        <v>31</v>
      </c>
      <c r="D32" s="4" t="s">
        <v>20</v>
      </c>
      <c r="E32" s="4" t="s">
        <v>51</v>
      </c>
      <c r="F32" s="4">
        <v>2</v>
      </c>
      <c r="G32" s="4">
        <v>184</v>
      </c>
      <c r="H32" s="4">
        <v>5</v>
      </c>
      <c r="I32" s="7">
        <v>46089</v>
      </c>
      <c r="J32" s="7">
        <v>46093</v>
      </c>
      <c r="K32" s="4" t="s">
        <v>79</v>
      </c>
      <c r="L32" s="16">
        <f>F32*G32*(1-H32/100)</f>
        <v>349.59999999999997</v>
      </c>
      <c r="M32" s="4" t="str" cm="1">
        <f t="array" ref="M32">_xlfn.IFS(L32&gt;=100000, "Excellent", L32&gt;=50000, "Very Good", L32&gt;=20000, "Good", L32&lt;20000, "Average")</f>
        <v>Average</v>
      </c>
    </row>
    <row r="33" spans="1:13" x14ac:dyDescent="0.3">
      <c r="A33" s="9">
        <v>1032</v>
      </c>
      <c r="B33" s="9" t="s">
        <v>52</v>
      </c>
      <c r="C33" s="4" t="s">
        <v>42</v>
      </c>
      <c r="D33" s="4" t="s">
        <v>34</v>
      </c>
      <c r="E33" s="4" t="s">
        <v>5</v>
      </c>
      <c r="F33" s="4">
        <v>20</v>
      </c>
      <c r="G33" s="4">
        <v>11305</v>
      </c>
      <c r="H33" s="4">
        <v>2</v>
      </c>
      <c r="I33" s="7">
        <v>46163</v>
      </c>
      <c r="J33" s="7">
        <v>46165</v>
      </c>
      <c r="K33" s="4" t="s">
        <v>49</v>
      </c>
      <c r="L33" s="16">
        <f>F33*G33*(1-H33/100)</f>
        <v>221578</v>
      </c>
      <c r="M33" s="4" t="str" cm="1">
        <f t="array" ref="M33">_xlfn.IFS(L33&gt;=100000, "Excellent", L33&gt;=50000, "Very Good", L33&gt;=20000, "Good", L33&lt;20000, "Average")</f>
        <v>Excellent</v>
      </c>
    </row>
    <row r="34" spans="1:13" x14ac:dyDescent="0.3">
      <c r="A34" s="9">
        <v>1033</v>
      </c>
      <c r="B34" s="9" t="s">
        <v>18</v>
      </c>
      <c r="C34" s="4" t="s">
        <v>42</v>
      </c>
      <c r="D34" s="4" t="s">
        <v>24</v>
      </c>
      <c r="E34" s="4" t="s">
        <v>7</v>
      </c>
      <c r="F34" s="4">
        <v>9</v>
      </c>
      <c r="G34" s="4">
        <v>4895</v>
      </c>
      <c r="H34" s="4">
        <v>2</v>
      </c>
      <c r="I34" s="7">
        <v>46082</v>
      </c>
      <c r="J34" s="7">
        <v>46084</v>
      </c>
      <c r="K34" s="4" t="s">
        <v>49</v>
      </c>
      <c r="L34" s="16">
        <f>F34*G34*(1-H34/100)</f>
        <v>43173.9</v>
      </c>
      <c r="M34" s="4" t="str" cm="1">
        <f t="array" ref="M34">_xlfn.IFS(L34&gt;=100000, "Excellent", L34&gt;=50000, "Very Good", L34&gt;=20000, "Good", L34&lt;20000, "Average")</f>
        <v>Good</v>
      </c>
    </row>
    <row r="35" spans="1:13" x14ac:dyDescent="0.3">
      <c r="A35" s="9">
        <v>1034</v>
      </c>
      <c r="B35" s="9" t="s">
        <v>53</v>
      </c>
      <c r="C35" s="4" t="s">
        <v>33</v>
      </c>
      <c r="D35" s="4" t="s">
        <v>24</v>
      </c>
      <c r="E35" s="4" t="s">
        <v>8</v>
      </c>
      <c r="F35" s="4">
        <v>17</v>
      </c>
      <c r="G35" s="4">
        <v>5104</v>
      </c>
      <c r="H35" s="4">
        <v>12</v>
      </c>
      <c r="I35" s="7">
        <v>46052</v>
      </c>
      <c r="J35" s="7">
        <v>46061</v>
      </c>
      <c r="K35" s="4" t="s">
        <v>81</v>
      </c>
      <c r="L35" s="16">
        <f>F35*G35*(1-H35/100)</f>
        <v>76355.839999999997</v>
      </c>
      <c r="M35" s="4" t="str" cm="1">
        <f t="array" ref="M35">_xlfn.IFS(L35&gt;=100000, "Excellent", L35&gt;=50000, "Very Good", L35&gt;=20000, "Good", L35&lt;20000, "Average")</f>
        <v>Very Good</v>
      </c>
    </row>
    <row r="36" spans="1:13" x14ac:dyDescent="0.3">
      <c r="A36" s="9">
        <v>1035</v>
      </c>
      <c r="B36" s="9" t="s">
        <v>47</v>
      </c>
      <c r="C36" s="4" t="s">
        <v>42</v>
      </c>
      <c r="D36" s="4" t="s">
        <v>24</v>
      </c>
      <c r="E36" s="4" t="s">
        <v>11</v>
      </c>
      <c r="F36" s="4">
        <v>3</v>
      </c>
      <c r="G36" s="4">
        <v>9149</v>
      </c>
      <c r="H36" s="4">
        <v>0</v>
      </c>
      <c r="I36" s="7">
        <v>46031</v>
      </c>
      <c r="J36" s="7">
        <v>46034</v>
      </c>
      <c r="K36" s="4" t="s">
        <v>80</v>
      </c>
      <c r="L36" s="16">
        <f>F36*G36*(1-H36/100)</f>
        <v>27447</v>
      </c>
      <c r="M36" s="4" t="str" cm="1">
        <f t="array" ref="M36">_xlfn.IFS(L36&gt;=100000, "Excellent", L36&gt;=50000, "Very Good", L36&gt;=20000, "Good", L36&lt;20000, "Average")</f>
        <v>Good</v>
      </c>
    </row>
    <row r="37" spans="1:13" x14ac:dyDescent="0.3">
      <c r="A37" s="9">
        <v>1036</v>
      </c>
      <c r="B37" s="9" t="s">
        <v>18</v>
      </c>
      <c r="C37" s="4" t="s">
        <v>27</v>
      </c>
      <c r="D37" s="4" t="s">
        <v>20</v>
      </c>
      <c r="E37" s="4" t="s">
        <v>36</v>
      </c>
      <c r="F37" s="4">
        <v>20</v>
      </c>
      <c r="G37" s="4">
        <v>161</v>
      </c>
      <c r="H37" s="4">
        <v>7</v>
      </c>
      <c r="I37" s="7">
        <v>46071</v>
      </c>
      <c r="J37" s="7">
        <v>46077</v>
      </c>
      <c r="K37" s="4" t="s">
        <v>80</v>
      </c>
      <c r="L37" s="16">
        <f>F37*G37*(1-H37/100)</f>
        <v>2994.6</v>
      </c>
      <c r="M37" s="4" t="str" cm="1">
        <f t="array" ref="M37">_xlfn.IFS(L37&gt;=100000, "Excellent", L37&gt;=50000, "Very Good", L37&gt;=20000, "Good", L37&lt;20000, "Average")</f>
        <v>Average</v>
      </c>
    </row>
    <row r="38" spans="1:13" x14ac:dyDescent="0.3">
      <c r="A38" s="9">
        <v>1037</v>
      </c>
      <c r="B38" s="9" t="s">
        <v>44</v>
      </c>
      <c r="C38" s="4" t="s">
        <v>42</v>
      </c>
      <c r="D38" s="4" t="s">
        <v>24</v>
      </c>
      <c r="E38" s="4" t="s">
        <v>11</v>
      </c>
      <c r="F38" s="4">
        <v>6</v>
      </c>
      <c r="G38" s="4">
        <v>14385</v>
      </c>
      <c r="H38" s="4">
        <v>12</v>
      </c>
      <c r="I38" s="7">
        <v>46033</v>
      </c>
      <c r="J38" s="7">
        <v>46043</v>
      </c>
      <c r="K38" s="4" t="s">
        <v>80</v>
      </c>
      <c r="L38" s="16">
        <f>F38*G38*(1-H38/100)</f>
        <v>75952.800000000003</v>
      </c>
      <c r="M38" s="4" t="str" cm="1">
        <f t="array" ref="M38">_xlfn.IFS(L38&gt;=100000, "Excellent", L38&gt;=50000, "Very Good", L38&gt;=20000, "Good", L38&lt;20000, "Average")</f>
        <v>Very Good</v>
      </c>
    </row>
    <row r="39" spans="1:13" x14ac:dyDescent="0.3">
      <c r="A39" s="9">
        <v>1038</v>
      </c>
      <c r="B39" s="9" t="s">
        <v>53</v>
      </c>
      <c r="C39" s="4" t="s">
        <v>23</v>
      </c>
      <c r="D39" s="4" t="s">
        <v>20</v>
      </c>
      <c r="E39" s="4" t="s">
        <v>36</v>
      </c>
      <c r="F39" s="4">
        <v>17</v>
      </c>
      <c r="G39" s="4">
        <v>223</v>
      </c>
      <c r="H39" s="4">
        <v>7</v>
      </c>
      <c r="I39" s="7">
        <v>46030</v>
      </c>
      <c r="J39" s="7">
        <v>46031</v>
      </c>
      <c r="K39" s="4" t="s">
        <v>81</v>
      </c>
      <c r="L39" s="16">
        <f>F39*G39*(1-H39/100)</f>
        <v>3525.6299999999997</v>
      </c>
      <c r="M39" s="4" t="str" cm="1">
        <f t="array" ref="M39">_xlfn.IFS(L39&gt;=100000, "Excellent", L39&gt;=50000, "Very Good", L39&gt;=20000, "Good", L39&lt;20000, "Average")</f>
        <v>Average</v>
      </c>
    </row>
    <row r="40" spans="1:13" x14ac:dyDescent="0.3">
      <c r="A40" s="9">
        <v>1039</v>
      </c>
      <c r="B40" s="9" t="s">
        <v>46</v>
      </c>
      <c r="C40" s="4" t="s">
        <v>38</v>
      </c>
      <c r="D40" s="4" t="s">
        <v>34</v>
      </c>
      <c r="E40" s="4" t="s">
        <v>6</v>
      </c>
      <c r="F40" s="4">
        <v>5</v>
      </c>
      <c r="G40" s="4">
        <v>60236</v>
      </c>
      <c r="H40" s="4">
        <v>10</v>
      </c>
      <c r="I40" s="7">
        <v>46107</v>
      </c>
      <c r="J40" s="7">
        <v>46110</v>
      </c>
      <c r="K40" s="4" t="s">
        <v>79</v>
      </c>
      <c r="L40" s="16">
        <f>F40*G40*(1-H40/100)</f>
        <v>271062</v>
      </c>
      <c r="M40" s="4" t="str" cm="1">
        <f t="array" ref="M40">_xlfn.IFS(L40&gt;=100000, "Excellent", L40&gt;=50000, "Very Good", L40&gt;=20000, "Good", L40&lt;20000, "Average")</f>
        <v>Excellent</v>
      </c>
    </row>
    <row r="41" spans="1:13" x14ac:dyDescent="0.3">
      <c r="A41" s="9">
        <v>1040</v>
      </c>
      <c r="B41" s="9" t="s">
        <v>47</v>
      </c>
      <c r="C41" s="4" t="s">
        <v>38</v>
      </c>
      <c r="D41" s="4" t="s">
        <v>24</v>
      </c>
      <c r="E41" s="4" t="s">
        <v>8</v>
      </c>
      <c r="F41" s="4">
        <v>10</v>
      </c>
      <c r="G41" s="4">
        <v>7531</v>
      </c>
      <c r="H41" s="4">
        <v>2</v>
      </c>
      <c r="I41" s="7">
        <v>46171</v>
      </c>
      <c r="J41" s="7">
        <v>46178</v>
      </c>
      <c r="K41" s="4" t="s">
        <v>80</v>
      </c>
      <c r="L41" s="16">
        <f>F41*G41*(1-H41/100)</f>
        <v>73803.8</v>
      </c>
      <c r="M41" s="4" t="str" cm="1">
        <f t="array" ref="M41">_xlfn.IFS(L41&gt;=100000, "Excellent", L41&gt;=50000, "Very Good", L41&gt;=20000, "Good", L41&lt;20000, "Average")</f>
        <v>Very Good</v>
      </c>
    </row>
    <row r="42" spans="1:13" x14ac:dyDescent="0.3">
      <c r="A42" s="9">
        <v>1041</v>
      </c>
      <c r="B42" s="9" t="s">
        <v>52</v>
      </c>
      <c r="C42" s="4" t="s">
        <v>38</v>
      </c>
      <c r="D42" s="4" t="s">
        <v>20</v>
      </c>
      <c r="E42" s="4" t="s">
        <v>48</v>
      </c>
      <c r="F42" s="4">
        <v>9</v>
      </c>
      <c r="G42" s="4">
        <v>71</v>
      </c>
      <c r="H42" s="4">
        <v>7</v>
      </c>
      <c r="I42" s="7">
        <v>46185</v>
      </c>
      <c r="J42" s="7">
        <v>46188</v>
      </c>
      <c r="K42" s="4" t="s">
        <v>78</v>
      </c>
      <c r="L42" s="16">
        <f>F42*G42*(1-H42/100)</f>
        <v>594.27</v>
      </c>
      <c r="M42" s="4" t="str" cm="1">
        <f t="array" ref="M42">_xlfn.IFS(L42&gt;=100000, "Excellent", L42&gt;=50000, "Very Good", L42&gt;=20000, "Good", L42&lt;20000, "Average")</f>
        <v>Average</v>
      </c>
    </row>
    <row r="43" spans="1:13" x14ac:dyDescent="0.3">
      <c r="A43" s="9">
        <v>1042</v>
      </c>
      <c r="B43" s="9" t="s">
        <v>44</v>
      </c>
      <c r="C43" s="4" t="s">
        <v>33</v>
      </c>
      <c r="D43" s="4" t="s">
        <v>20</v>
      </c>
      <c r="E43" s="4" t="s">
        <v>51</v>
      </c>
      <c r="F43" s="4">
        <v>16</v>
      </c>
      <c r="G43" s="4">
        <v>232</v>
      </c>
      <c r="H43" s="4">
        <v>0</v>
      </c>
      <c r="I43" s="7">
        <v>46081</v>
      </c>
      <c r="J43" s="7">
        <v>46088</v>
      </c>
      <c r="K43" s="4" t="s">
        <v>49</v>
      </c>
      <c r="L43" s="16">
        <f>F43*G43*(1-H43/100)</f>
        <v>3712</v>
      </c>
      <c r="M43" s="4" t="str" cm="1">
        <f t="array" ref="M43">_xlfn.IFS(L43&gt;=100000, "Excellent", L43&gt;=50000, "Very Good", L43&gt;=20000, "Good", L43&lt;20000, "Average")</f>
        <v>Average</v>
      </c>
    </row>
    <row r="44" spans="1:13" x14ac:dyDescent="0.3">
      <c r="A44" s="9">
        <v>1043</v>
      </c>
      <c r="B44" s="9" t="s">
        <v>47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7">
        <v>46091</v>
      </c>
      <c r="J44" s="7">
        <v>46098</v>
      </c>
      <c r="K44" s="4" t="s">
        <v>49</v>
      </c>
      <c r="L44" s="16">
        <f>F44*G44*(1-H44/100)</f>
        <v>875767</v>
      </c>
      <c r="M44" s="4" t="str" cm="1">
        <f t="array" ref="M44">_xlfn.IFS(L44&gt;=100000, "Excellent", L44&gt;=50000, "Very Good", L44&gt;=20000, "Good", L44&lt;20000, "Average")</f>
        <v>Excellent</v>
      </c>
    </row>
    <row r="45" spans="1:13" x14ac:dyDescent="0.3">
      <c r="A45" s="9">
        <v>1044</v>
      </c>
      <c r="B45" s="9" t="s">
        <v>46</v>
      </c>
      <c r="C45" s="4" t="s">
        <v>38</v>
      </c>
      <c r="D45" s="4" t="s">
        <v>24</v>
      </c>
      <c r="E45" s="4" t="s">
        <v>7</v>
      </c>
      <c r="F45" s="4">
        <v>4</v>
      </c>
      <c r="G45" s="4">
        <v>14731</v>
      </c>
      <c r="H45" s="4">
        <v>2</v>
      </c>
      <c r="I45" s="7">
        <v>46173</v>
      </c>
      <c r="J45" s="7">
        <v>46176</v>
      </c>
      <c r="K45" s="4" t="s">
        <v>79</v>
      </c>
      <c r="L45" s="16">
        <f>F45*G45*(1-H45/100)</f>
        <v>57745.52</v>
      </c>
      <c r="M45" s="4" t="str" cm="1">
        <f t="array" ref="M45">_xlfn.IFS(L45&gt;=100000, "Excellent", L45&gt;=50000, "Very Good", L45&gt;=20000, "Good", L45&lt;20000, "Average")</f>
        <v>Very Good</v>
      </c>
    </row>
    <row r="46" spans="1:13" x14ac:dyDescent="0.3">
      <c r="A46" s="9">
        <v>1045</v>
      </c>
      <c r="B46" s="9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7">
        <v>46038</v>
      </c>
      <c r="J46" s="7">
        <v>46039</v>
      </c>
      <c r="K46" s="4" t="s">
        <v>49</v>
      </c>
      <c r="L46" s="16">
        <f>F46*G46*(1-H46/100)</f>
        <v>175105.97999999998</v>
      </c>
      <c r="M46" s="4" t="str" cm="1">
        <f t="array" ref="M46">_xlfn.IFS(L46&gt;=100000, "Excellent", L46&gt;=50000, "Very Good", L46&gt;=20000, "Good", L46&lt;20000, "Average")</f>
        <v>Excellent</v>
      </c>
    </row>
    <row r="47" spans="1:13" x14ac:dyDescent="0.3">
      <c r="A47" s="9">
        <v>1046</v>
      </c>
      <c r="B47" s="9" t="s">
        <v>54</v>
      </c>
      <c r="C47" s="4" t="s">
        <v>38</v>
      </c>
      <c r="D47" s="4" t="s">
        <v>34</v>
      </c>
      <c r="E47" s="4" t="s">
        <v>6</v>
      </c>
      <c r="F47" s="4">
        <v>3</v>
      </c>
      <c r="G47" s="4">
        <v>19443</v>
      </c>
      <c r="H47" s="4">
        <v>10</v>
      </c>
      <c r="I47" s="7">
        <v>46153</v>
      </c>
      <c r="J47" s="7">
        <v>46158</v>
      </c>
      <c r="K47" s="4" t="s">
        <v>49</v>
      </c>
      <c r="L47" s="16">
        <f>F47*G47*(1-H47/100)</f>
        <v>52496.1</v>
      </c>
      <c r="M47" s="4" t="str" cm="1">
        <f t="array" ref="M47">_xlfn.IFS(L47&gt;=100000, "Excellent", L47&gt;=50000, "Very Good", L47&gt;=20000, "Good", L47&lt;20000, "Average")</f>
        <v>Very Good</v>
      </c>
    </row>
    <row r="48" spans="1:13" x14ac:dyDescent="0.3">
      <c r="A48" s="9">
        <v>1047</v>
      </c>
      <c r="B48" s="9" t="s">
        <v>55</v>
      </c>
      <c r="C48" s="4" t="s">
        <v>38</v>
      </c>
      <c r="D48" s="4" t="s">
        <v>24</v>
      </c>
      <c r="E48" s="4" t="s">
        <v>11</v>
      </c>
      <c r="F48" s="4">
        <v>11</v>
      </c>
      <c r="G48" s="4">
        <v>9976</v>
      </c>
      <c r="H48" s="4">
        <v>12</v>
      </c>
      <c r="I48" s="7">
        <v>46200</v>
      </c>
      <c r="J48" s="7">
        <v>46209</v>
      </c>
      <c r="K48" s="4" t="s">
        <v>78</v>
      </c>
      <c r="L48" s="16">
        <f>F48*G48*(1-H48/100)</f>
        <v>96567.680000000008</v>
      </c>
      <c r="M48" s="4" t="str" cm="1">
        <f t="array" ref="M48">_xlfn.IFS(L48&gt;=100000, "Excellent", L48&gt;=50000, "Very Good", L48&gt;=20000, "Good", L48&lt;20000, "Average")</f>
        <v>Very Good</v>
      </c>
    </row>
    <row r="49" spans="1:13" x14ac:dyDescent="0.3">
      <c r="A49" s="9">
        <v>1048</v>
      </c>
      <c r="B49" s="9" t="s">
        <v>56</v>
      </c>
      <c r="C49" s="4" t="s">
        <v>27</v>
      </c>
      <c r="D49" s="4" t="s">
        <v>34</v>
      </c>
      <c r="E49" s="4" t="s">
        <v>9</v>
      </c>
      <c r="F49" s="4">
        <v>14</v>
      </c>
      <c r="G49" s="4">
        <v>11762</v>
      </c>
      <c r="H49" s="4">
        <v>7</v>
      </c>
      <c r="I49" s="7">
        <v>46180</v>
      </c>
      <c r="J49" s="7">
        <v>46186</v>
      </c>
      <c r="K49" s="4" t="s">
        <v>80</v>
      </c>
      <c r="L49" s="16">
        <f>F49*G49*(1-H49/100)</f>
        <v>153141.24</v>
      </c>
      <c r="M49" s="4" t="str" cm="1">
        <f t="array" ref="M49">_xlfn.IFS(L49&gt;=100000, "Excellent", L49&gt;=50000, "Very Good", L49&gt;=20000, "Good", L49&lt;20000, "Average")</f>
        <v>Excellent</v>
      </c>
    </row>
    <row r="50" spans="1:13" x14ac:dyDescent="0.3">
      <c r="A50" s="9">
        <v>1049</v>
      </c>
      <c r="B50" s="9" t="s">
        <v>50</v>
      </c>
      <c r="C50" s="4" t="s">
        <v>27</v>
      </c>
      <c r="D50" s="4" t="s">
        <v>34</v>
      </c>
      <c r="E50" s="4" t="s">
        <v>6</v>
      </c>
      <c r="F50" s="4">
        <v>2</v>
      </c>
      <c r="G50" s="4">
        <v>40789</v>
      </c>
      <c r="H50" s="4">
        <v>0</v>
      </c>
      <c r="I50" s="7">
        <v>46102</v>
      </c>
      <c r="J50" s="7">
        <v>46108</v>
      </c>
      <c r="K50" s="4" t="s">
        <v>80</v>
      </c>
      <c r="L50" s="16">
        <f>F50*G50*(1-H50/100)</f>
        <v>81578</v>
      </c>
      <c r="M50" s="4" t="str" cm="1">
        <f t="array" ref="M50">_xlfn.IFS(L50&gt;=100000, "Excellent", L50&gt;=50000, "Very Good", L50&gt;=20000, "Good", L50&lt;20000, "Average")</f>
        <v>Very Good</v>
      </c>
    </row>
    <row r="51" spans="1:13" x14ac:dyDescent="0.3">
      <c r="A51" s="9">
        <v>1050</v>
      </c>
      <c r="B51" s="9" t="s">
        <v>32</v>
      </c>
      <c r="C51" s="4" t="s">
        <v>27</v>
      </c>
      <c r="D51" s="4" t="s">
        <v>20</v>
      </c>
      <c r="E51" s="4" t="s">
        <v>51</v>
      </c>
      <c r="F51" s="4">
        <v>12</v>
      </c>
      <c r="G51" s="4">
        <v>360</v>
      </c>
      <c r="H51" s="4">
        <v>5</v>
      </c>
      <c r="I51" s="7">
        <v>46127</v>
      </c>
      <c r="J51" s="7">
        <v>46137</v>
      </c>
      <c r="K51" s="4" t="s">
        <v>49</v>
      </c>
      <c r="L51" s="16">
        <f>F51*G51*(1-H51/100)</f>
        <v>4104</v>
      </c>
      <c r="M51" s="4" t="str" cm="1">
        <f t="array" ref="M51">_xlfn.IFS(L51&gt;=100000, "Excellent", L51&gt;=50000, "Very Good", L51&gt;=20000, "Good", L51&lt;20000, "Average")</f>
        <v>Average</v>
      </c>
    </row>
    <row r="52" spans="1:13" x14ac:dyDescent="0.3">
      <c r="A52" s="9">
        <v>1051</v>
      </c>
      <c r="B52" s="9" t="s">
        <v>55</v>
      </c>
      <c r="C52" s="4" t="s">
        <v>23</v>
      </c>
      <c r="D52" s="4" t="s">
        <v>20</v>
      </c>
      <c r="E52" s="4" t="s">
        <v>36</v>
      </c>
      <c r="F52" s="4">
        <v>12</v>
      </c>
      <c r="G52" s="4">
        <v>47</v>
      </c>
      <c r="H52" s="4">
        <v>2</v>
      </c>
      <c r="I52" s="7">
        <v>46037</v>
      </c>
      <c r="J52" s="7">
        <v>46045</v>
      </c>
      <c r="K52" s="4" t="s">
        <v>78</v>
      </c>
      <c r="L52" s="16">
        <f>F52*G52*(1-H52/100)</f>
        <v>552.72</v>
      </c>
      <c r="M52" s="4" t="str" cm="1">
        <f t="array" ref="M52">_xlfn.IFS(L52&gt;=100000, "Excellent", L52&gt;=50000, "Very Good", L52&gt;=20000, "Good", L52&lt;20000, "Average")</f>
        <v>Average</v>
      </c>
    </row>
    <row r="53" spans="1:13" x14ac:dyDescent="0.3">
      <c r="A53" s="9">
        <v>1052</v>
      </c>
      <c r="B53" s="9" t="s">
        <v>53</v>
      </c>
      <c r="C53" s="4" t="s">
        <v>19</v>
      </c>
      <c r="D53" s="4" t="s">
        <v>20</v>
      </c>
      <c r="E53" s="4" t="s">
        <v>21</v>
      </c>
      <c r="F53" s="4">
        <v>17</v>
      </c>
      <c r="G53" s="4">
        <v>172</v>
      </c>
      <c r="H53" s="4">
        <v>10</v>
      </c>
      <c r="I53" s="7">
        <v>46159</v>
      </c>
      <c r="J53" s="7">
        <v>46165</v>
      </c>
      <c r="K53" s="4" t="s">
        <v>79</v>
      </c>
      <c r="L53" s="16">
        <f>F53*G53*(1-H53/100)</f>
        <v>2631.6</v>
      </c>
      <c r="M53" s="4" t="str" cm="1">
        <f t="array" ref="M53">_xlfn.IFS(L53&gt;=100000, "Excellent", L53&gt;=50000, "Very Good", L53&gt;=20000, "Good", L53&lt;20000, "Average")</f>
        <v>Average</v>
      </c>
    </row>
    <row r="54" spans="1:13" x14ac:dyDescent="0.3">
      <c r="A54" s="9">
        <v>1053</v>
      </c>
      <c r="B54" s="9" t="s">
        <v>22</v>
      </c>
      <c r="C54" s="4" t="s">
        <v>33</v>
      </c>
      <c r="D54" s="4" t="s">
        <v>24</v>
      </c>
      <c r="E54" s="4" t="s">
        <v>8</v>
      </c>
      <c r="F54" s="4">
        <v>1</v>
      </c>
      <c r="G54" s="4">
        <v>9749</v>
      </c>
      <c r="H54" s="4">
        <v>15</v>
      </c>
      <c r="I54" s="7">
        <v>46064</v>
      </c>
      <c r="J54" s="7">
        <v>46070</v>
      </c>
      <c r="K54" s="4" t="s">
        <v>80</v>
      </c>
      <c r="L54" s="16">
        <f>F54*G54*(1-H54/100)</f>
        <v>8286.65</v>
      </c>
      <c r="M54" s="4" t="str" cm="1">
        <f t="array" ref="M54">_xlfn.IFS(L54&gt;=100000, "Excellent", L54&gt;=50000, "Very Good", L54&gt;=20000, "Good", L54&lt;20000, "Average")</f>
        <v>Average</v>
      </c>
    </row>
    <row r="55" spans="1:13" x14ac:dyDescent="0.3">
      <c r="A55" s="9">
        <v>1054</v>
      </c>
      <c r="B55" s="9" t="s">
        <v>28</v>
      </c>
      <c r="C55" s="4" t="s">
        <v>27</v>
      </c>
      <c r="D55" s="4" t="s">
        <v>24</v>
      </c>
      <c r="E55" s="4" t="s">
        <v>10</v>
      </c>
      <c r="F55" s="4">
        <v>8</v>
      </c>
      <c r="G55" s="4">
        <v>9798</v>
      </c>
      <c r="H55" s="4">
        <v>12</v>
      </c>
      <c r="I55" s="7">
        <v>46200</v>
      </c>
      <c r="J55" s="7">
        <v>46201</v>
      </c>
      <c r="K55" s="4" t="s">
        <v>81</v>
      </c>
      <c r="L55" s="16">
        <f>F55*G55*(1-H55/100)</f>
        <v>68977.919999999998</v>
      </c>
      <c r="M55" s="4" t="str" cm="1">
        <f t="array" ref="M55">_xlfn.IFS(L55&gt;=100000, "Excellent", L55&gt;=50000, "Very Good", L55&gt;=20000, "Good", L55&lt;20000, "Average")</f>
        <v>Very Good</v>
      </c>
    </row>
    <row r="56" spans="1:13" x14ac:dyDescent="0.3">
      <c r="A56" s="9">
        <v>1055</v>
      </c>
      <c r="B56" s="9" t="s">
        <v>46</v>
      </c>
      <c r="C56" s="4" t="s">
        <v>19</v>
      </c>
      <c r="D56" s="4" t="s">
        <v>20</v>
      </c>
      <c r="E56" s="4" t="s">
        <v>37</v>
      </c>
      <c r="F56" s="4">
        <v>18</v>
      </c>
      <c r="G56" s="4">
        <v>185</v>
      </c>
      <c r="H56" s="4">
        <v>15</v>
      </c>
      <c r="I56" s="7">
        <v>46077</v>
      </c>
      <c r="J56" s="7">
        <v>46078</v>
      </c>
      <c r="K56" s="4" t="s">
        <v>78</v>
      </c>
      <c r="L56" s="16">
        <f>F56*G56*(1-H56/100)</f>
        <v>2830.5</v>
      </c>
      <c r="M56" s="4" t="str" cm="1">
        <f t="array" ref="M56">_xlfn.IFS(L56&gt;=100000, "Excellent", L56&gt;=50000, "Very Good", L56&gt;=20000, "Good", L56&lt;20000, "Average")</f>
        <v>Average</v>
      </c>
    </row>
    <row r="57" spans="1:13" x14ac:dyDescent="0.3">
      <c r="A57" s="9">
        <v>1056</v>
      </c>
      <c r="B57" s="9" t="s">
        <v>18</v>
      </c>
      <c r="C57" s="4" t="s">
        <v>26</v>
      </c>
      <c r="D57" s="4" t="s">
        <v>24</v>
      </c>
      <c r="E57" s="4" t="s">
        <v>7</v>
      </c>
      <c r="F57" s="4">
        <v>3</v>
      </c>
      <c r="G57" s="4">
        <v>9771</v>
      </c>
      <c r="H57" s="4">
        <v>5</v>
      </c>
      <c r="I57" s="7">
        <v>46133</v>
      </c>
      <c r="J57" s="7">
        <v>46139</v>
      </c>
      <c r="K57" s="4" t="s">
        <v>80</v>
      </c>
      <c r="L57" s="16">
        <f>F57*G57*(1-H57/100)</f>
        <v>27847.35</v>
      </c>
      <c r="M57" s="4" t="str" cm="1">
        <f t="array" ref="M57">_xlfn.IFS(L57&gt;=100000, "Excellent", L57&gt;=50000, "Very Good", L57&gt;=20000, "Good", L57&lt;20000, "Average")</f>
        <v>Good</v>
      </c>
    </row>
    <row r="58" spans="1:13" x14ac:dyDescent="0.3">
      <c r="A58" s="9">
        <v>1057</v>
      </c>
      <c r="B58" s="9" t="s">
        <v>56</v>
      </c>
      <c r="C58" s="4" t="s">
        <v>26</v>
      </c>
      <c r="D58" s="4" t="s">
        <v>24</v>
      </c>
      <c r="E58" s="4" t="s">
        <v>8</v>
      </c>
      <c r="F58" s="4">
        <v>2</v>
      </c>
      <c r="G58" s="4">
        <v>9531</v>
      </c>
      <c r="H58" s="4">
        <v>15</v>
      </c>
      <c r="I58" s="7">
        <v>46067</v>
      </c>
      <c r="J58" s="7">
        <v>46076</v>
      </c>
      <c r="K58" s="4" t="s">
        <v>81</v>
      </c>
      <c r="L58" s="16">
        <f>F58*G58*(1-H58/100)</f>
        <v>16202.699999999999</v>
      </c>
      <c r="M58" s="4" t="str" cm="1">
        <f t="array" ref="M58">_xlfn.IFS(L58&gt;=100000, "Excellent", L58&gt;=50000, "Very Good", L58&gt;=20000, "Good", L58&lt;20000, "Average")</f>
        <v>Average</v>
      </c>
    </row>
    <row r="59" spans="1:13" x14ac:dyDescent="0.3">
      <c r="A59" s="9">
        <v>1058</v>
      </c>
      <c r="B59" s="9" t="s">
        <v>50</v>
      </c>
      <c r="C59" s="4" t="s">
        <v>38</v>
      </c>
      <c r="D59" s="4" t="s">
        <v>24</v>
      </c>
      <c r="E59" s="4" t="s">
        <v>8</v>
      </c>
      <c r="F59" s="4">
        <v>10</v>
      </c>
      <c r="G59" s="4">
        <v>5532</v>
      </c>
      <c r="H59" s="4">
        <v>7</v>
      </c>
      <c r="I59" s="7">
        <v>46074</v>
      </c>
      <c r="J59" s="7">
        <v>46084</v>
      </c>
      <c r="K59" s="4" t="s">
        <v>80</v>
      </c>
      <c r="L59" s="16">
        <f>F59*G59*(1-H59/100)</f>
        <v>51447.6</v>
      </c>
      <c r="M59" s="4" t="str" cm="1">
        <f t="array" ref="M59">_xlfn.IFS(L59&gt;=100000, "Excellent", L59&gt;=50000, "Very Good", L59&gt;=20000, "Good", L59&lt;20000, "Average")</f>
        <v>Very Good</v>
      </c>
    </row>
    <row r="60" spans="1:13" x14ac:dyDescent="0.3">
      <c r="A60" s="9">
        <v>1059</v>
      </c>
      <c r="B60" s="9" t="s">
        <v>52</v>
      </c>
      <c r="C60" s="4" t="s">
        <v>27</v>
      </c>
      <c r="D60" s="4" t="s">
        <v>20</v>
      </c>
      <c r="E60" s="4" t="s">
        <v>48</v>
      </c>
      <c r="F60" s="4">
        <v>20</v>
      </c>
      <c r="G60" s="4">
        <v>112</v>
      </c>
      <c r="H60" s="4">
        <v>10</v>
      </c>
      <c r="I60" s="7">
        <v>46113</v>
      </c>
      <c r="J60" s="7">
        <v>46122</v>
      </c>
      <c r="K60" s="4" t="s">
        <v>81</v>
      </c>
      <c r="L60" s="16">
        <f>F60*G60*(1-H60/100)</f>
        <v>2016</v>
      </c>
      <c r="M60" s="4" t="str" cm="1">
        <f t="array" ref="M60">_xlfn.IFS(L60&gt;=100000, "Excellent", L60&gt;=50000, "Very Good", L60&gt;=20000, "Good", L60&lt;20000, "Average")</f>
        <v>Average</v>
      </c>
    </row>
    <row r="61" spans="1:13" x14ac:dyDescent="0.3">
      <c r="A61" s="9">
        <v>1060</v>
      </c>
      <c r="B61" s="9" t="s">
        <v>47</v>
      </c>
      <c r="C61" s="4" t="s">
        <v>19</v>
      </c>
      <c r="D61" s="4" t="s">
        <v>24</v>
      </c>
      <c r="E61" s="4" t="s">
        <v>43</v>
      </c>
      <c r="F61" s="4">
        <v>9</v>
      </c>
      <c r="G61" s="4">
        <v>9727</v>
      </c>
      <c r="H61" s="4">
        <v>2</v>
      </c>
      <c r="I61" s="7">
        <v>46024</v>
      </c>
      <c r="J61" s="7">
        <v>46030</v>
      </c>
      <c r="K61" s="4" t="s">
        <v>79</v>
      </c>
      <c r="L61" s="16">
        <f>F61*G61*(1-H61/100)</f>
        <v>85792.14</v>
      </c>
      <c r="M61" s="4" t="str" cm="1">
        <f t="array" ref="M61">_xlfn.IFS(L61&gt;=100000, "Excellent", L61&gt;=50000, "Very Good", L61&gt;=20000, "Good", L61&lt;20000, "Average")</f>
        <v>Very Good</v>
      </c>
    </row>
    <row r="62" spans="1:13" x14ac:dyDescent="0.3">
      <c r="A62" s="9">
        <v>1061</v>
      </c>
      <c r="B62" s="9" t="s">
        <v>54</v>
      </c>
      <c r="C62" s="4" t="s">
        <v>19</v>
      </c>
      <c r="D62" s="4" t="s">
        <v>34</v>
      </c>
      <c r="E62" s="4" t="s">
        <v>40</v>
      </c>
      <c r="F62" s="4">
        <v>16</v>
      </c>
      <c r="G62" s="4">
        <v>59084</v>
      </c>
      <c r="H62" s="4">
        <v>0</v>
      </c>
      <c r="I62" s="7">
        <v>46060</v>
      </c>
      <c r="J62" s="7">
        <v>46069</v>
      </c>
      <c r="K62" s="4" t="s">
        <v>79</v>
      </c>
      <c r="L62" s="16">
        <f>F62*G62*(1-H62/100)</f>
        <v>945344</v>
      </c>
      <c r="M62" s="4" t="str" cm="1">
        <f t="array" ref="M62">_xlfn.IFS(L62&gt;=100000, "Excellent", L62&gt;=50000, "Very Good", L62&gt;=20000, "Good", L62&lt;20000, "Average")</f>
        <v>Excellent</v>
      </c>
    </row>
    <row r="63" spans="1:13" x14ac:dyDescent="0.3">
      <c r="A63" s="9">
        <v>1062</v>
      </c>
      <c r="B63" s="9" t="s">
        <v>39</v>
      </c>
      <c r="C63" s="4" t="s">
        <v>42</v>
      </c>
      <c r="D63" s="4" t="s">
        <v>24</v>
      </c>
      <c r="E63" s="4" t="s">
        <v>10</v>
      </c>
      <c r="F63" s="4">
        <v>8</v>
      </c>
      <c r="G63" s="4">
        <v>8360</v>
      </c>
      <c r="H63" s="4">
        <v>2</v>
      </c>
      <c r="I63" s="7">
        <v>46190</v>
      </c>
      <c r="J63" s="7">
        <v>46200</v>
      </c>
      <c r="K63" s="4" t="s">
        <v>81</v>
      </c>
      <c r="L63" s="16">
        <f>F63*G63*(1-H63/100)</f>
        <v>65542.399999999994</v>
      </c>
      <c r="M63" s="4" t="str" cm="1">
        <f t="array" ref="M63">_xlfn.IFS(L63&gt;=100000, "Excellent", L63&gt;=50000, "Very Good", L63&gt;=20000, "Good", L63&lt;20000, "Average")</f>
        <v>Very Good</v>
      </c>
    </row>
    <row r="64" spans="1:13" x14ac:dyDescent="0.3">
      <c r="A64" s="9">
        <v>1063</v>
      </c>
      <c r="B64" s="9" t="s">
        <v>52</v>
      </c>
      <c r="C64" s="4" t="s">
        <v>26</v>
      </c>
      <c r="D64" s="4" t="s">
        <v>34</v>
      </c>
      <c r="E64" s="4" t="s">
        <v>6</v>
      </c>
      <c r="F64" s="4">
        <v>7</v>
      </c>
      <c r="G64" s="4">
        <v>66744</v>
      </c>
      <c r="H64" s="4">
        <v>7</v>
      </c>
      <c r="I64" s="7">
        <v>46148</v>
      </c>
      <c r="J64" s="7">
        <v>46155</v>
      </c>
      <c r="K64" s="4" t="s">
        <v>78</v>
      </c>
      <c r="L64" s="16">
        <f>F64*G64*(1-H64/100)</f>
        <v>434503.43999999994</v>
      </c>
      <c r="M64" s="4" t="str" cm="1">
        <f t="array" ref="M64">_xlfn.IFS(L64&gt;=100000, "Excellent", L64&gt;=50000, "Very Good", L64&gt;=20000, "Good", L64&lt;20000, "Average")</f>
        <v>Excellent</v>
      </c>
    </row>
    <row r="65" spans="1:13" x14ac:dyDescent="0.3">
      <c r="A65" s="9">
        <v>1064</v>
      </c>
      <c r="B65" s="9" t="s">
        <v>28</v>
      </c>
      <c r="C65" s="4" t="s">
        <v>23</v>
      </c>
      <c r="D65" s="4" t="s">
        <v>20</v>
      </c>
      <c r="E65" s="4" t="s">
        <v>48</v>
      </c>
      <c r="F65" s="4">
        <v>20</v>
      </c>
      <c r="G65" s="4">
        <v>191</v>
      </c>
      <c r="H65" s="4">
        <v>7</v>
      </c>
      <c r="I65" s="7">
        <v>46185</v>
      </c>
      <c r="J65" s="7">
        <v>46195</v>
      </c>
      <c r="K65" s="4" t="s">
        <v>49</v>
      </c>
      <c r="L65" s="16">
        <f>F65*G65*(1-H65/100)</f>
        <v>3552.6</v>
      </c>
      <c r="M65" s="4" t="str" cm="1">
        <f t="array" ref="M65">_xlfn.IFS(L65&gt;=100000, "Excellent", L65&gt;=50000, "Very Good", L65&gt;=20000, "Good", L65&lt;20000, "Average")</f>
        <v>Average</v>
      </c>
    </row>
    <row r="66" spans="1:13" x14ac:dyDescent="0.3">
      <c r="A66" s="9">
        <v>1065</v>
      </c>
      <c r="B66" s="9" t="s">
        <v>41</v>
      </c>
      <c r="C66" s="4" t="s">
        <v>42</v>
      </c>
      <c r="D66" s="4" t="s">
        <v>24</v>
      </c>
      <c r="E66" s="4" t="s">
        <v>43</v>
      </c>
      <c r="F66" s="4">
        <v>1</v>
      </c>
      <c r="G66" s="4">
        <v>7730</v>
      </c>
      <c r="H66" s="4">
        <v>5</v>
      </c>
      <c r="I66" s="7">
        <v>46192</v>
      </c>
      <c r="J66" s="7">
        <v>46195</v>
      </c>
      <c r="K66" s="4" t="s">
        <v>81</v>
      </c>
      <c r="L66" s="16">
        <f>F66*G66*(1-H66/100)</f>
        <v>7343.5</v>
      </c>
      <c r="M66" s="4" t="str" cm="1">
        <f t="array" ref="M66">_xlfn.IFS(L66&gt;=100000, "Excellent", L66&gt;=50000, "Very Good", L66&gt;=20000, "Good", L66&lt;20000, "Average")</f>
        <v>Average</v>
      </c>
    </row>
    <row r="67" spans="1:13" x14ac:dyDescent="0.3">
      <c r="A67" s="9">
        <v>1066</v>
      </c>
      <c r="B67" s="9" t="s">
        <v>45</v>
      </c>
      <c r="C67" s="4" t="s">
        <v>27</v>
      </c>
      <c r="D67" s="4" t="s">
        <v>24</v>
      </c>
      <c r="E67" s="4" t="s">
        <v>43</v>
      </c>
      <c r="F67" s="4">
        <v>15</v>
      </c>
      <c r="G67" s="4">
        <v>11987</v>
      </c>
      <c r="H67" s="4">
        <v>5</v>
      </c>
      <c r="I67" s="7">
        <v>46082</v>
      </c>
      <c r="J67" s="7">
        <v>46083</v>
      </c>
      <c r="K67" s="4" t="s">
        <v>78</v>
      </c>
      <c r="L67" s="16">
        <f>F67*G67*(1-H67/100)</f>
        <v>170814.75</v>
      </c>
      <c r="M67" s="4" t="str" cm="1">
        <f t="array" ref="M67">_xlfn.IFS(L67&gt;=100000, "Excellent", L67&gt;=50000, "Very Good", L67&gt;=20000, "Good", L67&lt;20000, "Average")</f>
        <v>Excellent</v>
      </c>
    </row>
    <row r="68" spans="1:13" x14ac:dyDescent="0.3">
      <c r="A68" s="9">
        <v>1067</v>
      </c>
      <c r="B68" s="9" t="s">
        <v>32</v>
      </c>
      <c r="C68" s="4" t="s">
        <v>42</v>
      </c>
      <c r="D68" s="4" t="s">
        <v>24</v>
      </c>
      <c r="E68" s="4" t="s">
        <v>11</v>
      </c>
      <c r="F68" s="4">
        <v>14</v>
      </c>
      <c r="G68" s="4">
        <v>10869</v>
      </c>
      <c r="H68" s="4">
        <v>0</v>
      </c>
      <c r="I68" s="7">
        <v>46058</v>
      </c>
      <c r="J68" s="7">
        <v>46062</v>
      </c>
      <c r="K68" s="4" t="s">
        <v>49</v>
      </c>
      <c r="L68" s="16">
        <f>F68*G68*(1-H68/100)</f>
        <v>152166</v>
      </c>
      <c r="M68" s="4" t="str" cm="1">
        <f t="array" ref="M68">_xlfn.IFS(L68&gt;=100000, "Excellent", L68&gt;=50000, "Very Good", L68&gt;=20000, "Good", L68&lt;20000, "Average")</f>
        <v>Excellent</v>
      </c>
    </row>
    <row r="69" spans="1:13" x14ac:dyDescent="0.3">
      <c r="A69" s="9">
        <v>1068</v>
      </c>
      <c r="B69" s="9" t="s">
        <v>50</v>
      </c>
      <c r="C69" s="4" t="s">
        <v>42</v>
      </c>
      <c r="D69" s="4" t="s">
        <v>34</v>
      </c>
      <c r="E69" s="4" t="s">
        <v>9</v>
      </c>
      <c r="F69" s="4">
        <v>15</v>
      </c>
      <c r="G69" s="4">
        <v>14534</v>
      </c>
      <c r="H69" s="4">
        <v>5</v>
      </c>
      <c r="I69" s="7">
        <v>46196</v>
      </c>
      <c r="J69" s="7">
        <v>46199</v>
      </c>
      <c r="K69" s="4" t="s">
        <v>49</v>
      </c>
      <c r="L69" s="16">
        <f>F69*G69*(1-H69/100)</f>
        <v>207109.5</v>
      </c>
      <c r="M69" s="4" t="str" cm="1">
        <f t="array" ref="M69">_xlfn.IFS(L69&gt;=100000, "Excellent", L69&gt;=50000, "Very Good", L69&gt;=20000, "Good", L69&lt;20000, "Average")</f>
        <v>Excellent</v>
      </c>
    </row>
    <row r="70" spans="1:13" x14ac:dyDescent="0.3">
      <c r="A70" s="9">
        <v>1069</v>
      </c>
      <c r="B70" s="9" t="s">
        <v>50</v>
      </c>
      <c r="C70" s="4" t="s">
        <v>31</v>
      </c>
      <c r="D70" s="4" t="s">
        <v>24</v>
      </c>
      <c r="E70" s="4" t="s">
        <v>8</v>
      </c>
      <c r="F70" s="4">
        <v>9</v>
      </c>
      <c r="G70" s="4">
        <v>4415</v>
      </c>
      <c r="H70" s="4">
        <v>5</v>
      </c>
      <c r="I70" s="7">
        <v>46039</v>
      </c>
      <c r="J70" s="7">
        <v>46046</v>
      </c>
      <c r="K70" s="4" t="s">
        <v>78</v>
      </c>
      <c r="L70" s="16">
        <f>F70*G70*(1-H70/100)</f>
        <v>37748.25</v>
      </c>
      <c r="M70" s="4" t="str" cm="1">
        <f t="array" ref="M70">_xlfn.IFS(L70&gt;=100000, "Excellent", L70&gt;=50000, "Very Good", L70&gt;=20000, "Good", L70&lt;20000, "Average")</f>
        <v>Good</v>
      </c>
    </row>
    <row r="71" spans="1:13" x14ac:dyDescent="0.3">
      <c r="A71" s="9">
        <v>1070</v>
      </c>
      <c r="B71" s="9" t="s">
        <v>50</v>
      </c>
      <c r="C71" s="4" t="s">
        <v>42</v>
      </c>
      <c r="D71" s="4" t="s">
        <v>20</v>
      </c>
      <c r="E71" s="4" t="s">
        <v>36</v>
      </c>
      <c r="F71" s="4">
        <v>10</v>
      </c>
      <c r="G71" s="4">
        <v>233</v>
      </c>
      <c r="H71" s="4">
        <v>7</v>
      </c>
      <c r="I71" s="7">
        <v>46076</v>
      </c>
      <c r="J71" s="7">
        <v>46077</v>
      </c>
      <c r="K71" s="4" t="s">
        <v>49</v>
      </c>
      <c r="L71" s="16">
        <f>F71*G71*(1-H71/100)</f>
        <v>2166.8999999999996</v>
      </c>
      <c r="M71" s="4" t="str" cm="1">
        <f t="array" ref="M71">_xlfn.IFS(L71&gt;=100000, "Excellent", L71&gt;=50000, "Very Good", L71&gt;=20000, "Good", L71&lt;20000, "Average")</f>
        <v>Average</v>
      </c>
    </row>
    <row r="72" spans="1:13" x14ac:dyDescent="0.3">
      <c r="A72" s="9">
        <v>1071</v>
      </c>
      <c r="B72" s="9" t="s">
        <v>56</v>
      </c>
      <c r="C72" s="4" t="s">
        <v>26</v>
      </c>
      <c r="D72" s="4" t="s">
        <v>34</v>
      </c>
      <c r="E72" s="4" t="s">
        <v>12</v>
      </c>
      <c r="F72" s="4">
        <v>18</v>
      </c>
      <c r="G72" s="4">
        <v>32197</v>
      </c>
      <c r="H72" s="4">
        <v>5</v>
      </c>
      <c r="I72" s="7">
        <v>46129</v>
      </c>
      <c r="J72" s="7">
        <v>46137</v>
      </c>
      <c r="K72" s="4" t="s">
        <v>79</v>
      </c>
      <c r="L72" s="16">
        <f>F72*G72*(1-H72/100)</f>
        <v>550568.69999999995</v>
      </c>
      <c r="M72" s="4" t="str" cm="1">
        <f t="array" ref="M72">_xlfn.IFS(L72&gt;=100000, "Excellent", L72&gt;=50000, "Very Good", L72&gt;=20000, "Good", L72&lt;20000, "Average")</f>
        <v>Excellent</v>
      </c>
    </row>
    <row r="73" spans="1:13" x14ac:dyDescent="0.3">
      <c r="A73" s="9">
        <v>1072</v>
      </c>
      <c r="B73" s="9" t="s">
        <v>22</v>
      </c>
      <c r="C73" s="4" t="s">
        <v>27</v>
      </c>
      <c r="D73" s="4" t="s">
        <v>34</v>
      </c>
      <c r="E73" s="4" t="s">
        <v>12</v>
      </c>
      <c r="F73" s="4">
        <v>20</v>
      </c>
      <c r="G73" s="4">
        <v>58779</v>
      </c>
      <c r="H73" s="4">
        <v>0</v>
      </c>
      <c r="I73" s="7">
        <v>46035</v>
      </c>
      <c r="J73" s="7">
        <v>46036</v>
      </c>
      <c r="K73" s="4" t="s">
        <v>80</v>
      </c>
      <c r="L73" s="16">
        <f>F73*G73*(1-H73/100)</f>
        <v>1175580</v>
      </c>
      <c r="M73" s="4" t="str" cm="1">
        <f t="array" ref="M73">_xlfn.IFS(L73&gt;=100000, "Excellent", L73&gt;=50000, "Very Good", L73&gt;=20000, "Good", L73&lt;20000, "Average")</f>
        <v>Excellent</v>
      </c>
    </row>
    <row r="74" spans="1:13" x14ac:dyDescent="0.3">
      <c r="A74" s="9">
        <v>1073</v>
      </c>
      <c r="B74" s="9" t="s">
        <v>55</v>
      </c>
      <c r="C74" s="4" t="s">
        <v>23</v>
      </c>
      <c r="D74" s="4" t="s">
        <v>24</v>
      </c>
      <c r="E74" s="4" t="s">
        <v>11</v>
      </c>
      <c r="F74" s="4">
        <v>4</v>
      </c>
      <c r="G74" s="4">
        <v>2453</v>
      </c>
      <c r="H74" s="4">
        <v>7</v>
      </c>
      <c r="I74" s="7">
        <v>46126</v>
      </c>
      <c r="J74" s="7">
        <v>46129</v>
      </c>
      <c r="K74" s="4" t="s">
        <v>81</v>
      </c>
      <c r="L74" s="16">
        <f>F74*G74*(1-H74/100)</f>
        <v>9125.16</v>
      </c>
      <c r="M74" s="4" t="str" cm="1">
        <f t="array" ref="M74">_xlfn.IFS(L74&gt;=100000, "Excellent", L74&gt;=50000, "Very Good", L74&gt;=20000, "Good", L74&lt;20000, "Average")</f>
        <v>Average</v>
      </c>
    </row>
    <row r="75" spans="1:13" x14ac:dyDescent="0.3">
      <c r="A75" s="9">
        <v>1074</v>
      </c>
      <c r="B75" s="9" t="s">
        <v>28</v>
      </c>
      <c r="C75" s="4" t="s">
        <v>31</v>
      </c>
      <c r="D75" s="4" t="s">
        <v>20</v>
      </c>
      <c r="E75" s="4" t="s">
        <v>48</v>
      </c>
      <c r="F75" s="4">
        <v>11</v>
      </c>
      <c r="G75" s="4">
        <v>390</v>
      </c>
      <c r="H75" s="4">
        <v>15</v>
      </c>
      <c r="I75" s="7">
        <v>46114</v>
      </c>
      <c r="J75" s="7">
        <v>46123</v>
      </c>
      <c r="K75" s="4" t="s">
        <v>49</v>
      </c>
      <c r="L75" s="16">
        <f>F75*G75*(1-H75/100)</f>
        <v>3646.5</v>
      </c>
      <c r="M75" s="4" t="str" cm="1">
        <f t="array" ref="M75">_xlfn.IFS(L75&gt;=100000, "Excellent", L75&gt;=50000, "Very Good", L75&gt;=20000, "Good", L75&lt;20000, "Average")</f>
        <v>Average</v>
      </c>
    </row>
    <row r="76" spans="1:13" x14ac:dyDescent="0.3">
      <c r="A76" s="9">
        <v>1075</v>
      </c>
      <c r="B76" s="9" t="s">
        <v>41</v>
      </c>
      <c r="C76" s="4" t="s">
        <v>42</v>
      </c>
      <c r="D76" s="4" t="s">
        <v>34</v>
      </c>
      <c r="E76" s="4" t="s">
        <v>12</v>
      </c>
      <c r="F76" s="4">
        <v>4</v>
      </c>
      <c r="G76" s="4">
        <v>64773</v>
      </c>
      <c r="H76" s="4">
        <v>10</v>
      </c>
      <c r="I76" s="7">
        <v>46185</v>
      </c>
      <c r="J76" s="7">
        <v>46186</v>
      </c>
      <c r="K76" s="4" t="s">
        <v>81</v>
      </c>
      <c r="L76" s="16">
        <f>F76*G76*(1-H76/100)</f>
        <v>233182.80000000002</v>
      </c>
      <c r="M76" s="4" t="str" cm="1">
        <f t="array" ref="M76">_xlfn.IFS(L76&gt;=100000, "Excellent", L76&gt;=50000, "Very Good", L76&gt;=20000, "Good", L76&lt;20000, "Average")</f>
        <v>Excellent</v>
      </c>
    </row>
    <row r="77" spans="1:13" x14ac:dyDescent="0.3">
      <c r="A77" s="9">
        <v>1076</v>
      </c>
      <c r="B77" s="9" t="s">
        <v>49</v>
      </c>
      <c r="C77" s="4" t="s">
        <v>23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7">
        <v>46045</v>
      </c>
      <c r="J77" s="7">
        <v>46055</v>
      </c>
      <c r="K77" s="4" t="s">
        <v>49</v>
      </c>
      <c r="L77" s="16">
        <f>F77*G77*(1-H77/100)</f>
        <v>482187.69999999995</v>
      </c>
      <c r="M77" s="4" t="str" cm="1">
        <f t="array" ref="M77">_xlfn.IFS(L77&gt;=100000, "Excellent", L77&gt;=50000, "Very Good", L77&gt;=20000, "Good", L77&lt;20000, "Average")</f>
        <v>Excellent</v>
      </c>
    </row>
    <row r="78" spans="1:13" x14ac:dyDescent="0.3">
      <c r="A78" s="9">
        <v>1077</v>
      </c>
      <c r="B78" s="9" t="s">
        <v>53</v>
      </c>
      <c r="C78" s="4" t="s">
        <v>27</v>
      </c>
      <c r="D78" s="4" t="s">
        <v>20</v>
      </c>
      <c r="E78" s="4" t="s">
        <v>21</v>
      </c>
      <c r="F78" s="4">
        <v>1</v>
      </c>
      <c r="G78" s="4">
        <v>123</v>
      </c>
      <c r="H78" s="4">
        <v>10</v>
      </c>
      <c r="I78" s="7">
        <v>46113</v>
      </c>
      <c r="J78" s="7">
        <v>46121</v>
      </c>
      <c r="K78" s="4" t="s">
        <v>81</v>
      </c>
      <c r="L78" s="16">
        <f>F78*G78*(1-H78/100)</f>
        <v>110.7</v>
      </c>
      <c r="M78" s="4" t="str" cm="1">
        <f t="array" ref="M78">_xlfn.IFS(L78&gt;=100000, "Excellent", L78&gt;=50000, "Very Good", L78&gt;=20000, "Good", L78&lt;20000, "Average")</f>
        <v>Average</v>
      </c>
    </row>
    <row r="79" spans="1:13" x14ac:dyDescent="0.3">
      <c r="A79" s="9">
        <v>1078</v>
      </c>
      <c r="B79" s="9" t="s">
        <v>50</v>
      </c>
      <c r="C79" s="4" t="s">
        <v>23</v>
      </c>
      <c r="D79" s="4" t="s">
        <v>34</v>
      </c>
      <c r="E79" s="4" t="s">
        <v>5</v>
      </c>
      <c r="F79" s="4">
        <v>11</v>
      </c>
      <c r="G79" s="4">
        <v>24278</v>
      </c>
      <c r="H79" s="4">
        <v>12</v>
      </c>
      <c r="I79" s="7">
        <v>46084</v>
      </c>
      <c r="J79" s="7">
        <v>46090</v>
      </c>
      <c r="K79" s="4" t="s">
        <v>49</v>
      </c>
      <c r="L79" s="16">
        <f>F79*G79*(1-H79/100)</f>
        <v>235011.04</v>
      </c>
      <c r="M79" s="4" t="str" cm="1">
        <f t="array" ref="M79">_xlfn.IFS(L79&gt;=100000, "Excellent", L79&gt;=50000, "Very Good", L79&gt;=20000, "Good", L79&lt;20000, "Average")</f>
        <v>Excellent</v>
      </c>
    </row>
    <row r="80" spans="1:13" x14ac:dyDescent="0.3">
      <c r="A80" s="9">
        <v>1079</v>
      </c>
      <c r="B80" s="9" t="s">
        <v>28</v>
      </c>
      <c r="C80" s="4" t="s">
        <v>38</v>
      </c>
      <c r="D80" s="4" t="s">
        <v>34</v>
      </c>
      <c r="E80" s="4" t="s">
        <v>40</v>
      </c>
      <c r="F80" s="4">
        <v>19</v>
      </c>
      <c r="G80" s="4">
        <v>48956</v>
      </c>
      <c r="H80" s="4">
        <v>12</v>
      </c>
      <c r="I80" s="7">
        <v>46170</v>
      </c>
      <c r="J80" s="7">
        <v>46177</v>
      </c>
      <c r="K80" s="4" t="s">
        <v>81</v>
      </c>
      <c r="L80" s="16">
        <f>F80*G80*(1-H80/100)</f>
        <v>818544.32</v>
      </c>
      <c r="M80" s="4" t="str" cm="1">
        <f t="array" ref="M80">_xlfn.IFS(L80&gt;=100000, "Excellent", L80&gt;=50000, "Very Good", L80&gt;=20000, "Good", L80&lt;20000, "Average")</f>
        <v>Excellent</v>
      </c>
    </row>
    <row r="81" spans="1:13" x14ac:dyDescent="0.3">
      <c r="A81" s="9">
        <v>1080</v>
      </c>
      <c r="B81" s="9" t="s">
        <v>25</v>
      </c>
      <c r="C81" s="4" t="s">
        <v>26</v>
      </c>
      <c r="D81" s="4" t="s">
        <v>34</v>
      </c>
      <c r="E81" s="4" t="s">
        <v>40</v>
      </c>
      <c r="F81" s="4">
        <v>12</v>
      </c>
      <c r="G81" s="4">
        <v>54161</v>
      </c>
      <c r="H81" s="4">
        <v>15</v>
      </c>
      <c r="I81" s="7">
        <v>46133</v>
      </c>
      <c r="J81" s="7">
        <v>46143</v>
      </c>
      <c r="K81" s="4" t="s">
        <v>80</v>
      </c>
      <c r="L81" s="16">
        <f>F81*G81*(1-H81/100)</f>
        <v>552442.19999999995</v>
      </c>
      <c r="M81" s="4" t="str" cm="1">
        <f t="array" ref="M81">_xlfn.IFS(L81&gt;=100000, "Excellent", L81&gt;=50000, "Very Good", L81&gt;=20000, "Good", L81&lt;20000, "Average")</f>
        <v>Excellent</v>
      </c>
    </row>
    <row r="82" spans="1:13" x14ac:dyDescent="0.3">
      <c r="A82" s="9">
        <v>1081</v>
      </c>
      <c r="B82" s="9" t="s">
        <v>45</v>
      </c>
      <c r="C82" s="4" t="s">
        <v>19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7">
        <v>46058</v>
      </c>
      <c r="J82" s="7">
        <v>46060</v>
      </c>
      <c r="K82" s="4" t="s">
        <v>81</v>
      </c>
      <c r="L82" s="16">
        <f>F82*G82*(1-H82/100)</f>
        <v>835772.39999999991</v>
      </c>
      <c r="M82" s="4" t="str" cm="1">
        <f t="array" ref="M82">_xlfn.IFS(L82&gt;=100000, "Excellent", L82&gt;=50000, "Very Good", L82&gt;=20000, "Good", L82&lt;20000, "Average")</f>
        <v>Excellent</v>
      </c>
    </row>
    <row r="83" spans="1:13" x14ac:dyDescent="0.3">
      <c r="A83" s="9">
        <v>1082</v>
      </c>
      <c r="B83" s="9" t="s">
        <v>25</v>
      </c>
      <c r="C83" s="4" t="s">
        <v>19</v>
      </c>
      <c r="D83" s="4" t="s">
        <v>20</v>
      </c>
      <c r="E83" s="4" t="s">
        <v>21</v>
      </c>
      <c r="F83" s="4">
        <v>7</v>
      </c>
      <c r="G83" s="4">
        <v>133</v>
      </c>
      <c r="H83" s="4">
        <v>10</v>
      </c>
      <c r="I83" s="7">
        <v>46075</v>
      </c>
      <c r="J83" s="7">
        <v>46085</v>
      </c>
      <c r="K83" s="4" t="s">
        <v>81</v>
      </c>
      <c r="L83" s="16">
        <f>F83*G83*(1-H83/100)</f>
        <v>837.9</v>
      </c>
      <c r="M83" s="4" t="str" cm="1">
        <f t="array" ref="M83">_xlfn.IFS(L83&gt;=100000, "Excellent", L83&gt;=50000, "Very Good", L83&gt;=20000, "Good", L83&lt;20000, "Average")</f>
        <v>Average</v>
      </c>
    </row>
    <row r="84" spans="1:13" x14ac:dyDescent="0.3">
      <c r="A84" s="9">
        <v>1083</v>
      </c>
      <c r="B84" s="9" t="s">
        <v>53</v>
      </c>
      <c r="C84" s="4" t="s">
        <v>33</v>
      </c>
      <c r="D84" s="4" t="s">
        <v>20</v>
      </c>
      <c r="E84" s="4" t="s">
        <v>51</v>
      </c>
      <c r="F84" s="4">
        <v>4</v>
      </c>
      <c r="G84" s="4">
        <v>397</v>
      </c>
      <c r="H84" s="4">
        <v>7</v>
      </c>
      <c r="I84" s="7">
        <v>46185</v>
      </c>
      <c r="J84" s="7">
        <v>46193</v>
      </c>
      <c r="K84" s="4" t="s">
        <v>78</v>
      </c>
      <c r="L84" s="16">
        <f>F84*G84*(1-H84/100)</f>
        <v>1476.84</v>
      </c>
      <c r="M84" s="4" t="str" cm="1">
        <f t="array" ref="M84">_xlfn.IFS(L84&gt;=100000, "Excellent", L84&gt;=50000, "Very Good", L84&gt;=20000, "Good", L84&lt;20000, "Average")</f>
        <v>Average</v>
      </c>
    </row>
    <row r="85" spans="1:13" x14ac:dyDescent="0.3">
      <c r="A85" s="9">
        <v>1084</v>
      </c>
      <c r="B85" s="9" t="s">
        <v>47</v>
      </c>
      <c r="C85" s="4" t="s">
        <v>31</v>
      </c>
      <c r="D85" s="4" t="s">
        <v>24</v>
      </c>
      <c r="E85" s="4" t="s">
        <v>8</v>
      </c>
      <c r="F85" s="4">
        <v>4</v>
      </c>
      <c r="G85" s="4">
        <v>6901</v>
      </c>
      <c r="H85" s="4">
        <v>10</v>
      </c>
      <c r="I85" s="7">
        <v>46047</v>
      </c>
      <c r="J85" s="7">
        <v>46057</v>
      </c>
      <c r="K85" s="4" t="s">
        <v>79</v>
      </c>
      <c r="L85" s="16">
        <f>F85*G85*(1-H85/100)</f>
        <v>24843.600000000002</v>
      </c>
      <c r="M85" s="4" t="str" cm="1">
        <f t="array" ref="M85">_xlfn.IFS(L85&gt;=100000, "Excellent", L85&gt;=50000, "Very Good", L85&gt;=20000, "Good", L85&lt;20000, "Average")</f>
        <v>Good</v>
      </c>
    </row>
    <row r="86" spans="1:13" x14ac:dyDescent="0.3">
      <c r="A86" s="9">
        <v>1085</v>
      </c>
      <c r="B86" s="9" t="s">
        <v>32</v>
      </c>
      <c r="C86" s="4" t="s">
        <v>38</v>
      </c>
      <c r="D86" s="4" t="s">
        <v>34</v>
      </c>
      <c r="E86" s="4" t="s">
        <v>9</v>
      </c>
      <c r="F86" s="4">
        <v>19</v>
      </c>
      <c r="G86" s="4">
        <v>45307</v>
      </c>
      <c r="H86" s="4">
        <v>12</v>
      </c>
      <c r="I86" s="7">
        <v>46146</v>
      </c>
      <c r="J86" s="7">
        <v>46150</v>
      </c>
      <c r="K86" s="4" t="s">
        <v>80</v>
      </c>
      <c r="L86" s="16">
        <f>F86*G86*(1-H86/100)</f>
        <v>757533.04</v>
      </c>
      <c r="M86" s="4" t="str" cm="1">
        <f t="array" ref="M86">_xlfn.IFS(L86&gt;=100000, "Excellent", L86&gt;=50000, "Very Good", L86&gt;=20000, "Good", L86&lt;20000, "Average")</f>
        <v>Excellent</v>
      </c>
    </row>
    <row r="87" spans="1:13" x14ac:dyDescent="0.3">
      <c r="A87" s="9">
        <v>1086</v>
      </c>
      <c r="B87" s="9" t="s">
        <v>32</v>
      </c>
      <c r="C87" s="4" t="s">
        <v>19</v>
      </c>
      <c r="D87" s="4" t="s">
        <v>20</v>
      </c>
      <c r="E87" s="4" t="s">
        <v>51</v>
      </c>
      <c r="F87" s="4">
        <v>15</v>
      </c>
      <c r="G87" s="4">
        <v>40</v>
      </c>
      <c r="H87" s="4">
        <v>10</v>
      </c>
      <c r="I87" s="7">
        <v>46045</v>
      </c>
      <c r="J87" s="7">
        <v>46049</v>
      </c>
      <c r="K87" s="4" t="s">
        <v>80</v>
      </c>
      <c r="L87" s="16">
        <f>F87*G87*(1-H87/100)</f>
        <v>540</v>
      </c>
      <c r="M87" s="4" t="str" cm="1">
        <f t="array" ref="M87">_xlfn.IFS(L87&gt;=100000, "Excellent", L87&gt;=50000, "Very Good", L87&gt;=20000, "Good", L87&lt;20000, "Average")</f>
        <v>Average</v>
      </c>
    </row>
    <row r="88" spans="1:13" x14ac:dyDescent="0.3">
      <c r="A88" s="9">
        <v>1087</v>
      </c>
      <c r="B88" s="9" t="s">
        <v>18</v>
      </c>
      <c r="C88" s="4" t="s">
        <v>31</v>
      </c>
      <c r="D88" s="4" t="s">
        <v>20</v>
      </c>
      <c r="E88" s="4" t="s">
        <v>37</v>
      </c>
      <c r="F88" s="4">
        <v>13</v>
      </c>
      <c r="G88" s="4">
        <v>387</v>
      </c>
      <c r="H88" s="4">
        <v>7</v>
      </c>
      <c r="I88" s="7">
        <v>46171</v>
      </c>
      <c r="J88" s="7">
        <v>46176</v>
      </c>
      <c r="K88" s="4" t="s">
        <v>80</v>
      </c>
      <c r="L88" s="16">
        <f>F88*G88*(1-H88/100)</f>
        <v>4678.83</v>
      </c>
      <c r="M88" s="4" t="str" cm="1">
        <f t="array" ref="M88">_xlfn.IFS(L88&gt;=100000, "Excellent", L88&gt;=50000, "Very Good", L88&gt;=20000, "Good", L88&lt;20000, "Average")</f>
        <v>Average</v>
      </c>
    </row>
    <row r="89" spans="1:13" x14ac:dyDescent="0.3">
      <c r="A89" s="9">
        <v>1088</v>
      </c>
      <c r="B89" s="9" t="s">
        <v>39</v>
      </c>
      <c r="C89" s="4" t="s">
        <v>33</v>
      </c>
      <c r="D89" s="4" t="s">
        <v>34</v>
      </c>
      <c r="E89" s="4" t="s">
        <v>40</v>
      </c>
      <c r="F89" s="4">
        <v>20</v>
      </c>
      <c r="G89" s="4">
        <v>41165</v>
      </c>
      <c r="H89" s="4">
        <v>0</v>
      </c>
      <c r="I89" s="7">
        <v>46068</v>
      </c>
      <c r="J89" s="7">
        <v>46069</v>
      </c>
      <c r="K89" s="4" t="s">
        <v>79</v>
      </c>
      <c r="L89" s="16">
        <f>F89*G89*(1-H89/100)</f>
        <v>823300</v>
      </c>
      <c r="M89" s="4" t="str" cm="1">
        <f t="array" ref="M89">_xlfn.IFS(L89&gt;=100000, "Excellent", L89&gt;=50000, "Very Good", L89&gt;=20000, "Good", L89&lt;20000, "Average")</f>
        <v>Excellent</v>
      </c>
    </row>
    <row r="90" spans="1:13" x14ac:dyDescent="0.3">
      <c r="A90" s="9">
        <v>1089</v>
      </c>
      <c r="B90" s="9" t="s">
        <v>44</v>
      </c>
      <c r="C90" s="4" t="s">
        <v>19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7">
        <v>46066</v>
      </c>
      <c r="J90" s="7">
        <v>46071</v>
      </c>
      <c r="K90" s="4" t="s">
        <v>80</v>
      </c>
      <c r="L90" s="16">
        <f>F90*G90*(1-H90/100)</f>
        <v>167001.79999999999</v>
      </c>
      <c r="M90" s="4" t="str" cm="1">
        <f t="array" ref="M90">_xlfn.IFS(L90&gt;=100000, "Excellent", L90&gt;=50000, "Very Good", L90&gt;=20000, "Good", L90&lt;20000, "Average")</f>
        <v>Excellent</v>
      </c>
    </row>
    <row r="91" spans="1:13" x14ac:dyDescent="0.3">
      <c r="A91" s="9">
        <v>1090</v>
      </c>
      <c r="B91" s="9" t="s">
        <v>47</v>
      </c>
      <c r="C91" s="4" t="s">
        <v>31</v>
      </c>
      <c r="D91" s="4" t="s">
        <v>34</v>
      </c>
      <c r="E91" s="4" t="s">
        <v>6</v>
      </c>
      <c r="F91" s="4">
        <v>19</v>
      </c>
      <c r="G91" s="4">
        <v>66139</v>
      </c>
      <c r="H91" s="4">
        <v>5</v>
      </c>
      <c r="I91" s="7">
        <v>46088</v>
      </c>
      <c r="J91" s="7">
        <v>46095</v>
      </c>
      <c r="K91" s="4" t="s">
        <v>80</v>
      </c>
      <c r="L91" s="16">
        <f>F91*G91*(1-H91/100)</f>
        <v>1193808.95</v>
      </c>
      <c r="M91" s="4" t="str" cm="1">
        <f t="array" ref="M91">_xlfn.IFS(L91&gt;=100000, "Excellent", L91&gt;=50000, "Very Good", L91&gt;=20000, "Good", L91&lt;20000, "Average")</f>
        <v>Excellent</v>
      </c>
    </row>
    <row r="92" spans="1:13" x14ac:dyDescent="0.3">
      <c r="A92" s="9">
        <v>1091</v>
      </c>
      <c r="B92" s="9" t="s">
        <v>53</v>
      </c>
      <c r="C92" s="4" t="s">
        <v>23</v>
      </c>
      <c r="D92" s="4" t="s">
        <v>20</v>
      </c>
      <c r="E92" s="4" t="s">
        <v>51</v>
      </c>
      <c r="F92" s="4">
        <v>2</v>
      </c>
      <c r="G92" s="4">
        <v>305</v>
      </c>
      <c r="H92" s="4">
        <v>0</v>
      </c>
      <c r="I92" s="7">
        <v>46136</v>
      </c>
      <c r="J92" s="7">
        <v>46144</v>
      </c>
      <c r="K92" s="4" t="s">
        <v>78</v>
      </c>
      <c r="L92" s="16">
        <f>F92*G92*(1-H92/100)</f>
        <v>610</v>
      </c>
      <c r="M92" s="4" t="str" cm="1">
        <f t="array" ref="M92">_xlfn.IFS(L92&gt;=100000, "Excellent", L92&gt;=50000, "Very Good", L92&gt;=20000, "Good", L92&lt;20000, "Average")</f>
        <v>Average</v>
      </c>
    </row>
    <row r="93" spans="1:13" x14ac:dyDescent="0.3">
      <c r="A93" s="9">
        <v>1092</v>
      </c>
      <c r="B93" s="9" t="s">
        <v>25</v>
      </c>
      <c r="C93" s="4" t="s">
        <v>26</v>
      </c>
      <c r="D93" s="4" t="s">
        <v>34</v>
      </c>
      <c r="E93" s="4" t="s">
        <v>40</v>
      </c>
      <c r="F93" s="4">
        <v>9</v>
      </c>
      <c r="G93" s="4">
        <v>23438</v>
      </c>
      <c r="H93" s="4">
        <v>2</v>
      </c>
      <c r="I93" s="7">
        <v>46049</v>
      </c>
      <c r="J93" s="7">
        <v>46055</v>
      </c>
      <c r="K93" s="4" t="s">
        <v>49</v>
      </c>
      <c r="L93" s="16">
        <f>F93*G93*(1-H93/100)</f>
        <v>206723.16</v>
      </c>
      <c r="M93" s="4" t="str" cm="1">
        <f t="array" ref="M93">_xlfn.IFS(L93&gt;=100000, "Excellent", L93&gt;=50000, "Very Good", L93&gt;=20000, "Good", L93&lt;20000, "Average")</f>
        <v>Excellent</v>
      </c>
    </row>
    <row r="94" spans="1:13" x14ac:dyDescent="0.3">
      <c r="A94" s="9">
        <v>1093</v>
      </c>
      <c r="B94" s="9" t="s">
        <v>45</v>
      </c>
      <c r="C94" s="4" t="s">
        <v>27</v>
      </c>
      <c r="D94" s="4" t="s">
        <v>24</v>
      </c>
      <c r="E94" s="4" t="s">
        <v>10</v>
      </c>
      <c r="F94" s="4">
        <v>6</v>
      </c>
      <c r="G94" s="4">
        <v>8224</v>
      </c>
      <c r="H94" s="4">
        <v>15</v>
      </c>
      <c r="I94" s="7">
        <v>46175</v>
      </c>
      <c r="J94" s="7">
        <v>46185</v>
      </c>
      <c r="K94" s="4" t="s">
        <v>81</v>
      </c>
      <c r="L94" s="16">
        <f>F94*G94*(1-H94/100)</f>
        <v>41942.400000000001</v>
      </c>
      <c r="M94" s="4" t="str" cm="1">
        <f t="array" ref="M94">_xlfn.IFS(L94&gt;=100000, "Excellent", L94&gt;=50000, "Very Good", L94&gt;=20000, "Good", L94&lt;20000, "Average")</f>
        <v>Good</v>
      </c>
    </row>
    <row r="95" spans="1:13" x14ac:dyDescent="0.3">
      <c r="A95" s="9">
        <v>1094</v>
      </c>
      <c r="B95" s="9" t="s">
        <v>45</v>
      </c>
      <c r="C95" s="4" t="s">
        <v>42</v>
      </c>
      <c r="D95" s="4" t="s">
        <v>34</v>
      </c>
      <c r="E95" s="4" t="s">
        <v>12</v>
      </c>
      <c r="F95" s="4">
        <v>4</v>
      </c>
      <c r="G95" s="4">
        <v>7073</v>
      </c>
      <c r="H95" s="4">
        <v>0</v>
      </c>
      <c r="I95" s="7">
        <v>46101</v>
      </c>
      <c r="J95" s="7">
        <v>46105</v>
      </c>
      <c r="K95" s="4" t="s">
        <v>49</v>
      </c>
      <c r="L95" s="16">
        <f>F95*G95*(1-H95/100)</f>
        <v>28292</v>
      </c>
      <c r="M95" s="4" t="str" cm="1">
        <f t="array" ref="M95">_xlfn.IFS(L95&gt;=100000, "Excellent", L95&gt;=50000, "Very Good", L95&gt;=20000, "Good", L95&lt;20000, "Average")</f>
        <v>Good</v>
      </c>
    </row>
    <row r="96" spans="1:13" x14ac:dyDescent="0.3">
      <c r="A96" s="9">
        <v>1095</v>
      </c>
      <c r="B96" s="9" t="s">
        <v>45</v>
      </c>
      <c r="C96" s="4" t="s">
        <v>27</v>
      </c>
      <c r="D96" s="4" t="s">
        <v>34</v>
      </c>
      <c r="E96" s="4" t="s">
        <v>40</v>
      </c>
      <c r="F96" s="4">
        <v>18</v>
      </c>
      <c r="G96" s="4">
        <v>587</v>
      </c>
      <c r="H96" s="4">
        <v>2</v>
      </c>
      <c r="I96" s="7">
        <v>46167</v>
      </c>
      <c r="J96" s="7">
        <v>46171</v>
      </c>
      <c r="K96" s="4" t="s">
        <v>79</v>
      </c>
      <c r="L96" s="16">
        <f>F96*G96*(1-H96/100)</f>
        <v>10354.68</v>
      </c>
      <c r="M96" s="4" t="str" cm="1">
        <f t="array" ref="M96">_xlfn.IFS(L96&gt;=100000, "Excellent", L96&gt;=50000, "Very Good", L96&gt;=20000, "Good", L96&lt;20000, "Average")</f>
        <v>Average</v>
      </c>
    </row>
    <row r="97" spans="1:13" x14ac:dyDescent="0.3">
      <c r="A97" s="9">
        <v>1096</v>
      </c>
      <c r="B97" s="9" t="s">
        <v>47</v>
      </c>
      <c r="C97" s="4" t="s">
        <v>23</v>
      </c>
      <c r="D97" s="4" t="s">
        <v>24</v>
      </c>
      <c r="E97" s="4" t="s">
        <v>10</v>
      </c>
      <c r="F97" s="4">
        <v>15</v>
      </c>
      <c r="G97" s="4">
        <v>14724</v>
      </c>
      <c r="H97" s="4">
        <v>15</v>
      </c>
      <c r="I97" s="7">
        <v>46054</v>
      </c>
      <c r="J97" s="7">
        <v>46061</v>
      </c>
      <c r="K97" s="4" t="s">
        <v>79</v>
      </c>
      <c r="L97" s="16">
        <f>F97*G97*(1-H97/100)</f>
        <v>187731</v>
      </c>
      <c r="M97" s="4" t="str" cm="1">
        <f t="array" ref="M97">_xlfn.IFS(L97&gt;=100000, "Excellent", L97&gt;=50000, "Very Good", L97&gt;=20000, "Good", L97&lt;20000, "Average")</f>
        <v>Excellent</v>
      </c>
    </row>
    <row r="98" spans="1:13" x14ac:dyDescent="0.3">
      <c r="A98" s="9">
        <v>1097</v>
      </c>
      <c r="B98" s="9" t="s">
        <v>50</v>
      </c>
      <c r="C98" s="4" t="s">
        <v>26</v>
      </c>
      <c r="D98" s="4" t="s">
        <v>34</v>
      </c>
      <c r="E98" s="4" t="s">
        <v>12</v>
      </c>
      <c r="F98" s="4">
        <v>10</v>
      </c>
      <c r="G98" s="4">
        <v>28980</v>
      </c>
      <c r="H98" s="4">
        <v>10</v>
      </c>
      <c r="I98" s="7">
        <v>46089</v>
      </c>
      <c r="J98" s="7">
        <v>46094</v>
      </c>
      <c r="K98" s="4" t="s">
        <v>80</v>
      </c>
      <c r="L98" s="16">
        <f>F98*G98*(1-H98/100)</f>
        <v>260820</v>
      </c>
      <c r="M98" s="4" t="str" cm="1">
        <f t="array" ref="M98">_xlfn.IFS(L98&gt;=100000, "Excellent", L98&gt;=50000, "Very Good", L98&gt;=20000, "Good", L98&lt;20000, "Average")</f>
        <v>Excellent</v>
      </c>
    </row>
    <row r="99" spans="1:13" x14ac:dyDescent="0.3">
      <c r="A99" s="9">
        <v>1098</v>
      </c>
      <c r="B99" s="9" t="s">
        <v>28</v>
      </c>
      <c r="C99" s="4" t="s">
        <v>27</v>
      </c>
      <c r="D99" s="4" t="s">
        <v>20</v>
      </c>
      <c r="E99" s="4" t="s">
        <v>51</v>
      </c>
      <c r="F99" s="4">
        <v>17</v>
      </c>
      <c r="G99" s="4">
        <v>345</v>
      </c>
      <c r="H99" s="4">
        <v>2</v>
      </c>
      <c r="I99" s="7">
        <v>46126</v>
      </c>
      <c r="J99" s="7">
        <v>46127</v>
      </c>
      <c r="K99" s="4" t="s">
        <v>81</v>
      </c>
      <c r="L99" s="16">
        <f>F99*G99*(1-H99/100)</f>
        <v>5747.7</v>
      </c>
      <c r="M99" s="4" t="str" cm="1">
        <f t="array" ref="M99">_xlfn.IFS(L99&gt;=100000, "Excellent", L99&gt;=50000, "Very Good", L99&gt;=20000, "Good", L99&lt;20000, "Average")</f>
        <v>Average</v>
      </c>
    </row>
    <row r="100" spans="1:13" x14ac:dyDescent="0.3">
      <c r="A100" s="9">
        <v>1099</v>
      </c>
      <c r="B100" s="9" t="s">
        <v>28</v>
      </c>
      <c r="C100" s="4" t="s">
        <v>31</v>
      </c>
      <c r="D100" s="4" t="s">
        <v>24</v>
      </c>
      <c r="E100" s="4" t="s">
        <v>7</v>
      </c>
      <c r="F100" s="4">
        <v>1</v>
      </c>
      <c r="G100" s="4">
        <v>5165</v>
      </c>
      <c r="H100" s="4">
        <v>2</v>
      </c>
      <c r="I100" s="7">
        <v>46058</v>
      </c>
      <c r="J100" s="7">
        <v>46060</v>
      </c>
      <c r="K100" s="4" t="s">
        <v>78</v>
      </c>
      <c r="L100" s="16">
        <f>F100*G100*(1-H100/100)</f>
        <v>5061.7</v>
      </c>
      <c r="M100" s="4" t="str" cm="1">
        <f t="array" ref="M100">_xlfn.IFS(L100&gt;=100000, "Excellent", L100&gt;=50000, "Very Good", L100&gt;=20000, "Good", L100&lt;20000, "Average")</f>
        <v>Average</v>
      </c>
    </row>
    <row r="101" spans="1:13" x14ac:dyDescent="0.3">
      <c r="A101" s="9">
        <v>1100</v>
      </c>
      <c r="B101" s="9" t="s">
        <v>18</v>
      </c>
      <c r="C101" s="4" t="s">
        <v>31</v>
      </c>
      <c r="D101" s="4" t="s">
        <v>20</v>
      </c>
      <c r="E101" s="4" t="s">
        <v>21</v>
      </c>
      <c r="F101" s="4">
        <v>11</v>
      </c>
      <c r="G101" s="4">
        <v>296</v>
      </c>
      <c r="H101" s="4">
        <v>10</v>
      </c>
      <c r="I101" s="7">
        <v>46027</v>
      </c>
      <c r="J101" s="7">
        <v>46031</v>
      </c>
      <c r="K101" s="4" t="s">
        <v>81</v>
      </c>
      <c r="L101" s="16">
        <f>F101*G101*(1-H101/100)</f>
        <v>2930.4</v>
      </c>
      <c r="M101" s="4" t="str" cm="1">
        <f t="array" ref="M101">_xlfn.IFS(L101&gt;=100000, "Excellent", L101&gt;=50000, "Very Good", L101&gt;=20000, "Good", L101&lt;20000, "Average")</f>
        <v>Average</v>
      </c>
    </row>
    <row r="102" spans="1:13" x14ac:dyDescent="0.3">
      <c r="A102" s="9">
        <v>1101</v>
      </c>
      <c r="B102" s="9" t="s">
        <v>29</v>
      </c>
      <c r="C102" s="4" t="s">
        <v>26</v>
      </c>
      <c r="D102" s="4" t="s">
        <v>34</v>
      </c>
      <c r="E102" s="4" t="s">
        <v>12</v>
      </c>
      <c r="F102" s="4">
        <v>9</v>
      </c>
      <c r="G102" s="4">
        <v>37361</v>
      </c>
      <c r="H102" s="4">
        <v>10</v>
      </c>
      <c r="I102" s="7">
        <v>46141</v>
      </c>
      <c r="J102" s="7">
        <v>46142</v>
      </c>
      <c r="K102" s="4" t="s">
        <v>80</v>
      </c>
      <c r="L102" s="16">
        <f>F102*G102*(1-H102/100)</f>
        <v>302624.10000000003</v>
      </c>
      <c r="M102" s="4" t="str" cm="1">
        <f t="array" ref="M102">_xlfn.IFS(L102&gt;=100000, "Excellent", L102&gt;=50000, "Very Good", L102&gt;=20000, "Good", L102&lt;20000, "Average")</f>
        <v>Excellent</v>
      </c>
    </row>
    <row r="103" spans="1:13" x14ac:dyDescent="0.3">
      <c r="A103" s="9">
        <v>1102</v>
      </c>
      <c r="B103" s="9" t="s">
        <v>52</v>
      </c>
      <c r="C103" s="4" t="s">
        <v>27</v>
      </c>
      <c r="D103" s="4" t="s">
        <v>34</v>
      </c>
      <c r="E103" s="4" t="s">
        <v>6</v>
      </c>
      <c r="F103" s="4">
        <v>12</v>
      </c>
      <c r="G103" s="4">
        <v>63402</v>
      </c>
      <c r="H103" s="4">
        <v>7</v>
      </c>
      <c r="I103" s="7">
        <v>46106</v>
      </c>
      <c r="J103" s="7">
        <v>46113</v>
      </c>
      <c r="K103" s="4" t="s">
        <v>81</v>
      </c>
      <c r="L103" s="16">
        <f>F103*G103*(1-H103/100)</f>
        <v>707566.32</v>
      </c>
      <c r="M103" s="4" t="str" cm="1">
        <f t="array" ref="M103">_xlfn.IFS(L103&gt;=100000, "Excellent", L103&gt;=50000, "Very Good", L103&gt;=20000, "Good", L103&lt;20000, "Average")</f>
        <v>Excellent</v>
      </c>
    </row>
    <row r="104" spans="1:13" x14ac:dyDescent="0.3">
      <c r="A104" s="9">
        <v>1103</v>
      </c>
      <c r="B104" s="9" t="s">
        <v>22</v>
      </c>
      <c r="C104" s="4" t="s">
        <v>19</v>
      </c>
      <c r="D104" s="4" t="s">
        <v>24</v>
      </c>
      <c r="E104" s="4" t="s">
        <v>10</v>
      </c>
      <c r="F104" s="4">
        <v>7</v>
      </c>
      <c r="G104" s="4">
        <v>11925</v>
      </c>
      <c r="H104" s="4">
        <v>5</v>
      </c>
      <c r="I104" s="7">
        <v>46040</v>
      </c>
      <c r="J104" s="7">
        <v>46041</v>
      </c>
      <c r="K104" s="4" t="s">
        <v>49</v>
      </c>
      <c r="L104" s="16">
        <f>F104*G104*(1-H104/100)</f>
        <v>79301.25</v>
      </c>
      <c r="M104" s="4" t="str" cm="1">
        <f t="array" ref="M104">_xlfn.IFS(L104&gt;=100000, "Excellent", L104&gt;=50000, "Very Good", L104&gt;=20000, "Good", L104&lt;20000, "Average")</f>
        <v>Very Good</v>
      </c>
    </row>
    <row r="105" spans="1:13" x14ac:dyDescent="0.3">
      <c r="A105" s="9">
        <v>1104</v>
      </c>
      <c r="B105" s="9" t="s">
        <v>22</v>
      </c>
      <c r="C105" s="4" t="s">
        <v>42</v>
      </c>
      <c r="D105" s="4" t="s">
        <v>24</v>
      </c>
      <c r="E105" s="4" t="s">
        <v>7</v>
      </c>
      <c r="F105" s="4">
        <v>10</v>
      </c>
      <c r="G105" s="4">
        <v>12848</v>
      </c>
      <c r="H105" s="4">
        <v>15</v>
      </c>
      <c r="I105" s="7">
        <v>46060</v>
      </c>
      <c r="J105" s="7">
        <v>46064</v>
      </c>
      <c r="K105" s="4" t="s">
        <v>49</v>
      </c>
      <c r="L105" s="16">
        <f>F105*G105*(1-H105/100)</f>
        <v>109208</v>
      </c>
      <c r="M105" s="4" t="str" cm="1">
        <f t="array" ref="M105">_xlfn.IFS(L105&gt;=100000, "Excellent", L105&gt;=50000, "Very Good", L105&gt;=20000, "Good", L105&lt;20000, "Average")</f>
        <v>Excellent</v>
      </c>
    </row>
    <row r="106" spans="1:13" x14ac:dyDescent="0.3">
      <c r="A106" s="9">
        <v>1105</v>
      </c>
      <c r="B106" s="9" t="s">
        <v>56</v>
      </c>
      <c r="C106" s="4" t="s">
        <v>27</v>
      </c>
      <c r="D106" s="4" t="s">
        <v>20</v>
      </c>
      <c r="E106" s="4" t="s">
        <v>48</v>
      </c>
      <c r="F106" s="4">
        <v>2</v>
      </c>
      <c r="G106" s="4">
        <v>493</v>
      </c>
      <c r="H106" s="4">
        <v>12</v>
      </c>
      <c r="I106" s="7">
        <v>46057</v>
      </c>
      <c r="J106" s="7">
        <v>46066</v>
      </c>
      <c r="K106" s="4" t="s">
        <v>81</v>
      </c>
      <c r="L106" s="16">
        <f>F106*G106*(1-H106/100)</f>
        <v>867.68</v>
      </c>
      <c r="M106" s="4" t="str" cm="1">
        <f t="array" ref="M106">_xlfn.IFS(L106&gt;=100000, "Excellent", L106&gt;=50000, "Very Good", L106&gt;=20000, "Good", L106&lt;20000, "Average")</f>
        <v>Average</v>
      </c>
    </row>
    <row r="107" spans="1:13" x14ac:dyDescent="0.3">
      <c r="A107" s="9">
        <v>1106</v>
      </c>
      <c r="B107" s="9" t="s">
        <v>29</v>
      </c>
      <c r="C107" s="4" t="s">
        <v>42</v>
      </c>
      <c r="D107" s="4" t="s">
        <v>24</v>
      </c>
      <c r="E107" s="4" t="s">
        <v>10</v>
      </c>
      <c r="F107" s="4">
        <v>20</v>
      </c>
      <c r="G107" s="4">
        <v>2141</v>
      </c>
      <c r="H107" s="4">
        <v>2</v>
      </c>
      <c r="I107" s="7">
        <v>46091</v>
      </c>
      <c r="J107" s="7">
        <v>46097</v>
      </c>
      <c r="K107" s="4" t="s">
        <v>49</v>
      </c>
      <c r="L107" s="16">
        <f>F107*G107*(1-H107/100)</f>
        <v>41963.6</v>
      </c>
      <c r="M107" s="4" t="str" cm="1">
        <f t="array" ref="M107">_xlfn.IFS(L107&gt;=100000, "Excellent", L107&gt;=50000, "Very Good", L107&gt;=20000, "Good", L107&lt;20000, "Average")</f>
        <v>Good</v>
      </c>
    </row>
    <row r="108" spans="1:13" x14ac:dyDescent="0.3">
      <c r="A108" s="9">
        <v>1107</v>
      </c>
      <c r="B108" s="9" t="s">
        <v>50</v>
      </c>
      <c r="C108" s="4" t="s">
        <v>23</v>
      </c>
      <c r="D108" s="4" t="s">
        <v>34</v>
      </c>
      <c r="E108" s="4" t="s">
        <v>9</v>
      </c>
      <c r="F108" s="4">
        <v>4</v>
      </c>
      <c r="G108" s="4">
        <v>14291</v>
      </c>
      <c r="H108" s="4">
        <v>2</v>
      </c>
      <c r="I108" s="7">
        <v>46076</v>
      </c>
      <c r="J108" s="7">
        <v>46078</v>
      </c>
      <c r="K108" s="4" t="s">
        <v>78</v>
      </c>
      <c r="L108" s="16">
        <f>F108*G108*(1-H108/100)</f>
        <v>56020.72</v>
      </c>
      <c r="M108" s="4" t="str" cm="1">
        <f t="array" ref="M108">_xlfn.IFS(L108&gt;=100000, "Excellent", L108&gt;=50000, "Very Good", L108&gt;=20000, "Good", L108&lt;20000, "Average")</f>
        <v>Very Good</v>
      </c>
    </row>
    <row r="109" spans="1:13" x14ac:dyDescent="0.3">
      <c r="A109" s="9">
        <v>1108</v>
      </c>
      <c r="B109" s="9" t="s">
        <v>41</v>
      </c>
      <c r="C109" s="4" t="s">
        <v>33</v>
      </c>
      <c r="D109" s="4" t="s">
        <v>24</v>
      </c>
      <c r="E109" s="4" t="s">
        <v>8</v>
      </c>
      <c r="F109" s="4">
        <v>15</v>
      </c>
      <c r="G109" s="4">
        <v>13843</v>
      </c>
      <c r="H109" s="4">
        <v>7</v>
      </c>
      <c r="I109" s="7">
        <v>46119</v>
      </c>
      <c r="J109" s="7">
        <v>46127</v>
      </c>
      <c r="K109" s="4" t="s">
        <v>79</v>
      </c>
      <c r="L109" s="16">
        <f>F109*G109*(1-H109/100)</f>
        <v>193109.84999999998</v>
      </c>
      <c r="M109" s="4" t="str" cm="1">
        <f t="array" ref="M109">_xlfn.IFS(L109&gt;=100000, "Excellent", L109&gt;=50000, "Very Good", L109&gt;=20000, "Good", L109&lt;20000, "Average")</f>
        <v>Excellent</v>
      </c>
    </row>
    <row r="110" spans="1:13" x14ac:dyDescent="0.3">
      <c r="A110" s="9">
        <v>1109</v>
      </c>
      <c r="B110" s="9" t="s">
        <v>25</v>
      </c>
      <c r="C110" s="4" t="s">
        <v>31</v>
      </c>
      <c r="D110" s="4" t="s">
        <v>24</v>
      </c>
      <c r="E110" s="4" t="s">
        <v>43</v>
      </c>
      <c r="F110" s="4">
        <v>19</v>
      </c>
      <c r="G110" s="4">
        <v>6512</v>
      </c>
      <c r="H110" s="4">
        <v>10</v>
      </c>
      <c r="I110" s="7">
        <v>46033</v>
      </c>
      <c r="J110" s="7">
        <v>46037</v>
      </c>
      <c r="K110" s="4" t="s">
        <v>79</v>
      </c>
      <c r="L110" s="16">
        <f>F110*G110*(1-H110/100)</f>
        <v>111355.2</v>
      </c>
      <c r="M110" s="4" t="str" cm="1">
        <f t="array" ref="M110">_xlfn.IFS(L110&gt;=100000, "Excellent", L110&gt;=50000, "Very Good", L110&gt;=20000, "Good", L110&lt;20000, "Average")</f>
        <v>Excellent</v>
      </c>
    </row>
    <row r="111" spans="1:13" x14ac:dyDescent="0.3">
      <c r="A111" s="9">
        <v>1110</v>
      </c>
      <c r="B111" s="9" t="s">
        <v>47</v>
      </c>
      <c r="C111" s="4" t="s">
        <v>38</v>
      </c>
      <c r="D111" s="4" t="s">
        <v>24</v>
      </c>
      <c r="E111" s="4" t="s">
        <v>10</v>
      </c>
      <c r="F111" s="4">
        <v>14</v>
      </c>
      <c r="G111" s="4">
        <v>6793</v>
      </c>
      <c r="H111" s="4">
        <v>7</v>
      </c>
      <c r="I111" s="7">
        <v>46077</v>
      </c>
      <c r="J111" s="7">
        <v>46082</v>
      </c>
      <c r="K111" s="4" t="s">
        <v>49</v>
      </c>
      <c r="L111" s="16">
        <f>F111*G111*(1-H111/100)</f>
        <v>88444.86</v>
      </c>
      <c r="M111" s="4" t="str" cm="1">
        <f t="array" ref="M111">_xlfn.IFS(L111&gt;=100000, "Excellent", L111&gt;=50000, "Very Good", L111&gt;=20000, "Good", L111&lt;20000, "Average")</f>
        <v>Very Good</v>
      </c>
    </row>
    <row r="112" spans="1:13" x14ac:dyDescent="0.3">
      <c r="A112" s="9">
        <v>1111</v>
      </c>
      <c r="B112" s="9" t="s">
        <v>45</v>
      </c>
      <c r="C112" s="4" t="s">
        <v>23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7">
        <v>46133</v>
      </c>
      <c r="J112" s="7">
        <v>46141</v>
      </c>
      <c r="K112" s="4" t="s">
        <v>49</v>
      </c>
      <c r="L112" s="16">
        <f>F112*G112*(1-H112/100)</f>
        <v>219758</v>
      </c>
      <c r="M112" s="4" t="str" cm="1">
        <f t="array" ref="M112">_xlfn.IFS(L112&gt;=100000, "Excellent", L112&gt;=50000, "Very Good", L112&gt;=20000, "Good", L112&lt;20000, "Average")</f>
        <v>Excellent</v>
      </c>
    </row>
    <row r="113" spans="1:13" x14ac:dyDescent="0.3">
      <c r="A113" s="9">
        <v>1112</v>
      </c>
      <c r="B113" s="9" t="s">
        <v>25</v>
      </c>
      <c r="C113" s="4" t="s">
        <v>42</v>
      </c>
      <c r="D113" s="4" t="s">
        <v>24</v>
      </c>
      <c r="E113" s="4" t="s">
        <v>43</v>
      </c>
      <c r="F113" s="4">
        <v>7</v>
      </c>
      <c r="G113" s="4">
        <v>1959</v>
      </c>
      <c r="H113" s="4">
        <v>15</v>
      </c>
      <c r="I113" s="7">
        <v>46090</v>
      </c>
      <c r="J113" s="7">
        <v>46100</v>
      </c>
      <c r="K113" s="4" t="s">
        <v>78</v>
      </c>
      <c r="L113" s="16">
        <f>F113*G113*(1-H113/100)</f>
        <v>11656.05</v>
      </c>
      <c r="M113" s="4" t="str" cm="1">
        <f t="array" ref="M113">_xlfn.IFS(L113&gt;=100000, "Excellent", L113&gt;=50000, "Very Good", L113&gt;=20000, "Good", L113&lt;20000, "Average")</f>
        <v>Average</v>
      </c>
    </row>
    <row r="114" spans="1:13" x14ac:dyDescent="0.3">
      <c r="A114" s="9">
        <v>1113</v>
      </c>
      <c r="B114" s="9" t="s">
        <v>28</v>
      </c>
      <c r="C114" s="4" t="s">
        <v>42</v>
      </c>
      <c r="D114" s="4" t="s">
        <v>24</v>
      </c>
      <c r="E114" s="4" t="s">
        <v>11</v>
      </c>
      <c r="F114" s="4">
        <v>13</v>
      </c>
      <c r="G114" s="4">
        <v>6719</v>
      </c>
      <c r="H114" s="4">
        <v>15</v>
      </c>
      <c r="I114" s="7">
        <v>46076</v>
      </c>
      <c r="J114" s="7">
        <v>46081</v>
      </c>
      <c r="K114" s="4" t="s">
        <v>80</v>
      </c>
      <c r="L114" s="16">
        <f>F114*G114*(1-H114/100)</f>
        <v>74244.95</v>
      </c>
      <c r="M114" s="4" t="str" cm="1">
        <f t="array" ref="M114">_xlfn.IFS(L114&gt;=100000, "Excellent", L114&gt;=50000, "Very Good", L114&gt;=20000, "Good", L114&lt;20000, "Average")</f>
        <v>Very Good</v>
      </c>
    </row>
    <row r="115" spans="1:13" x14ac:dyDescent="0.3">
      <c r="A115" s="9">
        <v>1114</v>
      </c>
      <c r="B115" s="9" t="s">
        <v>22</v>
      </c>
      <c r="C115" s="4" t="s">
        <v>27</v>
      </c>
      <c r="D115" s="4" t="s">
        <v>20</v>
      </c>
      <c r="E115" s="4" t="s">
        <v>48</v>
      </c>
      <c r="F115" s="4">
        <v>13</v>
      </c>
      <c r="G115" s="4">
        <v>32</v>
      </c>
      <c r="H115" s="4">
        <v>15</v>
      </c>
      <c r="I115" s="7">
        <v>46066</v>
      </c>
      <c r="J115" s="7">
        <v>46069</v>
      </c>
      <c r="K115" s="4" t="s">
        <v>78</v>
      </c>
      <c r="L115" s="16">
        <f>F115*G115*(1-H115/100)</f>
        <v>353.59999999999997</v>
      </c>
      <c r="M115" s="4" t="str" cm="1">
        <f t="array" ref="M115">_xlfn.IFS(L115&gt;=100000, "Excellent", L115&gt;=50000, "Very Good", L115&gt;=20000, "Good", L115&lt;20000, "Average")</f>
        <v>Average</v>
      </c>
    </row>
    <row r="116" spans="1:13" x14ac:dyDescent="0.3">
      <c r="A116" s="9">
        <v>1115</v>
      </c>
      <c r="B116" s="9" t="s">
        <v>56</v>
      </c>
      <c r="C116" s="4" t="s">
        <v>42</v>
      </c>
      <c r="D116" s="4" t="s">
        <v>20</v>
      </c>
      <c r="E116" s="4" t="s">
        <v>48</v>
      </c>
      <c r="F116" s="4">
        <v>9</v>
      </c>
      <c r="G116" s="4">
        <v>303</v>
      </c>
      <c r="H116" s="4">
        <v>10</v>
      </c>
      <c r="I116" s="7">
        <v>46149</v>
      </c>
      <c r="J116" s="7">
        <v>46157</v>
      </c>
      <c r="K116" s="4" t="s">
        <v>49</v>
      </c>
      <c r="L116" s="16">
        <f>F116*G116*(1-H116/100)</f>
        <v>2454.3000000000002</v>
      </c>
      <c r="M116" s="4" t="str" cm="1">
        <f t="array" ref="M116">_xlfn.IFS(L116&gt;=100000, "Excellent", L116&gt;=50000, "Very Good", L116&gt;=20000, "Good", L116&lt;20000, "Average")</f>
        <v>Average</v>
      </c>
    </row>
    <row r="117" spans="1:13" x14ac:dyDescent="0.3">
      <c r="A117" s="9">
        <v>1116</v>
      </c>
      <c r="B117" s="9" t="s">
        <v>22</v>
      </c>
      <c r="C117" s="4" t="s">
        <v>27</v>
      </c>
      <c r="D117" s="4" t="s">
        <v>24</v>
      </c>
      <c r="E117" s="4" t="s">
        <v>11</v>
      </c>
      <c r="F117" s="4">
        <v>2</v>
      </c>
      <c r="G117" s="4">
        <v>12692</v>
      </c>
      <c r="H117" s="4">
        <v>15</v>
      </c>
      <c r="I117" s="7">
        <v>46049</v>
      </c>
      <c r="J117" s="7">
        <v>46051</v>
      </c>
      <c r="K117" s="4" t="s">
        <v>78</v>
      </c>
      <c r="L117" s="16">
        <f>F117*G117*(1-H117/100)</f>
        <v>21576.399999999998</v>
      </c>
      <c r="M117" s="4" t="str" cm="1">
        <f t="array" ref="M117">_xlfn.IFS(L117&gt;=100000, "Excellent", L117&gt;=50000, "Very Good", L117&gt;=20000, "Good", L117&lt;20000, "Average")</f>
        <v>Good</v>
      </c>
    </row>
    <row r="118" spans="1:13" x14ac:dyDescent="0.3">
      <c r="A118" s="9">
        <v>1117</v>
      </c>
      <c r="B118" s="9" t="s">
        <v>53</v>
      </c>
      <c r="C118" s="4" t="s">
        <v>42</v>
      </c>
      <c r="D118" s="4" t="s">
        <v>34</v>
      </c>
      <c r="E118" s="4" t="s">
        <v>5</v>
      </c>
      <c r="F118" s="4">
        <v>16</v>
      </c>
      <c r="G118" s="4">
        <v>33162</v>
      </c>
      <c r="H118" s="4">
        <v>7</v>
      </c>
      <c r="I118" s="7">
        <v>46147</v>
      </c>
      <c r="J118" s="7">
        <v>46155</v>
      </c>
      <c r="K118" s="4" t="s">
        <v>49</v>
      </c>
      <c r="L118" s="16">
        <f>F118*G118*(1-H118/100)</f>
        <v>493450.55999999994</v>
      </c>
      <c r="M118" s="4" t="str" cm="1">
        <f t="array" ref="M118">_xlfn.IFS(L118&gt;=100000, "Excellent", L118&gt;=50000, "Very Good", L118&gt;=20000, "Good", L118&lt;20000, "Average")</f>
        <v>Excellent</v>
      </c>
    </row>
    <row r="119" spans="1:13" x14ac:dyDescent="0.3">
      <c r="A119" s="9">
        <v>1118</v>
      </c>
      <c r="B119" s="9" t="s">
        <v>25</v>
      </c>
      <c r="C119" s="4" t="s">
        <v>26</v>
      </c>
      <c r="D119" s="4" t="s">
        <v>24</v>
      </c>
      <c r="E119" s="4" t="s">
        <v>10</v>
      </c>
      <c r="F119" s="4">
        <v>18</v>
      </c>
      <c r="G119" s="4">
        <v>9118</v>
      </c>
      <c r="H119" s="4">
        <v>5</v>
      </c>
      <c r="I119" s="7">
        <v>46178</v>
      </c>
      <c r="J119" s="7">
        <v>46187</v>
      </c>
      <c r="K119" s="4" t="s">
        <v>49</v>
      </c>
      <c r="L119" s="16">
        <f>F119*G119*(1-H119/100)</f>
        <v>155917.79999999999</v>
      </c>
      <c r="M119" s="4" t="str" cm="1">
        <f t="array" ref="M119">_xlfn.IFS(L119&gt;=100000, "Excellent", L119&gt;=50000, "Very Good", L119&gt;=20000, "Good", L119&lt;20000, "Average")</f>
        <v>Excellent</v>
      </c>
    </row>
    <row r="120" spans="1:13" x14ac:dyDescent="0.3">
      <c r="A120" s="9">
        <v>1119</v>
      </c>
      <c r="B120" s="9" t="s">
        <v>30</v>
      </c>
      <c r="C120" s="4" t="s">
        <v>42</v>
      </c>
      <c r="D120" s="4" t="s">
        <v>24</v>
      </c>
      <c r="E120" s="4" t="s">
        <v>8</v>
      </c>
      <c r="F120" s="4">
        <v>2</v>
      </c>
      <c r="G120" s="4">
        <v>3706</v>
      </c>
      <c r="H120" s="4">
        <v>5</v>
      </c>
      <c r="I120" s="7">
        <v>46184</v>
      </c>
      <c r="J120" s="7">
        <v>46192</v>
      </c>
      <c r="K120" s="4" t="s">
        <v>81</v>
      </c>
      <c r="L120" s="16">
        <f>F120*G120*(1-H120/100)</f>
        <v>7041.4</v>
      </c>
      <c r="M120" s="4" t="str" cm="1">
        <f t="array" ref="M120">_xlfn.IFS(L120&gt;=100000, "Excellent", L120&gt;=50000, "Very Good", L120&gt;=20000, "Good", L120&lt;20000, "Average")</f>
        <v>Average</v>
      </c>
    </row>
    <row r="121" spans="1:13" x14ac:dyDescent="0.3">
      <c r="A121" s="9">
        <v>1120</v>
      </c>
      <c r="B121" s="9" t="s">
        <v>32</v>
      </c>
      <c r="C121" s="4" t="s">
        <v>38</v>
      </c>
      <c r="D121" s="4" t="s">
        <v>20</v>
      </c>
      <c r="E121" s="4" t="s">
        <v>36</v>
      </c>
      <c r="F121" s="4">
        <v>10</v>
      </c>
      <c r="G121" s="4">
        <v>438</v>
      </c>
      <c r="H121" s="4">
        <v>10</v>
      </c>
      <c r="I121" s="7">
        <v>46061</v>
      </c>
      <c r="J121" s="7">
        <v>46065</v>
      </c>
      <c r="K121" s="4" t="s">
        <v>81</v>
      </c>
      <c r="L121" s="16">
        <f>F121*G121*(1-H121/100)</f>
        <v>3942</v>
      </c>
      <c r="M121" s="4" t="str" cm="1">
        <f t="array" ref="M121">_xlfn.IFS(L121&gt;=100000, "Excellent", L121&gt;=50000, "Very Good", L121&gt;=20000, "Good", L121&lt;20000, "Average")</f>
        <v>Average</v>
      </c>
    </row>
    <row r="122" spans="1:13" x14ac:dyDescent="0.3">
      <c r="A122" s="9">
        <v>1121</v>
      </c>
      <c r="B122" s="9" t="s">
        <v>49</v>
      </c>
      <c r="C122" s="4" t="s">
        <v>19</v>
      </c>
      <c r="D122" s="4" t="s">
        <v>34</v>
      </c>
      <c r="E122" s="4" t="s">
        <v>5</v>
      </c>
      <c r="F122" s="4">
        <v>4</v>
      </c>
      <c r="G122" s="4">
        <v>55809</v>
      </c>
      <c r="H122" s="4">
        <v>2</v>
      </c>
      <c r="I122" s="7">
        <v>46103</v>
      </c>
      <c r="J122" s="7">
        <v>46108</v>
      </c>
      <c r="K122" s="4" t="s">
        <v>49</v>
      </c>
      <c r="L122" s="16">
        <f>F122*G122*(1-H122/100)</f>
        <v>218771.28</v>
      </c>
      <c r="M122" s="4" t="str" cm="1">
        <f t="array" ref="M122">_xlfn.IFS(L122&gt;=100000, "Excellent", L122&gt;=50000, "Very Good", L122&gt;=20000, "Good", L122&lt;20000, "Average")</f>
        <v>Excellent</v>
      </c>
    </row>
    <row r="123" spans="1:13" x14ac:dyDescent="0.3">
      <c r="A123" s="9">
        <v>1122</v>
      </c>
      <c r="B123" s="9" t="s">
        <v>39</v>
      </c>
      <c r="C123" s="4" t="s">
        <v>26</v>
      </c>
      <c r="D123" s="4" t="s">
        <v>34</v>
      </c>
      <c r="E123" s="4" t="s">
        <v>5</v>
      </c>
      <c r="F123" s="4">
        <v>14</v>
      </c>
      <c r="G123" s="4">
        <v>49990</v>
      </c>
      <c r="H123" s="4">
        <v>10</v>
      </c>
      <c r="I123" s="7">
        <v>46132</v>
      </c>
      <c r="J123" s="7">
        <v>46135</v>
      </c>
      <c r="K123" s="4" t="s">
        <v>49</v>
      </c>
      <c r="L123" s="16">
        <f>F123*G123*(1-H123/100)</f>
        <v>629874</v>
      </c>
      <c r="M123" s="4" t="str" cm="1">
        <f t="array" ref="M123">_xlfn.IFS(L123&gt;=100000, "Excellent", L123&gt;=50000, "Very Good", L123&gt;=20000, "Good", L123&lt;20000, "Average")</f>
        <v>Excellent</v>
      </c>
    </row>
    <row r="124" spans="1:13" x14ac:dyDescent="0.3">
      <c r="A124" s="9">
        <v>1123</v>
      </c>
      <c r="B124" s="9" t="s">
        <v>32</v>
      </c>
      <c r="C124" s="4" t="s">
        <v>31</v>
      </c>
      <c r="D124" s="4" t="s">
        <v>34</v>
      </c>
      <c r="E124" s="4" t="s">
        <v>6</v>
      </c>
      <c r="F124" s="4">
        <v>16</v>
      </c>
      <c r="G124" s="4">
        <v>1332</v>
      </c>
      <c r="H124" s="4">
        <v>7</v>
      </c>
      <c r="I124" s="7">
        <v>46107</v>
      </c>
      <c r="J124" s="7">
        <v>46109</v>
      </c>
      <c r="K124" s="4" t="s">
        <v>49</v>
      </c>
      <c r="L124" s="16">
        <f>F124*G124*(1-H124/100)</f>
        <v>19820.16</v>
      </c>
      <c r="M124" s="4" t="str" cm="1">
        <f t="array" ref="M124">_xlfn.IFS(L124&gt;=100000, "Excellent", L124&gt;=50000, "Very Good", L124&gt;=20000, "Good", L124&lt;20000, "Average")</f>
        <v>Average</v>
      </c>
    </row>
    <row r="125" spans="1:13" x14ac:dyDescent="0.3">
      <c r="A125" s="9">
        <v>1124</v>
      </c>
      <c r="B125" s="9" t="s">
        <v>29</v>
      </c>
      <c r="C125" s="4" t="s">
        <v>38</v>
      </c>
      <c r="D125" s="4" t="s">
        <v>24</v>
      </c>
      <c r="E125" s="4" t="s">
        <v>11</v>
      </c>
      <c r="F125" s="4">
        <v>4</v>
      </c>
      <c r="G125" s="4">
        <v>14195</v>
      </c>
      <c r="H125" s="4">
        <v>15</v>
      </c>
      <c r="I125" s="7">
        <v>46182</v>
      </c>
      <c r="J125" s="7">
        <v>46189</v>
      </c>
      <c r="K125" s="4" t="s">
        <v>81</v>
      </c>
      <c r="L125" s="16">
        <f>F125*G125*(1-H125/100)</f>
        <v>48263</v>
      </c>
      <c r="M125" s="4" t="str" cm="1">
        <f t="array" ref="M125">_xlfn.IFS(L125&gt;=100000, "Excellent", L125&gt;=50000, "Very Good", L125&gt;=20000, "Good", L125&lt;20000, "Average")</f>
        <v>Good</v>
      </c>
    </row>
    <row r="126" spans="1:13" x14ac:dyDescent="0.3">
      <c r="A126" s="9">
        <v>1125</v>
      </c>
      <c r="B126" s="9" t="s">
        <v>47</v>
      </c>
      <c r="C126" s="4" t="s">
        <v>33</v>
      </c>
      <c r="D126" s="4" t="s">
        <v>20</v>
      </c>
      <c r="E126" s="4" t="s">
        <v>21</v>
      </c>
      <c r="F126" s="4">
        <v>6</v>
      </c>
      <c r="G126" s="4">
        <v>30</v>
      </c>
      <c r="H126" s="4">
        <v>2</v>
      </c>
      <c r="I126" s="7">
        <v>46133</v>
      </c>
      <c r="J126" s="7">
        <v>46138</v>
      </c>
      <c r="K126" s="4" t="s">
        <v>80</v>
      </c>
      <c r="L126" s="16">
        <f>F126*G126*(1-H126/100)</f>
        <v>176.4</v>
      </c>
      <c r="M126" s="4" t="str" cm="1">
        <f t="array" ref="M126">_xlfn.IFS(L126&gt;=100000, "Excellent", L126&gt;=50000, "Very Good", L126&gt;=20000, "Good", L126&lt;20000, "Average")</f>
        <v>Average</v>
      </c>
    </row>
    <row r="127" spans="1:13" x14ac:dyDescent="0.3">
      <c r="A127" s="9">
        <v>1126</v>
      </c>
      <c r="B127" s="9" t="s">
        <v>44</v>
      </c>
      <c r="C127" s="4" t="s">
        <v>26</v>
      </c>
      <c r="D127" s="4" t="s">
        <v>34</v>
      </c>
      <c r="E127" s="4" t="s">
        <v>5</v>
      </c>
      <c r="F127" s="4">
        <v>17</v>
      </c>
      <c r="G127" s="4">
        <v>19390</v>
      </c>
      <c r="H127" s="4">
        <v>12</v>
      </c>
      <c r="I127" s="7">
        <v>46201</v>
      </c>
      <c r="J127" s="7">
        <v>46206</v>
      </c>
      <c r="K127" s="4" t="s">
        <v>49</v>
      </c>
      <c r="L127" s="16">
        <f>F127*G127*(1-H127/100)</f>
        <v>290074.40000000002</v>
      </c>
      <c r="M127" s="4" t="str" cm="1">
        <f t="array" ref="M127">_xlfn.IFS(L127&gt;=100000, "Excellent", L127&gt;=50000, "Very Good", L127&gt;=20000, "Good", L127&lt;20000, "Average")</f>
        <v>Excellent</v>
      </c>
    </row>
    <row r="128" spans="1:13" x14ac:dyDescent="0.3">
      <c r="A128" s="9">
        <v>1127</v>
      </c>
      <c r="B128" s="9" t="s">
        <v>28</v>
      </c>
      <c r="C128" s="4" t="s">
        <v>33</v>
      </c>
      <c r="D128" s="4" t="s">
        <v>24</v>
      </c>
      <c r="E128" s="4" t="s">
        <v>8</v>
      </c>
      <c r="F128" s="4">
        <v>15</v>
      </c>
      <c r="G128" s="4">
        <v>11694</v>
      </c>
      <c r="H128" s="4">
        <v>12</v>
      </c>
      <c r="I128" s="7">
        <v>46170</v>
      </c>
      <c r="J128" s="7">
        <v>46179</v>
      </c>
      <c r="K128" s="4" t="s">
        <v>49</v>
      </c>
      <c r="L128" s="16">
        <f>F128*G128*(1-H128/100)</f>
        <v>154360.79999999999</v>
      </c>
      <c r="M128" s="4" t="str" cm="1">
        <f t="array" ref="M128">_xlfn.IFS(L128&gt;=100000, "Excellent", L128&gt;=50000, "Very Good", L128&gt;=20000, "Good", L128&lt;20000, "Average")</f>
        <v>Excellent</v>
      </c>
    </row>
    <row r="129" spans="1:13" x14ac:dyDescent="0.3">
      <c r="A129" s="9">
        <v>1128</v>
      </c>
      <c r="B129" s="9" t="s">
        <v>30</v>
      </c>
      <c r="C129" s="4" t="s">
        <v>26</v>
      </c>
      <c r="D129" s="4" t="s">
        <v>34</v>
      </c>
      <c r="E129" s="4" t="s">
        <v>12</v>
      </c>
      <c r="F129" s="4">
        <v>6</v>
      </c>
      <c r="G129" s="4">
        <v>5001</v>
      </c>
      <c r="H129" s="4">
        <v>7</v>
      </c>
      <c r="I129" s="7">
        <v>46044</v>
      </c>
      <c r="J129" s="7">
        <v>46050</v>
      </c>
      <c r="K129" s="4" t="s">
        <v>49</v>
      </c>
      <c r="L129" s="16">
        <f>F129*G129*(1-H129/100)</f>
        <v>27905.579999999998</v>
      </c>
      <c r="M129" s="4" t="str" cm="1">
        <f t="array" ref="M129">_xlfn.IFS(L129&gt;=100000, "Excellent", L129&gt;=50000, "Very Good", L129&gt;=20000, "Good", L129&lt;20000, "Average")</f>
        <v>Good</v>
      </c>
    </row>
    <row r="130" spans="1:13" x14ac:dyDescent="0.3">
      <c r="A130" s="9">
        <v>1129</v>
      </c>
      <c r="B130" s="9" t="s">
        <v>55</v>
      </c>
      <c r="C130" s="4" t="s">
        <v>23</v>
      </c>
      <c r="D130" s="4" t="s">
        <v>20</v>
      </c>
      <c r="E130" s="4" t="s">
        <v>48</v>
      </c>
      <c r="F130" s="4">
        <v>15</v>
      </c>
      <c r="G130" s="4">
        <v>75</v>
      </c>
      <c r="H130" s="4">
        <v>7</v>
      </c>
      <c r="I130" s="7">
        <v>46160</v>
      </c>
      <c r="J130" s="7">
        <v>46164</v>
      </c>
      <c r="K130" s="4" t="s">
        <v>49</v>
      </c>
      <c r="L130" s="16">
        <f>F130*G130*(1-H130/100)</f>
        <v>1046.25</v>
      </c>
      <c r="M130" s="4" t="str" cm="1">
        <f t="array" ref="M130">_xlfn.IFS(L130&gt;=100000, "Excellent", L130&gt;=50000, "Very Good", L130&gt;=20000, "Good", L130&lt;20000, "Average")</f>
        <v>Average</v>
      </c>
    </row>
    <row r="131" spans="1:13" x14ac:dyDescent="0.3">
      <c r="A131" s="9">
        <v>1130</v>
      </c>
      <c r="B131" s="9" t="s">
        <v>46</v>
      </c>
      <c r="C131" s="4" t="s">
        <v>33</v>
      </c>
      <c r="D131" s="4" t="s">
        <v>20</v>
      </c>
      <c r="E131" s="4" t="s">
        <v>21</v>
      </c>
      <c r="F131" s="4">
        <v>12</v>
      </c>
      <c r="G131" s="4">
        <v>50</v>
      </c>
      <c r="H131" s="4">
        <v>2</v>
      </c>
      <c r="I131" s="7">
        <v>46125</v>
      </c>
      <c r="J131" s="7">
        <v>46131</v>
      </c>
      <c r="K131" s="4" t="s">
        <v>80</v>
      </c>
      <c r="L131" s="16">
        <f>F131*G131*(1-H131/100)</f>
        <v>588</v>
      </c>
      <c r="M131" s="4" t="str" cm="1">
        <f t="array" ref="M131">_xlfn.IFS(L131&gt;=100000, "Excellent", L131&gt;=50000, "Very Good", L131&gt;=20000, "Good", L131&lt;20000, "Average")</f>
        <v>Average</v>
      </c>
    </row>
    <row r="132" spans="1:13" x14ac:dyDescent="0.3">
      <c r="A132" s="9">
        <v>1131</v>
      </c>
      <c r="B132" s="9" t="s">
        <v>25</v>
      </c>
      <c r="C132" s="4" t="s">
        <v>31</v>
      </c>
      <c r="D132" s="4" t="s">
        <v>24</v>
      </c>
      <c r="E132" s="4" t="s">
        <v>10</v>
      </c>
      <c r="F132" s="4">
        <v>13</v>
      </c>
      <c r="G132" s="4">
        <v>3083</v>
      </c>
      <c r="H132" s="4">
        <v>7</v>
      </c>
      <c r="I132" s="7">
        <v>46168</v>
      </c>
      <c r="J132" s="7">
        <v>46173</v>
      </c>
      <c r="K132" s="4" t="s">
        <v>81</v>
      </c>
      <c r="L132" s="16">
        <f>F132*G132*(1-H132/100)</f>
        <v>37273.469999999994</v>
      </c>
      <c r="M132" s="4" t="str" cm="1">
        <f t="array" ref="M132">_xlfn.IFS(L132&gt;=100000, "Excellent", L132&gt;=50000, "Very Good", L132&gt;=20000, "Good", L132&lt;20000, "Average")</f>
        <v>Good</v>
      </c>
    </row>
    <row r="133" spans="1:13" x14ac:dyDescent="0.3">
      <c r="A133" s="9">
        <v>1132</v>
      </c>
      <c r="B133" s="9" t="s">
        <v>18</v>
      </c>
      <c r="C133" s="4" t="s">
        <v>31</v>
      </c>
      <c r="D133" s="4" t="s">
        <v>20</v>
      </c>
      <c r="E133" s="4" t="s">
        <v>48</v>
      </c>
      <c r="F133" s="4">
        <v>10</v>
      </c>
      <c r="G133" s="4">
        <v>270</v>
      </c>
      <c r="H133" s="4">
        <v>7</v>
      </c>
      <c r="I133" s="7">
        <v>46024</v>
      </c>
      <c r="J133" s="7">
        <v>46034</v>
      </c>
      <c r="K133" s="4" t="s">
        <v>80</v>
      </c>
      <c r="L133" s="16">
        <f>F133*G133*(1-H133/100)</f>
        <v>2511</v>
      </c>
      <c r="M133" s="4" t="str" cm="1">
        <f t="array" ref="M133">_xlfn.IFS(L133&gt;=100000, "Excellent", L133&gt;=50000, "Very Good", L133&gt;=20000, "Good", L133&lt;20000, "Average")</f>
        <v>Average</v>
      </c>
    </row>
    <row r="134" spans="1:13" x14ac:dyDescent="0.3">
      <c r="A134" s="9">
        <v>1133</v>
      </c>
      <c r="B134" s="9" t="s">
        <v>18</v>
      </c>
      <c r="C134" s="4" t="s">
        <v>19</v>
      </c>
      <c r="D134" s="4" t="s">
        <v>24</v>
      </c>
      <c r="E134" s="4" t="s">
        <v>11</v>
      </c>
      <c r="F134" s="4">
        <v>6</v>
      </c>
      <c r="G134" s="4">
        <v>9037</v>
      </c>
      <c r="H134" s="4">
        <v>2</v>
      </c>
      <c r="I134" s="7">
        <v>46112</v>
      </c>
      <c r="J134" s="7">
        <v>46121</v>
      </c>
      <c r="K134" s="4" t="s">
        <v>81</v>
      </c>
      <c r="L134" s="16">
        <f>F134*G134*(1-H134/100)</f>
        <v>53137.56</v>
      </c>
      <c r="M134" s="4" t="str" cm="1">
        <f t="array" ref="M134">_xlfn.IFS(L134&gt;=100000, "Excellent", L134&gt;=50000, "Very Good", L134&gt;=20000, "Good", L134&lt;20000, "Average")</f>
        <v>Very Good</v>
      </c>
    </row>
    <row r="135" spans="1:13" x14ac:dyDescent="0.3">
      <c r="A135" s="9">
        <v>1134</v>
      </c>
      <c r="B135" s="9" t="s">
        <v>54</v>
      </c>
      <c r="C135" s="4" t="s">
        <v>31</v>
      </c>
      <c r="D135" s="4" t="s">
        <v>34</v>
      </c>
      <c r="E135" s="4" t="s">
        <v>12</v>
      </c>
      <c r="F135" s="4">
        <v>10</v>
      </c>
      <c r="G135" s="4">
        <v>29217</v>
      </c>
      <c r="H135" s="4">
        <v>15</v>
      </c>
      <c r="I135" s="7">
        <v>46148</v>
      </c>
      <c r="J135" s="7">
        <v>46150</v>
      </c>
      <c r="K135" s="4" t="s">
        <v>80</v>
      </c>
      <c r="L135" s="16">
        <f>F135*G135*(1-H135/100)</f>
        <v>248344.5</v>
      </c>
      <c r="M135" s="4" t="str" cm="1">
        <f t="array" ref="M135">_xlfn.IFS(L135&gt;=100000, "Excellent", L135&gt;=50000, "Very Good", L135&gt;=20000, "Good", L135&lt;20000, "Average")</f>
        <v>Excellent</v>
      </c>
    </row>
    <row r="136" spans="1:13" x14ac:dyDescent="0.3">
      <c r="A136" s="9">
        <v>1135</v>
      </c>
      <c r="B136" s="9" t="s">
        <v>47</v>
      </c>
      <c r="C136" s="4" t="s">
        <v>42</v>
      </c>
      <c r="D136" s="4" t="s">
        <v>34</v>
      </c>
      <c r="E136" s="4" t="s">
        <v>5</v>
      </c>
      <c r="F136" s="4">
        <v>14</v>
      </c>
      <c r="G136" s="4">
        <v>68534</v>
      </c>
      <c r="H136" s="4">
        <v>0</v>
      </c>
      <c r="I136" s="7">
        <v>46041</v>
      </c>
      <c r="J136" s="7">
        <v>46042</v>
      </c>
      <c r="K136" s="4" t="s">
        <v>78</v>
      </c>
      <c r="L136" s="16">
        <f>F136*G136*(1-H136/100)</f>
        <v>959476</v>
      </c>
      <c r="M136" s="4" t="str" cm="1">
        <f t="array" ref="M136">_xlfn.IFS(L136&gt;=100000, "Excellent", L136&gt;=50000, "Very Good", L136&gt;=20000, "Good", L136&lt;20000, "Average")</f>
        <v>Excellent</v>
      </c>
    </row>
    <row r="137" spans="1:13" x14ac:dyDescent="0.3">
      <c r="A137" s="9">
        <v>1136</v>
      </c>
      <c r="B137" s="9" t="s">
        <v>29</v>
      </c>
      <c r="C137" s="4" t="s">
        <v>42</v>
      </c>
      <c r="D137" s="4" t="s">
        <v>24</v>
      </c>
      <c r="E137" s="4" t="s">
        <v>11</v>
      </c>
      <c r="F137" s="4">
        <v>19</v>
      </c>
      <c r="G137" s="4">
        <v>14528</v>
      </c>
      <c r="H137" s="4">
        <v>12</v>
      </c>
      <c r="I137" s="7">
        <v>46056</v>
      </c>
      <c r="J137" s="7">
        <v>46062</v>
      </c>
      <c r="K137" s="4" t="s">
        <v>80</v>
      </c>
      <c r="L137" s="16">
        <f>F137*G137*(1-H137/100)</f>
        <v>242908.16</v>
      </c>
      <c r="M137" s="4" t="str" cm="1">
        <f t="array" ref="M137">_xlfn.IFS(L137&gt;=100000, "Excellent", L137&gt;=50000, "Very Good", L137&gt;=20000, "Good", L137&lt;20000, "Average")</f>
        <v>Excellent</v>
      </c>
    </row>
    <row r="138" spans="1:13" x14ac:dyDescent="0.3">
      <c r="A138" s="9">
        <v>1137</v>
      </c>
      <c r="B138" s="9" t="s">
        <v>50</v>
      </c>
      <c r="C138" s="4" t="s">
        <v>19</v>
      </c>
      <c r="D138" s="4" t="s">
        <v>20</v>
      </c>
      <c r="E138" s="4" t="s">
        <v>37</v>
      </c>
      <c r="F138" s="4">
        <v>16</v>
      </c>
      <c r="G138" s="4">
        <v>270</v>
      </c>
      <c r="H138" s="4">
        <v>10</v>
      </c>
      <c r="I138" s="7">
        <v>46184</v>
      </c>
      <c r="J138" s="7">
        <v>46190</v>
      </c>
      <c r="K138" s="4" t="s">
        <v>49</v>
      </c>
      <c r="L138" s="16">
        <f>F138*G138*(1-H138/100)</f>
        <v>3888</v>
      </c>
      <c r="M138" s="4" t="str" cm="1">
        <f t="array" ref="M138">_xlfn.IFS(L138&gt;=100000, "Excellent", L138&gt;=50000, "Very Good", L138&gt;=20000, "Good", L138&lt;20000, "Average")</f>
        <v>Average</v>
      </c>
    </row>
    <row r="139" spans="1:13" x14ac:dyDescent="0.3">
      <c r="A139" s="9">
        <v>1138</v>
      </c>
      <c r="B139" s="9" t="s">
        <v>53</v>
      </c>
      <c r="C139" s="4" t="s">
        <v>42</v>
      </c>
      <c r="D139" s="4" t="s">
        <v>24</v>
      </c>
      <c r="E139" s="4" t="s">
        <v>7</v>
      </c>
      <c r="F139" s="4">
        <v>5</v>
      </c>
      <c r="G139" s="4">
        <v>14466</v>
      </c>
      <c r="H139" s="4">
        <v>2</v>
      </c>
      <c r="I139" s="7">
        <v>46084</v>
      </c>
      <c r="J139" s="7">
        <v>46092</v>
      </c>
      <c r="K139" s="4" t="s">
        <v>81</v>
      </c>
      <c r="L139" s="16">
        <f>F139*G139*(1-H139/100)</f>
        <v>70883.399999999994</v>
      </c>
      <c r="M139" s="4" t="str" cm="1">
        <f t="array" ref="M139">_xlfn.IFS(L139&gt;=100000, "Excellent", L139&gt;=50000, "Very Good", L139&gt;=20000, "Good", L139&lt;20000, "Average")</f>
        <v>Very Good</v>
      </c>
    </row>
    <row r="140" spans="1:13" x14ac:dyDescent="0.3">
      <c r="A140" s="9">
        <v>1139</v>
      </c>
      <c r="B140" s="9" t="s">
        <v>53</v>
      </c>
      <c r="C140" s="4" t="s">
        <v>33</v>
      </c>
      <c r="D140" s="4" t="s">
        <v>34</v>
      </c>
      <c r="E140" s="4" t="s">
        <v>12</v>
      </c>
      <c r="F140" s="4">
        <v>17</v>
      </c>
      <c r="G140" s="4">
        <v>28839</v>
      </c>
      <c r="H140" s="4">
        <v>10</v>
      </c>
      <c r="I140" s="7">
        <v>46093</v>
      </c>
      <c r="J140" s="7">
        <v>46099</v>
      </c>
      <c r="K140" s="4" t="s">
        <v>78</v>
      </c>
      <c r="L140" s="16">
        <f>F140*G140*(1-H140/100)</f>
        <v>441236.7</v>
      </c>
      <c r="M140" s="4" t="str" cm="1">
        <f t="array" ref="M140">_xlfn.IFS(L140&gt;=100000, "Excellent", L140&gt;=50000, "Very Good", L140&gt;=20000, "Good", L140&lt;20000, "Average")</f>
        <v>Excellent</v>
      </c>
    </row>
    <row r="141" spans="1:13" x14ac:dyDescent="0.3">
      <c r="A141" s="9">
        <v>1140</v>
      </c>
      <c r="B141" s="9" t="s">
        <v>54</v>
      </c>
      <c r="C141" s="4" t="s">
        <v>38</v>
      </c>
      <c r="D141" s="4" t="s">
        <v>34</v>
      </c>
      <c r="E141" s="4" t="s">
        <v>40</v>
      </c>
      <c r="F141" s="4">
        <v>5</v>
      </c>
      <c r="G141" s="4">
        <v>68012</v>
      </c>
      <c r="H141" s="4">
        <v>5</v>
      </c>
      <c r="I141" s="7">
        <v>46061</v>
      </c>
      <c r="J141" s="7">
        <v>46065</v>
      </c>
      <c r="K141" s="4" t="s">
        <v>78</v>
      </c>
      <c r="L141" s="16">
        <f>F141*G141*(1-H141/100)</f>
        <v>323057</v>
      </c>
      <c r="M141" s="4" t="str" cm="1">
        <f t="array" ref="M141">_xlfn.IFS(L141&gt;=100000, "Excellent", L141&gt;=50000, "Very Good", L141&gt;=20000, "Good", L141&lt;20000, "Average")</f>
        <v>Excellent</v>
      </c>
    </row>
    <row r="142" spans="1:13" x14ac:dyDescent="0.3">
      <c r="A142" s="9">
        <v>1141</v>
      </c>
      <c r="B142" s="9" t="s">
        <v>18</v>
      </c>
      <c r="C142" s="4" t="s">
        <v>23</v>
      </c>
      <c r="D142" s="4" t="s">
        <v>24</v>
      </c>
      <c r="E142" s="4" t="s">
        <v>43</v>
      </c>
      <c r="F142" s="4">
        <v>20</v>
      </c>
      <c r="G142" s="4">
        <v>6835</v>
      </c>
      <c r="H142" s="4">
        <v>2</v>
      </c>
      <c r="I142" s="7">
        <v>46043</v>
      </c>
      <c r="J142" s="7">
        <v>46053</v>
      </c>
      <c r="K142" s="4" t="s">
        <v>78</v>
      </c>
      <c r="L142" s="16">
        <f>F142*G142*(1-H142/100)</f>
        <v>133966</v>
      </c>
      <c r="M142" s="4" t="str" cm="1">
        <f t="array" ref="M142">_xlfn.IFS(L142&gt;=100000, "Excellent", L142&gt;=50000, "Very Good", L142&gt;=20000, "Good", L142&lt;20000, "Average")</f>
        <v>Excellent</v>
      </c>
    </row>
    <row r="143" spans="1:13" x14ac:dyDescent="0.3">
      <c r="A143" s="9">
        <v>1142</v>
      </c>
      <c r="B143" s="9" t="s">
        <v>39</v>
      </c>
      <c r="C143" s="4" t="s">
        <v>27</v>
      </c>
      <c r="D143" s="4" t="s">
        <v>34</v>
      </c>
      <c r="E143" s="4" t="s">
        <v>9</v>
      </c>
      <c r="F143" s="4">
        <v>9</v>
      </c>
      <c r="G143" s="4">
        <v>59788</v>
      </c>
      <c r="H143" s="4">
        <v>7</v>
      </c>
      <c r="I143" s="7">
        <v>46064</v>
      </c>
      <c r="J143" s="7">
        <v>46071</v>
      </c>
      <c r="K143" s="4" t="s">
        <v>49</v>
      </c>
      <c r="L143" s="16">
        <f>F143*G143*(1-H143/100)</f>
        <v>500425.55999999994</v>
      </c>
      <c r="M143" s="4" t="str" cm="1">
        <f t="array" ref="M143">_xlfn.IFS(L143&gt;=100000, "Excellent", L143&gt;=50000, "Very Good", L143&gt;=20000, "Good", L143&lt;20000, "Average")</f>
        <v>Excellent</v>
      </c>
    </row>
    <row r="144" spans="1:13" x14ac:dyDescent="0.3">
      <c r="A144" s="9">
        <v>1143</v>
      </c>
      <c r="B144" s="9" t="s">
        <v>49</v>
      </c>
      <c r="C144" s="4" t="s">
        <v>23</v>
      </c>
      <c r="D144" s="4" t="s">
        <v>20</v>
      </c>
      <c r="E144" s="4" t="s">
        <v>37</v>
      </c>
      <c r="F144" s="4">
        <v>13</v>
      </c>
      <c r="G144" s="4">
        <v>456</v>
      </c>
      <c r="H144" s="4">
        <v>2</v>
      </c>
      <c r="I144" s="7">
        <v>46160</v>
      </c>
      <c r="J144" s="7">
        <v>46167</v>
      </c>
      <c r="K144" s="4" t="s">
        <v>80</v>
      </c>
      <c r="L144" s="16">
        <f>F144*G144*(1-H144/100)</f>
        <v>5809.44</v>
      </c>
      <c r="M144" s="4" t="str" cm="1">
        <f t="array" ref="M144">_xlfn.IFS(L144&gt;=100000, "Excellent", L144&gt;=50000, "Very Good", L144&gt;=20000, "Good", L144&lt;20000, "Average")</f>
        <v>Average</v>
      </c>
    </row>
    <row r="145" spans="1:13" x14ac:dyDescent="0.3">
      <c r="A145" s="9">
        <v>1144</v>
      </c>
      <c r="B145" s="9" t="s">
        <v>41</v>
      </c>
      <c r="C145" s="4" t="s">
        <v>27</v>
      </c>
      <c r="D145" s="4" t="s">
        <v>20</v>
      </c>
      <c r="E145" s="4" t="s">
        <v>21</v>
      </c>
      <c r="F145" s="4">
        <v>16</v>
      </c>
      <c r="G145" s="4">
        <v>219</v>
      </c>
      <c r="H145" s="4">
        <v>7</v>
      </c>
      <c r="I145" s="7">
        <v>46138</v>
      </c>
      <c r="J145" s="7">
        <v>46140</v>
      </c>
      <c r="K145" s="4" t="s">
        <v>79</v>
      </c>
      <c r="L145" s="16">
        <f>F145*G145*(1-H145/100)</f>
        <v>3258.72</v>
      </c>
      <c r="M145" s="4" t="str" cm="1">
        <f t="array" ref="M145">_xlfn.IFS(L145&gt;=100000, "Excellent", L145&gt;=50000, "Very Good", L145&gt;=20000, "Good", L145&lt;20000, "Average")</f>
        <v>Average</v>
      </c>
    </row>
    <row r="146" spans="1:13" x14ac:dyDescent="0.3">
      <c r="A146" s="9">
        <v>1145</v>
      </c>
      <c r="B146" s="9" t="s">
        <v>41</v>
      </c>
      <c r="C146" s="4" t="s">
        <v>33</v>
      </c>
      <c r="D146" s="4" t="s">
        <v>34</v>
      </c>
      <c r="E146" s="4" t="s">
        <v>5</v>
      </c>
      <c r="F146" s="4">
        <v>2</v>
      </c>
      <c r="G146" s="4">
        <v>34429</v>
      </c>
      <c r="H146" s="4">
        <v>12</v>
      </c>
      <c r="I146" s="7">
        <v>46102</v>
      </c>
      <c r="J146" s="7">
        <v>46112</v>
      </c>
      <c r="K146" s="4" t="s">
        <v>80</v>
      </c>
      <c r="L146" s="16">
        <f>F146*G146*(1-H146/100)</f>
        <v>60595.040000000001</v>
      </c>
      <c r="M146" s="4" t="str" cm="1">
        <f t="array" ref="M146">_xlfn.IFS(L146&gt;=100000, "Excellent", L146&gt;=50000, "Very Good", L146&gt;=20000, "Good", L146&lt;20000, "Average")</f>
        <v>Very Good</v>
      </c>
    </row>
    <row r="147" spans="1:13" x14ac:dyDescent="0.3">
      <c r="A147" s="9">
        <v>1146</v>
      </c>
      <c r="B147" s="9" t="s">
        <v>22</v>
      </c>
      <c r="C147" s="4" t="s">
        <v>42</v>
      </c>
      <c r="D147" s="4" t="s">
        <v>34</v>
      </c>
      <c r="E147" s="4" t="s">
        <v>6</v>
      </c>
      <c r="F147" s="4">
        <v>7</v>
      </c>
      <c r="G147" s="4">
        <v>68217</v>
      </c>
      <c r="H147" s="4">
        <v>0</v>
      </c>
      <c r="I147" s="7">
        <v>46190</v>
      </c>
      <c r="J147" s="7">
        <v>46197</v>
      </c>
      <c r="K147" s="4" t="s">
        <v>49</v>
      </c>
      <c r="L147" s="16">
        <f>F147*G147*(1-H147/100)</f>
        <v>477519</v>
      </c>
      <c r="M147" s="4" t="str" cm="1">
        <f t="array" ref="M147">_xlfn.IFS(L147&gt;=100000, "Excellent", L147&gt;=50000, "Very Good", L147&gt;=20000, "Good", L147&lt;20000, "Average")</f>
        <v>Excellent</v>
      </c>
    </row>
    <row r="148" spans="1:13" x14ac:dyDescent="0.3">
      <c r="A148" s="9">
        <v>1147</v>
      </c>
      <c r="B148" s="9" t="s">
        <v>18</v>
      </c>
      <c r="C148" s="4" t="s">
        <v>26</v>
      </c>
      <c r="D148" s="4" t="s">
        <v>24</v>
      </c>
      <c r="E148" s="4" t="s">
        <v>8</v>
      </c>
      <c r="F148" s="4">
        <v>7</v>
      </c>
      <c r="G148" s="4">
        <v>9581</v>
      </c>
      <c r="H148" s="4">
        <v>5</v>
      </c>
      <c r="I148" s="7">
        <v>46154</v>
      </c>
      <c r="J148" s="7">
        <v>46155</v>
      </c>
      <c r="K148" s="4" t="s">
        <v>79</v>
      </c>
      <c r="L148" s="16">
        <f>F148*G148*(1-H148/100)</f>
        <v>63713.649999999994</v>
      </c>
      <c r="M148" s="4" t="str" cm="1">
        <f t="array" ref="M148">_xlfn.IFS(L148&gt;=100000, "Excellent", L148&gt;=50000, "Very Good", L148&gt;=20000, "Good", L148&lt;20000, "Average")</f>
        <v>Very Good</v>
      </c>
    </row>
    <row r="149" spans="1:13" x14ac:dyDescent="0.3">
      <c r="A149" s="9">
        <v>1148</v>
      </c>
      <c r="B149" s="9" t="s">
        <v>56</v>
      </c>
      <c r="C149" s="4" t="s">
        <v>33</v>
      </c>
      <c r="D149" s="4" t="s">
        <v>24</v>
      </c>
      <c r="E149" s="4" t="s">
        <v>8</v>
      </c>
      <c r="F149" s="4">
        <v>11</v>
      </c>
      <c r="G149" s="4">
        <v>3023</v>
      </c>
      <c r="H149" s="4">
        <v>7</v>
      </c>
      <c r="I149" s="7">
        <v>46030</v>
      </c>
      <c r="J149" s="7">
        <v>46032</v>
      </c>
      <c r="K149" s="4" t="s">
        <v>80</v>
      </c>
      <c r="L149" s="16">
        <f>F149*G149*(1-H149/100)</f>
        <v>30925.289999999997</v>
      </c>
      <c r="M149" s="4" t="str" cm="1">
        <f t="array" ref="M149">_xlfn.IFS(L149&gt;=100000, "Excellent", L149&gt;=50000, "Very Good", L149&gt;=20000, "Good", L149&lt;20000, "Average")</f>
        <v>Good</v>
      </c>
    </row>
    <row r="150" spans="1:13" x14ac:dyDescent="0.3">
      <c r="A150" s="9">
        <v>1149</v>
      </c>
      <c r="B150" s="9" t="s">
        <v>28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7">
        <v>46053</v>
      </c>
      <c r="J150" s="7">
        <v>46054</v>
      </c>
      <c r="K150" s="4" t="s">
        <v>49</v>
      </c>
      <c r="L150" s="16">
        <f>F150*G150*(1-H150/100)</f>
        <v>212532.9</v>
      </c>
      <c r="M150" s="4" t="str" cm="1">
        <f t="array" ref="M150">_xlfn.IFS(L150&gt;=100000, "Excellent", L150&gt;=50000, "Very Good", L150&gt;=20000, "Good", L150&lt;20000, "Average")</f>
        <v>Excellent</v>
      </c>
    </row>
    <row r="151" spans="1:13" x14ac:dyDescent="0.3">
      <c r="A151" s="9">
        <v>1150</v>
      </c>
      <c r="B151" s="9" t="s">
        <v>41</v>
      </c>
      <c r="C151" s="4" t="s">
        <v>19</v>
      </c>
      <c r="D151" s="4" t="s">
        <v>24</v>
      </c>
      <c r="E151" s="4" t="s">
        <v>11</v>
      </c>
      <c r="F151" s="4">
        <v>10</v>
      </c>
      <c r="G151" s="4">
        <v>5323</v>
      </c>
      <c r="H151" s="4">
        <v>7</v>
      </c>
      <c r="I151" s="7">
        <v>46143</v>
      </c>
      <c r="J151" s="7">
        <v>46153</v>
      </c>
      <c r="K151" s="4" t="s">
        <v>80</v>
      </c>
      <c r="L151" s="16">
        <f>F151*G151*(1-H151/100)</f>
        <v>49503.899999999994</v>
      </c>
      <c r="M151" s="4" t="str" cm="1">
        <f t="array" ref="M151">_xlfn.IFS(L151&gt;=100000, "Excellent", L151&gt;=50000, "Very Good", L151&gt;=20000, "Good", L151&lt;20000, "Average")</f>
        <v>Good</v>
      </c>
    </row>
    <row r="152" spans="1:13" x14ac:dyDescent="0.3">
      <c r="A152" s="9">
        <v>1151</v>
      </c>
      <c r="B152" s="9" t="s">
        <v>44</v>
      </c>
      <c r="C152" s="4" t="s">
        <v>42</v>
      </c>
      <c r="D152" s="4" t="s">
        <v>20</v>
      </c>
      <c r="E152" s="4" t="s">
        <v>48</v>
      </c>
      <c r="F152" s="4">
        <v>20</v>
      </c>
      <c r="G152" s="4">
        <v>272</v>
      </c>
      <c r="H152" s="4">
        <v>15</v>
      </c>
      <c r="I152" s="7">
        <v>46024</v>
      </c>
      <c r="J152" s="7">
        <v>46029</v>
      </c>
      <c r="K152" s="4" t="s">
        <v>81</v>
      </c>
      <c r="L152" s="16">
        <f>F152*G152*(1-H152/100)</f>
        <v>4624</v>
      </c>
      <c r="M152" s="4" t="str" cm="1">
        <f t="array" ref="M152">_xlfn.IFS(L152&gt;=100000, "Excellent", L152&gt;=50000, "Very Good", L152&gt;=20000, "Good", L152&lt;20000, "Average")</f>
        <v>Average</v>
      </c>
    </row>
    <row r="153" spans="1:13" x14ac:dyDescent="0.3">
      <c r="A153" s="9">
        <v>1152</v>
      </c>
      <c r="B153" s="9" t="s">
        <v>29</v>
      </c>
      <c r="C153" s="4" t="s">
        <v>31</v>
      </c>
      <c r="D153" s="4" t="s">
        <v>34</v>
      </c>
      <c r="E153" s="4" t="s">
        <v>12</v>
      </c>
      <c r="F153" s="4">
        <v>14</v>
      </c>
      <c r="G153" s="4">
        <v>8150</v>
      </c>
      <c r="H153" s="4">
        <v>10</v>
      </c>
      <c r="I153" s="7">
        <v>46062</v>
      </c>
      <c r="J153" s="7">
        <v>46070</v>
      </c>
      <c r="K153" s="4" t="s">
        <v>78</v>
      </c>
      <c r="L153" s="16">
        <f>F153*G153*(1-H153/100)</f>
        <v>102690</v>
      </c>
      <c r="M153" s="4" t="str" cm="1">
        <f t="array" ref="M153">_xlfn.IFS(L153&gt;=100000, "Excellent", L153&gt;=50000, "Very Good", L153&gt;=20000, "Good", L153&lt;20000, "Average")</f>
        <v>Excellent</v>
      </c>
    </row>
    <row r="154" spans="1:13" x14ac:dyDescent="0.3">
      <c r="A154" s="9">
        <v>1153</v>
      </c>
      <c r="B154" s="9" t="s">
        <v>41</v>
      </c>
      <c r="C154" s="4" t="s">
        <v>27</v>
      </c>
      <c r="D154" s="4" t="s">
        <v>24</v>
      </c>
      <c r="E154" s="4" t="s">
        <v>10</v>
      </c>
      <c r="F154" s="4">
        <v>19</v>
      </c>
      <c r="G154" s="4">
        <v>10273</v>
      </c>
      <c r="H154" s="4">
        <v>12</v>
      </c>
      <c r="I154" s="7">
        <v>46069</v>
      </c>
      <c r="J154" s="7">
        <v>46072</v>
      </c>
      <c r="K154" s="4" t="s">
        <v>49</v>
      </c>
      <c r="L154" s="16">
        <f>F154*G154*(1-H154/100)</f>
        <v>171764.56</v>
      </c>
      <c r="M154" s="4" t="str" cm="1">
        <f t="array" ref="M154">_xlfn.IFS(L154&gt;=100000, "Excellent", L154&gt;=50000, "Very Good", L154&gt;=20000, "Good", L154&lt;20000, "Average")</f>
        <v>Excellent</v>
      </c>
    </row>
    <row r="155" spans="1:13" x14ac:dyDescent="0.3">
      <c r="A155" s="9">
        <v>1154</v>
      </c>
      <c r="B155" s="9" t="s">
        <v>32</v>
      </c>
      <c r="C155" s="4" t="s">
        <v>23</v>
      </c>
      <c r="D155" s="4" t="s">
        <v>24</v>
      </c>
      <c r="E155" s="4" t="s">
        <v>11</v>
      </c>
      <c r="F155" s="4">
        <v>15</v>
      </c>
      <c r="G155" s="4">
        <v>6101</v>
      </c>
      <c r="H155" s="4">
        <v>0</v>
      </c>
      <c r="I155" s="7">
        <v>46178</v>
      </c>
      <c r="J155" s="7">
        <v>46183</v>
      </c>
      <c r="K155" s="4" t="s">
        <v>81</v>
      </c>
      <c r="L155" s="16">
        <f>F155*G155*(1-H155/100)</f>
        <v>91515</v>
      </c>
      <c r="M155" s="4" t="str" cm="1">
        <f t="array" ref="M155">_xlfn.IFS(L155&gt;=100000, "Excellent", L155&gt;=50000, "Very Good", L155&gt;=20000, "Good", L155&lt;20000, "Average")</f>
        <v>Very Good</v>
      </c>
    </row>
    <row r="156" spans="1:13" x14ac:dyDescent="0.3">
      <c r="A156" s="9">
        <v>1155</v>
      </c>
      <c r="B156" s="9" t="s">
        <v>18</v>
      </c>
      <c r="C156" s="4" t="s">
        <v>31</v>
      </c>
      <c r="D156" s="4" t="s">
        <v>24</v>
      </c>
      <c r="E156" s="4" t="s">
        <v>8</v>
      </c>
      <c r="F156" s="4">
        <v>13</v>
      </c>
      <c r="G156" s="4">
        <v>4341</v>
      </c>
      <c r="H156" s="4">
        <v>15</v>
      </c>
      <c r="I156" s="7">
        <v>46093</v>
      </c>
      <c r="J156" s="7">
        <v>46096</v>
      </c>
      <c r="K156" s="4" t="s">
        <v>80</v>
      </c>
      <c r="L156" s="16">
        <f>F156*G156*(1-H156/100)</f>
        <v>47968.049999999996</v>
      </c>
      <c r="M156" s="4" t="str" cm="1">
        <f t="array" ref="M156">_xlfn.IFS(L156&gt;=100000, "Excellent", L156&gt;=50000, "Very Good", L156&gt;=20000, "Good", L156&lt;20000, "Average")</f>
        <v>Good</v>
      </c>
    </row>
    <row r="157" spans="1:13" x14ac:dyDescent="0.3">
      <c r="A157" s="9">
        <v>1156</v>
      </c>
      <c r="B157" s="9" t="s">
        <v>52</v>
      </c>
      <c r="C157" s="4" t="s">
        <v>38</v>
      </c>
      <c r="D157" s="4" t="s">
        <v>20</v>
      </c>
      <c r="E157" s="4" t="s">
        <v>36</v>
      </c>
      <c r="F157" s="4">
        <v>5</v>
      </c>
      <c r="G157" s="4">
        <v>466</v>
      </c>
      <c r="H157" s="4">
        <v>15</v>
      </c>
      <c r="I157" s="7">
        <v>46025</v>
      </c>
      <c r="J157" s="7">
        <v>46029</v>
      </c>
      <c r="K157" s="4" t="s">
        <v>78</v>
      </c>
      <c r="L157" s="16">
        <f>F157*G157*(1-H157/100)</f>
        <v>1980.5</v>
      </c>
      <c r="M157" s="4" t="str" cm="1">
        <f t="array" ref="M157">_xlfn.IFS(L157&gt;=100000, "Excellent", L157&gt;=50000, "Very Good", L157&gt;=20000, "Good", L157&lt;20000, "Average")</f>
        <v>Average</v>
      </c>
    </row>
    <row r="158" spans="1:13" x14ac:dyDescent="0.3">
      <c r="A158" s="9">
        <v>1157</v>
      </c>
      <c r="B158" s="9" t="s">
        <v>50</v>
      </c>
      <c r="C158" s="4" t="s">
        <v>33</v>
      </c>
      <c r="D158" s="4" t="s">
        <v>20</v>
      </c>
      <c r="E158" s="4" t="s">
        <v>48</v>
      </c>
      <c r="F158" s="4">
        <v>3</v>
      </c>
      <c r="G158" s="4">
        <v>203</v>
      </c>
      <c r="H158" s="4">
        <v>15</v>
      </c>
      <c r="I158" s="7">
        <v>46076</v>
      </c>
      <c r="J158" s="7">
        <v>46080</v>
      </c>
      <c r="K158" s="4" t="s">
        <v>49</v>
      </c>
      <c r="L158" s="16">
        <f>F158*G158*(1-H158/100)</f>
        <v>517.65</v>
      </c>
      <c r="M158" s="4" t="str" cm="1">
        <f t="array" ref="M158">_xlfn.IFS(L158&gt;=100000, "Excellent", L158&gt;=50000, "Very Good", L158&gt;=20000, "Good", L158&lt;20000, "Average")</f>
        <v>Average</v>
      </c>
    </row>
    <row r="159" spans="1:13" x14ac:dyDescent="0.3">
      <c r="A159" s="9">
        <v>1158</v>
      </c>
      <c r="B159" s="9" t="s">
        <v>28</v>
      </c>
      <c r="C159" s="4" t="s">
        <v>38</v>
      </c>
      <c r="D159" s="4" t="s">
        <v>34</v>
      </c>
      <c r="E159" s="4" t="s">
        <v>40</v>
      </c>
      <c r="F159" s="4">
        <v>13</v>
      </c>
      <c r="G159" s="4">
        <v>12518</v>
      </c>
      <c r="H159" s="4">
        <v>2</v>
      </c>
      <c r="I159" s="7">
        <v>46079</v>
      </c>
      <c r="J159" s="7">
        <v>46082</v>
      </c>
      <c r="K159" s="4" t="s">
        <v>81</v>
      </c>
      <c r="L159" s="16">
        <f>F159*G159*(1-H159/100)</f>
        <v>159479.32</v>
      </c>
      <c r="M159" s="4" t="str" cm="1">
        <f t="array" ref="M159">_xlfn.IFS(L159&gt;=100000, "Excellent", L159&gt;=50000, "Very Good", L159&gt;=20000, "Good", L159&lt;20000, "Average")</f>
        <v>Excellent</v>
      </c>
    </row>
    <row r="160" spans="1:13" x14ac:dyDescent="0.3">
      <c r="A160" s="9">
        <v>1159</v>
      </c>
      <c r="B160" s="9" t="s">
        <v>32</v>
      </c>
      <c r="C160" s="4" t="s">
        <v>42</v>
      </c>
      <c r="D160" s="4" t="s">
        <v>24</v>
      </c>
      <c r="E160" s="4" t="s">
        <v>8</v>
      </c>
      <c r="F160" s="4">
        <v>20</v>
      </c>
      <c r="G160" s="4">
        <v>14000</v>
      </c>
      <c r="H160" s="4">
        <v>15</v>
      </c>
      <c r="I160" s="7">
        <v>46184</v>
      </c>
      <c r="J160" s="7">
        <v>46187</v>
      </c>
      <c r="K160" s="4" t="s">
        <v>78</v>
      </c>
      <c r="L160" s="16">
        <f>F160*G160*(1-H160/100)</f>
        <v>238000</v>
      </c>
      <c r="M160" s="4" t="str" cm="1">
        <f t="array" ref="M160">_xlfn.IFS(L160&gt;=100000, "Excellent", L160&gt;=50000, "Very Good", L160&gt;=20000, "Good", L160&lt;20000, "Average")</f>
        <v>Excellent</v>
      </c>
    </row>
    <row r="161" spans="1:13" x14ac:dyDescent="0.3">
      <c r="A161" s="9">
        <v>1160</v>
      </c>
      <c r="B161" s="9" t="s">
        <v>56</v>
      </c>
      <c r="C161" s="4" t="s">
        <v>26</v>
      </c>
      <c r="D161" s="4" t="s">
        <v>34</v>
      </c>
      <c r="E161" s="4" t="s">
        <v>5</v>
      </c>
      <c r="F161" s="4">
        <v>7</v>
      </c>
      <c r="G161" s="4">
        <v>53986</v>
      </c>
      <c r="H161" s="4">
        <v>10</v>
      </c>
      <c r="I161" s="7">
        <v>46142</v>
      </c>
      <c r="J161" s="7">
        <v>46147</v>
      </c>
      <c r="K161" s="4" t="s">
        <v>81</v>
      </c>
      <c r="L161" s="16">
        <f>F161*G161*(1-H161/100)</f>
        <v>340111.8</v>
      </c>
      <c r="M161" s="4" t="str" cm="1">
        <f t="array" ref="M161">_xlfn.IFS(L161&gt;=100000, "Excellent", L161&gt;=50000, "Very Good", L161&gt;=20000, "Good", L161&lt;20000, "Average")</f>
        <v>Excellent</v>
      </c>
    </row>
    <row r="162" spans="1:13" x14ac:dyDescent="0.3">
      <c r="A162" s="9">
        <v>1161</v>
      </c>
      <c r="B162" s="9" t="s">
        <v>29</v>
      </c>
      <c r="C162" s="4" t="s">
        <v>27</v>
      </c>
      <c r="D162" s="4" t="s">
        <v>34</v>
      </c>
      <c r="E162" s="4" t="s">
        <v>5</v>
      </c>
      <c r="F162" s="4">
        <v>4</v>
      </c>
      <c r="G162" s="4">
        <v>54659</v>
      </c>
      <c r="H162" s="4">
        <v>7</v>
      </c>
      <c r="I162" s="7">
        <v>46105</v>
      </c>
      <c r="J162" s="7">
        <v>46109</v>
      </c>
      <c r="K162" s="4" t="s">
        <v>79</v>
      </c>
      <c r="L162" s="16">
        <f>F162*G162*(1-H162/100)</f>
        <v>203331.47999999998</v>
      </c>
      <c r="M162" s="4" t="str" cm="1">
        <f t="array" ref="M162">_xlfn.IFS(L162&gt;=100000, "Excellent", L162&gt;=50000, "Very Good", L162&gt;=20000, "Good", L162&lt;20000, "Average")</f>
        <v>Excellent</v>
      </c>
    </row>
    <row r="163" spans="1:13" x14ac:dyDescent="0.3">
      <c r="A163" s="9">
        <v>1162</v>
      </c>
      <c r="B163" s="9" t="s">
        <v>54</v>
      </c>
      <c r="C163" s="4" t="s">
        <v>31</v>
      </c>
      <c r="D163" s="4" t="s">
        <v>34</v>
      </c>
      <c r="E163" s="4" t="s">
        <v>6</v>
      </c>
      <c r="F163" s="4">
        <v>2</v>
      </c>
      <c r="G163" s="4">
        <v>28176</v>
      </c>
      <c r="H163" s="4">
        <v>10</v>
      </c>
      <c r="I163" s="7">
        <v>46100</v>
      </c>
      <c r="J163" s="7">
        <v>46101</v>
      </c>
      <c r="K163" s="4" t="s">
        <v>79</v>
      </c>
      <c r="L163" s="16">
        <f>F163*G163*(1-H163/100)</f>
        <v>50716.800000000003</v>
      </c>
      <c r="M163" s="4" t="str" cm="1">
        <f t="array" ref="M163">_xlfn.IFS(L163&gt;=100000, "Excellent", L163&gt;=50000, "Very Good", L163&gt;=20000, "Good", L163&lt;20000, "Average")</f>
        <v>Very Good</v>
      </c>
    </row>
    <row r="164" spans="1:13" x14ac:dyDescent="0.3">
      <c r="A164" s="9">
        <v>1163</v>
      </c>
      <c r="B164" s="9" t="s">
        <v>49</v>
      </c>
      <c r="C164" s="4" t="s">
        <v>38</v>
      </c>
      <c r="D164" s="4" t="s">
        <v>34</v>
      </c>
      <c r="E164" s="4" t="s">
        <v>5</v>
      </c>
      <c r="F164" s="4">
        <v>9</v>
      </c>
      <c r="G164" s="4">
        <v>62440</v>
      </c>
      <c r="H164" s="4">
        <v>2</v>
      </c>
      <c r="I164" s="7">
        <v>46081</v>
      </c>
      <c r="J164" s="7">
        <v>46086</v>
      </c>
      <c r="K164" s="4" t="s">
        <v>49</v>
      </c>
      <c r="L164" s="16">
        <f>F164*G164*(1-H164/100)</f>
        <v>550720.80000000005</v>
      </c>
      <c r="M164" s="4" t="str" cm="1">
        <f t="array" ref="M164">_xlfn.IFS(L164&gt;=100000, "Excellent", L164&gt;=50000, "Very Good", L164&gt;=20000, "Good", L164&lt;20000, "Average")</f>
        <v>Excellent</v>
      </c>
    </row>
    <row r="165" spans="1:13" x14ac:dyDescent="0.3">
      <c r="A165" s="9">
        <v>1164</v>
      </c>
      <c r="B165" s="9" t="s">
        <v>39</v>
      </c>
      <c r="C165" s="4" t="s">
        <v>42</v>
      </c>
      <c r="D165" s="4" t="s">
        <v>34</v>
      </c>
      <c r="E165" s="4" t="s">
        <v>12</v>
      </c>
      <c r="F165" s="4">
        <v>7</v>
      </c>
      <c r="G165" s="4">
        <v>24615</v>
      </c>
      <c r="H165" s="4">
        <v>12</v>
      </c>
      <c r="I165" s="7">
        <v>46196</v>
      </c>
      <c r="J165" s="7">
        <v>46203</v>
      </c>
      <c r="K165" s="4" t="s">
        <v>81</v>
      </c>
      <c r="L165" s="16">
        <f>F165*G165*(1-H165/100)</f>
        <v>151628.4</v>
      </c>
      <c r="M165" s="4" t="str" cm="1">
        <f t="array" ref="M165">_xlfn.IFS(L165&gt;=100000, "Excellent", L165&gt;=50000, "Very Good", L165&gt;=20000, "Good", L165&lt;20000, "Average")</f>
        <v>Excellent</v>
      </c>
    </row>
    <row r="166" spans="1:13" x14ac:dyDescent="0.3">
      <c r="A166" s="9">
        <v>1165</v>
      </c>
      <c r="B166" s="9" t="s">
        <v>46</v>
      </c>
      <c r="C166" s="4" t="s">
        <v>27</v>
      </c>
      <c r="D166" s="4" t="s">
        <v>20</v>
      </c>
      <c r="E166" s="4" t="s">
        <v>37</v>
      </c>
      <c r="F166" s="4">
        <v>1</v>
      </c>
      <c r="G166" s="4">
        <v>427</v>
      </c>
      <c r="H166" s="4">
        <v>0</v>
      </c>
      <c r="I166" s="7">
        <v>46042</v>
      </c>
      <c r="J166" s="7">
        <v>46050</v>
      </c>
      <c r="K166" s="4" t="s">
        <v>81</v>
      </c>
      <c r="L166" s="16">
        <f>F166*G166*(1-H166/100)</f>
        <v>427</v>
      </c>
      <c r="M166" s="4" t="str" cm="1">
        <f t="array" ref="M166">_xlfn.IFS(L166&gt;=100000, "Excellent", L166&gt;=50000, "Very Good", L166&gt;=20000, "Good", L166&lt;20000, "Average")</f>
        <v>Average</v>
      </c>
    </row>
    <row r="167" spans="1:13" x14ac:dyDescent="0.3">
      <c r="A167" s="9">
        <v>1166</v>
      </c>
      <c r="B167" s="9" t="s">
        <v>32</v>
      </c>
      <c r="C167" s="4" t="s">
        <v>31</v>
      </c>
      <c r="D167" s="4" t="s">
        <v>20</v>
      </c>
      <c r="E167" s="4" t="s">
        <v>37</v>
      </c>
      <c r="F167" s="4">
        <v>1</v>
      </c>
      <c r="G167" s="4">
        <v>396</v>
      </c>
      <c r="H167" s="4">
        <v>5</v>
      </c>
      <c r="I167" s="7">
        <v>46092</v>
      </c>
      <c r="J167" s="7">
        <v>46093</v>
      </c>
      <c r="K167" s="4" t="s">
        <v>79</v>
      </c>
      <c r="L167" s="16">
        <f>F167*G167*(1-H167/100)</f>
        <v>376.2</v>
      </c>
      <c r="M167" s="4" t="str" cm="1">
        <f t="array" ref="M167">_xlfn.IFS(L167&gt;=100000, "Excellent", L167&gt;=50000, "Very Good", L167&gt;=20000, "Good", L167&lt;20000, "Average")</f>
        <v>Average</v>
      </c>
    </row>
    <row r="168" spans="1:13" x14ac:dyDescent="0.3">
      <c r="A168" s="9">
        <v>1167</v>
      </c>
      <c r="B168" s="9" t="s">
        <v>46</v>
      </c>
      <c r="C168" s="4" t="s">
        <v>23</v>
      </c>
      <c r="D168" s="4" t="s">
        <v>20</v>
      </c>
      <c r="E168" s="4" t="s">
        <v>37</v>
      </c>
      <c r="F168" s="4">
        <v>20</v>
      </c>
      <c r="G168" s="4">
        <v>251</v>
      </c>
      <c r="H168" s="4">
        <v>5</v>
      </c>
      <c r="I168" s="7">
        <v>46160</v>
      </c>
      <c r="J168" s="7">
        <v>46170</v>
      </c>
      <c r="K168" s="4" t="s">
        <v>49</v>
      </c>
      <c r="L168" s="16">
        <f>F168*G168*(1-H168/100)</f>
        <v>4769</v>
      </c>
      <c r="M168" s="4" t="str" cm="1">
        <f t="array" ref="M168">_xlfn.IFS(L168&gt;=100000, "Excellent", L168&gt;=50000, "Very Good", L168&gt;=20000, "Good", L168&lt;20000, "Average")</f>
        <v>Average</v>
      </c>
    </row>
    <row r="169" spans="1:13" x14ac:dyDescent="0.3">
      <c r="A169" s="9">
        <v>1168</v>
      </c>
      <c r="B169" s="9" t="s">
        <v>52</v>
      </c>
      <c r="C169" s="4" t="s">
        <v>19</v>
      </c>
      <c r="D169" s="4" t="s">
        <v>20</v>
      </c>
      <c r="E169" s="4" t="s">
        <v>37</v>
      </c>
      <c r="F169" s="4">
        <v>18</v>
      </c>
      <c r="G169" s="4">
        <v>335</v>
      </c>
      <c r="H169" s="4">
        <v>15</v>
      </c>
      <c r="I169" s="7">
        <v>46130</v>
      </c>
      <c r="J169" s="7">
        <v>46140</v>
      </c>
      <c r="K169" s="4" t="s">
        <v>49</v>
      </c>
      <c r="L169" s="16">
        <f>F169*G169*(1-H169/100)</f>
        <v>5125.5</v>
      </c>
      <c r="M169" s="4" t="str" cm="1">
        <f t="array" ref="M169">_xlfn.IFS(L169&gt;=100000, "Excellent", L169&gt;=50000, "Very Good", L169&gt;=20000, "Good", L169&lt;20000, "Average")</f>
        <v>Average</v>
      </c>
    </row>
    <row r="170" spans="1:13" x14ac:dyDescent="0.3">
      <c r="A170" s="9">
        <v>1169</v>
      </c>
      <c r="B170" s="9" t="s">
        <v>45</v>
      </c>
      <c r="C170" s="4" t="s">
        <v>19</v>
      </c>
      <c r="D170" s="4" t="s">
        <v>24</v>
      </c>
      <c r="E170" s="4" t="s">
        <v>11</v>
      </c>
      <c r="F170" s="4">
        <v>12</v>
      </c>
      <c r="G170" s="4">
        <v>12104</v>
      </c>
      <c r="H170" s="4">
        <v>7</v>
      </c>
      <c r="I170" s="7">
        <v>46121</v>
      </c>
      <c r="J170" s="7">
        <v>46130</v>
      </c>
      <c r="K170" s="4" t="s">
        <v>80</v>
      </c>
      <c r="L170" s="16">
        <f>F170*G170*(1-H170/100)</f>
        <v>135080.63999999998</v>
      </c>
      <c r="M170" s="4" t="str" cm="1">
        <f t="array" ref="M170">_xlfn.IFS(L170&gt;=100000, "Excellent", L170&gt;=50000, "Very Good", L170&gt;=20000, "Good", L170&lt;20000, "Average")</f>
        <v>Excellent</v>
      </c>
    </row>
    <row r="171" spans="1:13" x14ac:dyDescent="0.3">
      <c r="A171" s="9">
        <v>1170</v>
      </c>
      <c r="B171" s="9" t="s">
        <v>47</v>
      </c>
      <c r="C171" s="4" t="s">
        <v>38</v>
      </c>
      <c r="D171" s="4" t="s">
        <v>20</v>
      </c>
      <c r="E171" s="4" t="s">
        <v>21</v>
      </c>
      <c r="F171" s="4">
        <v>6</v>
      </c>
      <c r="G171" s="4">
        <v>339</v>
      </c>
      <c r="H171" s="4">
        <v>12</v>
      </c>
      <c r="I171" s="7">
        <v>46105</v>
      </c>
      <c r="J171" s="7">
        <v>46106</v>
      </c>
      <c r="K171" s="4" t="s">
        <v>80</v>
      </c>
      <c r="L171" s="16">
        <f>F171*G171*(1-H171/100)</f>
        <v>1789.92</v>
      </c>
      <c r="M171" s="4" t="str" cm="1">
        <f t="array" ref="M171">_xlfn.IFS(L171&gt;=100000, "Excellent", L171&gt;=50000, "Very Good", L171&gt;=20000, "Good", L171&lt;20000, "Average")</f>
        <v>Average</v>
      </c>
    </row>
    <row r="172" spans="1:13" x14ac:dyDescent="0.3">
      <c r="A172" s="9">
        <v>1171</v>
      </c>
      <c r="B172" s="9" t="s">
        <v>54</v>
      </c>
      <c r="C172" s="4" t="s">
        <v>27</v>
      </c>
      <c r="D172" s="4" t="s">
        <v>20</v>
      </c>
      <c r="E172" s="4" t="s">
        <v>48</v>
      </c>
      <c r="F172" s="4">
        <v>17</v>
      </c>
      <c r="G172" s="4">
        <v>147</v>
      </c>
      <c r="H172" s="4">
        <v>12</v>
      </c>
      <c r="I172" s="7">
        <v>46155</v>
      </c>
      <c r="J172" s="7">
        <v>46160</v>
      </c>
      <c r="K172" s="4" t="s">
        <v>79</v>
      </c>
      <c r="L172" s="16">
        <f>F172*G172*(1-H172/100)</f>
        <v>2199.12</v>
      </c>
      <c r="M172" s="4" t="str" cm="1">
        <f t="array" ref="M172">_xlfn.IFS(L172&gt;=100000, "Excellent", L172&gt;=50000, "Very Good", L172&gt;=20000, "Good", L172&lt;20000, "Average")</f>
        <v>Average</v>
      </c>
    </row>
    <row r="173" spans="1:13" x14ac:dyDescent="0.3">
      <c r="A173" s="9">
        <v>1172</v>
      </c>
      <c r="B173" s="9" t="s">
        <v>22</v>
      </c>
      <c r="C173" s="4" t="s">
        <v>19</v>
      </c>
      <c r="D173" s="4" t="s">
        <v>34</v>
      </c>
      <c r="E173" s="4" t="s">
        <v>6</v>
      </c>
      <c r="F173" s="4">
        <v>13</v>
      </c>
      <c r="G173" s="4">
        <v>43163</v>
      </c>
      <c r="H173" s="4">
        <v>12</v>
      </c>
      <c r="I173" s="7">
        <v>46120</v>
      </c>
      <c r="J173" s="7">
        <v>46129</v>
      </c>
      <c r="K173" s="4" t="s">
        <v>80</v>
      </c>
      <c r="L173" s="16">
        <f>F173*G173*(1-H173/100)</f>
        <v>493784.72000000003</v>
      </c>
      <c r="M173" s="4" t="str" cm="1">
        <f t="array" ref="M173">_xlfn.IFS(L173&gt;=100000, "Excellent", L173&gt;=50000, "Very Good", L173&gt;=20000, "Good", L173&lt;20000, "Average")</f>
        <v>Excellent</v>
      </c>
    </row>
    <row r="174" spans="1:13" x14ac:dyDescent="0.3">
      <c r="A174" s="9">
        <v>1173</v>
      </c>
      <c r="B174" s="9" t="s">
        <v>39</v>
      </c>
      <c r="C174" s="4" t="s">
        <v>23</v>
      </c>
      <c r="D174" s="4" t="s">
        <v>20</v>
      </c>
      <c r="E174" s="4" t="s">
        <v>37</v>
      </c>
      <c r="F174" s="4">
        <v>15</v>
      </c>
      <c r="G174" s="4">
        <v>214</v>
      </c>
      <c r="H174" s="4">
        <v>10</v>
      </c>
      <c r="I174" s="7">
        <v>46050</v>
      </c>
      <c r="J174" s="7">
        <v>46060</v>
      </c>
      <c r="K174" s="4" t="s">
        <v>81</v>
      </c>
      <c r="L174" s="16">
        <f>F174*G174*(1-H174/100)</f>
        <v>2889</v>
      </c>
      <c r="M174" s="4" t="str" cm="1">
        <f t="array" ref="M174">_xlfn.IFS(L174&gt;=100000, "Excellent", L174&gt;=50000, "Very Good", L174&gt;=20000, "Good", L174&lt;20000, "Average")</f>
        <v>Average</v>
      </c>
    </row>
    <row r="175" spans="1:13" x14ac:dyDescent="0.3">
      <c r="A175" s="9">
        <v>1174</v>
      </c>
      <c r="B175" s="9" t="s">
        <v>55</v>
      </c>
      <c r="C175" s="4" t="s">
        <v>38</v>
      </c>
      <c r="D175" s="4" t="s">
        <v>20</v>
      </c>
      <c r="E175" s="4" t="s">
        <v>21</v>
      </c>
      <c r="F175" s="4">
        <v>13</v>
      </c>
      <c r="G175" s="4">
        <v>155</v>
      </c>
      <c r="H175" s="4">
        <v>2</v>
      </c>
      <c r="I175" s="7">
        <v>46066</v>
      </c>
      <c r="J175" s="7">
        <v>46069</v>
      </c>
      <c r="K175" s="4" t="s">
        <v>80</v>
      </c>
      <c r="L175" s="16">
        <f>F175*G175*(1-H175/100)</f>
        <v>1974.7</v>
      </c>
      <c r="M175" s="4" t="str" cm="1">
        <f t="array" ref="M175">_xlfn.IFS(L175&gt;=100000, "Excellent", L175&gt;=50000, "Very Good", L175&gt;=20000, "Good", L175&lt;20000, "Average")</f>
        <v>Average</v>
      </c>
    </row>
    <row r="176" spans="1:13" x14ac:dyDescent="0.3">
      <c r="A176" s="9">
        <v>1175</v>
      </c>
      <c r="B176" s="9" t="s">
        <v>28</v>
      </c>
      <c r="C176" s="4" t="s">
        <v>23</v>
      </c>
      <c r="D176" s="4" t="s">
        <v>34</v>
      </c>
      <c r="E176" s="4" t="s">
        <v>40</v>
      </c>
      <c r="F176" s="4">
        <v>10</v>
      </c>
      <c r="G176" s="4">
        <v>20339</v>
      </c>
      <c r="H176" s="4">
        <v>2</v>
      </c>
      <c r="I176" s="7">
        <v>46088</v>
      </c>
      <c r="J176" s="7">
        <v>46094</v>
      </c>
      <c r="K176" s="4" t="s">
        <v>79</v>
      </c>
      <c r="L176" s="16">
        <f>F176*G176*(1-H176/100)</f>
        <v>199322.19999999998</v>
      </c>
      <c r="M176" s="4" t="str" cm="1">
        <f t="array" ref="M176">_xlfn.IFS(L176&gt;=100000, "Excellent", L176&gt;=50000, "Very Good", L176&gt;=20000, "Good", L176&lt;20000, "Average")</f>
        <v>Excellent</v>
      </c>
    </row>
    <row r="177" spans="1:13" x14ac:dyDescent="0.3">
      <c r="A177" s="9">
        <v>1176</v>
      </c>
      <c r="B177" s="9" t="s">
        <v>55</v>
      </c>
      <c r="C177" s="4" t="s">
        <v>38</v>
      </c>
      <c r="D177" s="4" t="s">
        <v>34</v>
      </c>
      <c r="E177" s="4" t="s">
        <v>40</v>
      </c>
      <c r="F177" s="4">
        <v>17</v>
      </c>
      <c r="G177" s="4">
        <v>46937</v>
      </c>
      <c r="H177" s="4">
        <v>12</v>
      </c>
      <c r="I177" s="7">
        <v>46048</v>
      </c>
      <c r="J177" s="7">
        <v>46056</v>
      </c>
      <c r="K177" s="4" t="s">
        <v>49</v>
      </c>
      <c r="L177" s="16">
        <f>F177*G177*(1-H177/100)</f>
        <v>702177.52</v>
      </c>
      <c r="M177" s="4" t="str" cm="1">
        <f t="array" ref="M177">_xlfn.IFS(L177&gt;=100000, "Excellent", L177&gt;=50000, "Very Good", L177&gt;=20000, "Good", L177&lt;20000, "Average")</f>
        <v>Excellent</v>
      </c>
    </row>
    <row r="178" spans="1:13" x14ac:dyDescent="0.3">
      <c r="A178" s="9">
        <v>1177</v>
      </c>
      <c r="B178" s="9" t="s">
        <v>49</v>
      </c>
      <c r="C178" s="4" t="s">
        <v>26</v>
      </c>
      <c r="D178" s="4" t="s">
        <v>24</v>
      </c>
      <c r="E178" s="4" t="s">
        <v>7</v>
      </c>
      <c r="F178" s="4">
        <v>14</v>
      </c>
      <c r="G178" s="4">
        <v>7501</v>
      </c>
      <c r="H178" s="4">
        <v>7</v>
      </c>
      <c r="I178" s="7">
        <v>46169</v>
      </c>
      <c r="J178" s="7">
        <v>46179</v>
      </c>
      <c r="K178" s="4" t="s">
        <v>79</v>
      </c>
      <c r="L178" s="16">
        <f>F178*G178*(1-H178/100)</f>
        <v>97663.01999999999</v>
      </c>
      <c r="M178" s="4" t="str" cm="1">
        <f t="array" ref="M178">_xlfn.IFS(L178&gt;=100000, "Excellent", L178&gt;=50000, "Very Good", L178&gt;=20000, "Good", L178&lt;20000, "Average")</f>
        <v>Very Good</v>
      </c>
    </row>
    <row r="179" spans="1:13" x14ac:dyDescent="0.3">
      <c r="A179" s="9">
        <v>1178</v>
      </c>
      <c r="B179" s="9" t="s">
        <v>54</v>
      </c>
      <c r="C179" s="4" t="s">
        <v>23</v>
      </c>
      <c r="D179" s="4" t="s">
        <v>20</v>
      </c>
      <c r="E179" s="4" t="s">
        <v>48</v>
      </c>
      <c r="F179" s="4">
        <v>5</v>
      </c>
      <c r="G179" s="4">
        <v>50</v>
      </c>
      <c r="H179" s="4">
        <v>0</v>
      </c>
      <c r="I179" s="7">
        <v>46111</v>
      </c>
      <c r="J179" s="7">
        <v>46117</v>
      </c>
      <c r="K179" s="4" t="s">
        <v>79</v>
      </c>
      <c r="L179" s="16">
        <f>F179*G179*(1-H179/100)</f>
        <v>250</v>
      </c>
      <c r="M179" s="4" t="str" cm="1">
        <f t="array" ref="M179">_xlfn.IFS(L179&gt;=100000, "Excellent", L179&gt;=50000, "Very Good", L179&gt;=20000, "Good", L179&lt;20000, "Average")</f>
        <v>Average</v>
      </c>
    </row>
    <row r="180" spans="1:13" x14ac:dyDescent="0.3">
      <c r="A180" s="9">
        <v>1179</v>
      </c>
      <c r="B180" s="9" t="s">
        <v>45</v>
      </c>
      <c r="C180" s="4" t="s">
        <v>23</v>
      </c>
      <c r="D180" s="4" t="s">
        <v>34</v>
      </c>
      <c r="E180" s="4" t="s">
        <v>5</v>
      </c>
      <c r="F180" s="4">
        <v>6</v>
      </c>
      <c r="G180" s="4">
        <v>10400</v>
      </c>
      <c r="H180" s="4">
        <v>2</v>
      </c>
      <c r="I180" s="7">
        <v>46155</v>
      </c>
      <c r="J180" s="7">
        <v>46158</v>
      </c>
      <c r="K180" s="4" t="s">
        <v>78</v>
      </c>
      <c r="L180" s="16">
        <f>F180*G180*(1-H180/100)</f>
        <v>61152</v>
      </c>
      <c r="M180" s="4" t="str" cm="1">
        <f t="array" ref="M180">_xlfn.IFS(L180&gt;=100000, "Excellent", L180&gt;=50000, "Very Good", L180&gt;=20000, "Good", L180&lt;20000, "Average")</f>
        <v>Very Good</v>
      </c>
    </row>
    <row r="181" spans="1:13" x14ac:dyDescent="0.3">
      <c r="A181" s="9">
        <v>1180</v>
      </c>
      <c r="B181" s="9" t="s">
        <v>39</v>
      </c>
      <c r="C181" s="4" t="s">
        <v>31</v>
      </c>
      <c r="D181" s="4" t="s">
        <v>24</v>
      </c>
      <c r="E181" s="4" t="s">
        <v>8</v>
      </c>
      <c r="F181" s="4">
        <v>2</v>
      </c>
      <c r="G181" s="4">
        <v>2076</v>
      </c>
      <c r="H181" s="4">
        <v>2</v>
      </c>
      <c r="I181" s="7">
        <v>46111</v>
      </c>
      <c r="J181" s="7">
        <v>46121</v>
      </c>
      <c r="K181" s="4" t="s">
        <v>49</v>
      </c>
      <c r="L181" s="16">
        <f>F181*G181*(1-H181/100)</f>
        <v>4068.96</v>
      </c>
      <c r="M181" s="4" t="str" cm="1">
        <f t="array" ref="M181">_xlfn.IFS(L181&gt;=100000, "Excellent", L181&gt;=50000, "Very Good", L181&gt;=20000, "Good", L181&lt;20000, "Average")</f>
        <v>Average</v>
      </c>
    </row>
    <row r="182" spans="1:13" x14ac:dyDescent="0.3">
      <c r="A182" s="9">
        <v>1181</v>
      </c>
      <c r="B182" s="9" t="s">
        <v>55</v>
      </c>
      <c r="C182" s="4" t="s">
        <v>33</v>
      </c>
      <c r="D182" s="4" t="s">
        <v>20</v>
      </c>
      <c r="E182" s="4" t="s">
        <v>36</v>
      </c>
      <c r="F182" s="4">
        <v>4</v>
      </c>
      <c r="G182" s="4">
        <v>357</v>
      </c>
      <c r="H182" s="4">
        <v>2</v>
      </c>
      <c r="I182" s="7">
        <v>46033</v>
      </c>
      <c r="J182" s="7">
        <v>46035</v>
      </c>
      <c r="K182" s="4" t="s">
        <v>78</v>
      </c>
      <c r="L182" s="16">
        <f>F182*G182*(1-H182/100)</f>
        <v>1399.44</v>
      </c>
      <c r="M182" s="4" t="str" cm="1">
        <f t="array" ref="M182">_xlfn.IFS(L182&gt;=100000, "Excellent", L182&gt;=50000, "Very Good", L182&gt;=20000, "Good", L182&lt;20000, "Average")</f>
        <v>Average</v>
      </c>
    </row>
    <row r="183" spans="1:13" x14ac:dyDescent="0.3">
      <c r="A183" s="9">
        <v>1182</v>
      </c>
      <c r="B183" s="9" t="s">
        <v>41</v>
      </c>
      <c r="C183" s="4" t="s">
        <v>19</v>
      </c>
      <c r="D183" s="4" t="s">
        <v>34</v>
      </c>
      <c r="E183" s="4" t="s">
        <v>5</v>
      </c>
      <c r="F183" s="4">
        <v>8</v>
      </c>
      <c r="G183" s="4">
        <v>66022</v>
      </c>
      <c r="H183" s="4">
        <v>12</v>
      </c>
      <c r="I183" s="7">
        <v>46108</v>
      </c>
      <c r="J183" s="7">
        <v>46114</v>
      </c>
      <c r="K183" s="4" t="s">
        <v>80</v>
      </c>
      <c r="L183" s="16">
        <f>F183*G183*(1-H183/100)</f>
        <v>464794.88</v>
      </c>
      <c r="M183" s="4" t="str" cm="1">
        <f t="array" ref="M183">_xlfn.IFS(L183&gt;=100000, "Excellent", L183&gt;=50000, "Very Good", L183&gt;=20000, "Good", L183&lt;20000, "Average")</f>
        <v>Excellent</v>
      </c>
    </row>
    <row r="184" spans="1:13" x14ac:dyDescent="0.3">
      <c r="A184" s="9">
        <v>1183</v>
      </c>
      <c r="B184" s="9" t="s">
        <v>50</v>
      </c>
      <c r="C184" s="4" t="s">
        <v>42</v>
      </c>
      <c r="D184" s="4" t="s">
        <v>20</v>
      </c>
      <c r="E184" s="4" t="s">
        <v>21</v>
      </c>
      <c r="F184" s="4">
        <v>2</v>
      </c>
      <c r="G184" s="4">
        <v>309</v>
      </c>
      <c r="H184" s="4">
        <v>2</v>
      </c>
      <c r="I184" s="7">
        <v>46109</v>
      </c>
      <c r="J184" s="7">
        <v>46111</v>
      </c>
      <c r="K184" s="4" t="s">
        <v>79</v>
      </c>
      <c r="L184" s="16">
        <f>F184*G184*(1-H184/100)</f>
        <v>605.64</v>
      </c>
      <c r="M184" s="4" t="str" cm="1">
        <f t="array" ref="M184">_xlfn.IFS(L184&gt;=100000, "Excellent", L184&gt;=50000, "Very Good", L184&gt;=20000, "Good", L184&lt;20000, "Average")</f>
        <v>Average</v>
      </c>
    </row>
    <row r="185" spans="1:13" x14ac:dyDescent="0.3">
      <c r="A185" s="9">
        <v>1184</v>
      </c>
      <c r="B185" s="9" t="s">
        <v>39</v>
      </c>
      <c r="C185" s="4" t="s">
        <v>31</v>
      </c>
      <c r="D185" s="4" t="s">
        <v>34</v>
      </c>
      <c r="E185" s="4" t="s">
        <v>5</v>
      </c>
      <c r="F185" s="4">
        <v>12</v>
      </c>
      <c r="G185" s="4">
        <v>50517</v>
      </c>
      <c r="H185" s="4">
        <v>15</v>
      </c>
      <c r="I185" s="7">
        <v>46145</v>
      </c>
      <c r="J185" s="7">
        <v>46153</v>
      </c>
      <c r="K185" s="4" t="s">
        <v>49</v>
      </c>
      <c r="L185" s="16">
        <f>F185*G185*(1-H185/100)</f>
        <v>515273.39999999997</v>
      </c>
      <c r="M185" s="4" t="str" cm="1">
        <f t="array" ref="M185">_xlfn.IFS(L185&gt;=100000, "Excellent", L185&gt;=50000, "Very Good", L185&gt;=20000, "Good", L185&lt;20000, "Average")</f>
        <v>Excellent</v>
      </c>
    </row>
    <row r="186" spans="1:13" x14ac:dyDescent="0.3">
      <c r="A186" s="9">
        <v>1185</v>
      </c>
      <c r="B186" s="9" t="s">
        <v>55</v>
      </c>
      <c r="C186" s="4" t="s">
        <v>26</v>
      </c>
      <c r="D186" s="4" t="s">
        <v>34</v>
      </c>
      <c r="E186" s="4" t="s">
        <v>9</v>
      </c>
      <c r="F186" s="4">
        <v>16</v>
      </c>
      <c r="G186" s="4">
        <v>15536</v>
      </c>
      <c r="H186" s="4">
        <v>2</v>
      </c>
      <c r="I186" s="7">
        <v>46153</v>
      </c>
      <c r="J186" s="7">
        <v>46156</v>
      </c>
      <c r="K186" s="4" t="s">
        <v>78</v>
      </c>
      <c r="L186" s="16">
        <f>F186*G186*(1-H186/100)</f>
        <v>243604.47999999998</v>
      </c>
      <c r="M186" s="4" t="str" cm="1">
        <f t="array" ref="M186">_xlfn.IFS(L186&gt;=100000, "Excellent", L186&gt;=50000, "Very Good", L186&gt;=20000, "Good", L186&lt;20000, "Average")</f>
        <v>Excellent</v>
      </c>
    </row>
    <row r="187" spans="1:13" x14ac:dyDescent="0.3">
      <c r="A187" s="9">
        <v>1186</v>
      </c>
      <c r="B187" s="9" t="s">
        <v>22</v>
      </c>
      <c r="C187" s="4" t="s">
        <v>27</v>
      </c>
      <c r="D187" s="4" t="s">
        <v>24</v>
      </c>
      <c r="E187" s="4" t="s">
        <v>43</v>
      </c>
      <c r="F187" s="4">
        <v>10</v>
      </c>
      <c r="G187" s="4">
        <v>14951</v>
      </c>
      <c r="H187" s="4">
        <v>2</v>
      </c>
      <c r="I187" s="7">
        <v>46188</v>
      </c>
      <c r="J187" s="7">
        <v>46196</v>
      </c>
      <c r="K187" s="4" t="s">
        <v>80</v>
      </c>
      <c r="L187" s="16">
        <f>F187*G187*(1-H187/100)</f>
        <v>146519.79999999999</v>
      </c>
      <c r="M187" s="4" t="str" cm="1">
        <f t="array" ref="M187">_xlfn.IFS(L187&gt;=100000, "Excellent", L187&gt;=50000, "Very Good", L187&gt;=20000, "Good", L187&lt;20000, "Average")</f>
        <v>Excellent</v>
      </c>
    </row>
    <row r="188" spans="1:13" x14ac:dyDescent="0.3">
      <c r="A188" s="9">
        <v>1187</v>
      </c>
      <c r="B188" s="9" t="s">
        <v>52</v>
      </c>
      <c r="C188" s="4" t="s">
        <v>26</v>
      </c>
      <c r="D188" s="4" t="s">
        <v>34</v>
      </c>
      <c r="E188" s="4" t="s">
        <v>6</v>
      </c>
      <c r="F188" s="4">
        <v>18</v>
      </c>
      <c r="G188" s="4">
        <v>68527</v>
      </c>
      <c r="H188" s="4">
        <v>12</v>
      </c>
      <c r="I188" s="7">
        <v>46178</v>
      </c>
      <c r="J188" s="7">
        <v>46184</v>
      </c>
      <c r="K188" s="4" t="s">
        <v>81</v>
      </c>
      <c r="L188" s="16">
        <f>F188*G188*(1-H188/100)</f>
        <v>1085467.68</v>
      </c>
      <c r="M188" s="4" t="str" cm="1">
        <f t="array" ref="M188">_xlfn.IFS(L188&gt;=100000, "Excellent", L188&gt;=50000, "Very Good", L188&gt;=20000, "Good", L188&lt;20000, "Average")</f>
        <v>Excellent</v>
      </c>
    </row>
    <row r="189" spans="1:13" x14ac:dyDescent="0.3">
      <c r="A189" s="9">
        <v>1188</v>
      </c>
      <c r="B189" s="9" t="s">
        <v>49</v>
      </c>
      <c r="C189" s="4" t="s">
        <v>26</v>
      </c>
      <c r="D189" s="4" t="s">
        <v>24</v>
      </c>
      <c r="E189" s="4" t="s">
        <v>11</v>
      </c>
      <c r="F189" s="4">
        <v>6</v>
      </c>
      <c r="G189" s="4">
        <v>10368</v>
      </c>
      <c r="H189" s="4">
        <v>7</v>
      </c>
      <c r="I189" s="7">
        <v>46137</v>
      </c>
      <c r="J189" s="7">
        <v>46142</v>
      </c>
      <c r="K189" s="4" t="s">
        <v>78</v>
      </c>
      <c r="L189" s="16">
        <f>F189*G189*(1-H189/100)</f>
        <v>57853.439999999995</v>
      </c>
      <c r="M189" s="4" t="str" cm="1">
        <f t="array" ref="M189">_xlfn.IFS(L189&gt;=100000, "Excellent", L189&gt;=50000, "Very Good", L189&gt;=20000, "Good", L189&lt;20000, "Average")</f>
        <v>Very Good</v>
      </c>
    </row>
    <row r="190" spans="1:13" x14ac:dyDescent="0.3">
      <c r="A190" s="9">
        <v>1189</v>
      </c>
      <c r="B190" s="9" t="s">
        <v>47</v>
      </c>
      <c r="C190" s="4" t="s">
        <v>31</v>
      </c>
      <c r="D190" s="4" t="s">
        <v>24</v>
      </c>
      <c r="E190" s="4" t="s">
        <v>11</v>
      </c>
      <c r="F190" s="4">
        <v>12</v>
      </c>
      <c r="G190" s="4">
        <v>8327</v>
      </c>
      <c r="H190" s="4">
        <v>10</v>
      </c>
      <c r="I190" s="7">
        <v>46184</v>
      </c>
      <c r="J190" s="7">
        <v>46185</v>
      </c>
      <c r="K190" s="4" t="s">
        <v>49</v>
      </c>
      <c r="L190" s="16">
        <f>F190*G190*(1-H190/100)</f>
        <v>89931.6</v>
      </c>
      <c r="M190" s="4" t="str" cm="1">
        <f t="array" ref="M190">_xlfn.IFS(L190&gt;=100000, "Excellent", L190&gt;=50000, "Very Good", L190&gt;=20000, "Good", L190&lt;20000, "Average")</f>
        <v>Very Good</v>
      </c>
    </row>
    <row r="191" spans="1:13" x14ac:dyDescent="0.3">
      <c r="A191" s="9">
        <v>1190</v>
      </c>
      <c r="B191" s="9" t="s">
        <v>54</v>
      </c>
      <c r="C191" s="4" t="s">
        <v>23</v>
      </c>
      <c r="D191" s="4" t="s">
        <v>24</v>
      </c>
      <c r="E191" s="4" t="s">
        <v>8</v>
      </c>
      <c r="F191" s="4">
        <v>4</v>
      </c>
      <c r="G191" s="4">
        <v>10154</v>
      </c>
      <c r="H191" s="4">
        <v>7</v>
      </c>
      <c r="I191" s="7">
        <v>46052</v>
      </c>
      <c r="J191" s="7">
        <v>46062</v>
      </c>
      <c r="K191" s="4" t="s">
        <v>79</v>
      </c>
      <c r="L191" s="16">
        <f>F191*G191*(1-H191/100)</f>
        <v>37772.879999999997</v>
      </c>
      <c r="M191" s="4" t="str" cm="1">
        <f t="array" ref="M191">_xlfn.IFS(L191&gt;=100000, "Excellent", L191&gt;=50000, "Very Good", L191&gt;=20000, "Good", L191&lt;20000, "Average")</f>
        <v>Good</v>
      </c>
    </row>
    <row r="192" spans="1:13" x14ac:dyDescent="0.3">
      <c r="A192" s="9">
        <v>1191</v>
      </c>
      <c r="B192" s="9" t="s">
        <v>50</v>
      </c>
      <c r="C192" s="4" t="s">
        <v>33</v>
      </c>
      <c r="D192" s="4" t="s">
        <v>24</v>
      </c>
      <c r="E192" s="4" t="s">
        <v>11</v>
      </c>
      <c r="F192" s="4">
        <v>9</v>
      </c>
      <c r="G192" s="4">
        <v>8631</v>
      </c>
      <c r="H192" s="4">
        <v>10</v>
      </c>
      <c r="I192" s="7">
        <v>46149</v>
      </c>
      <c r="J192" s="7">
        <v>46156</v>
      </c>
      <c r="K192" s="4" t="s">
        <v>79</v>
      </c>
      <c r="L192" s="16">
        <f>F192*G192*(1-H192/100)</f>
        <v>69911.100000000006</v>
      </c>
      <c r="M192" s="4" t="str" cm="1">
        <f t="array" ref="M192">_xlfn.IFS(L192&gt;=100000, "Excellent", L192&gt;=50000, "Very Good", L192&gt;=20000, "Good", L192&lt;20000, "Average")</f>
        <v>Very Good</v>
      </c>
    </row>
    <row r="193" spans="1:13" x14ac:dyDescent="0.3">
      <c r="A193" s="9">
        <v>1192</v>
      </c>
      <c r="B193" s="9" t="s">
        <v>25</v>
      </c>
      <c r="C193" s="4" t="s">
        <v>33</v>
      </c>
      <c r="D193" s="4" t="s">
        <v>20</v>
      </c>
      <c r="E193" s="4" t="s">
        <v>51</v>
      </c>
      <c r="F193" s="4">
        <v>18</v>
      </c>
      <c r="G193" s="4">
        <v>49</v>
      </c>
      <c r="H193" s="4">
        <v>12</v>
      </c>
      <c r="I193" s="7">
        <v>46089</v>
      </c>
      <c r="J193" s="7">
        <v>46095</v>
      </c>
      <c r="K193" s="4" t="s">
        <v>80</v>
      </c>
      <c r="L193" s="16">
        <f>F193*G193*(1-H193/100)</f>
        <v>776.16</v>
      </c>
      <c r="M193" s="4" t="str" cm="1">
        <f t="array" ref="M193">_xlfn.IFS(L193&gt;=100000, "Excellent", L193&gt;=50000, "Very Good", L193&gt;=20000, "Good", L193&lt;20000, "Average")</f>
        <v>Average</v>
      </c>
    </row>
    <row r="194" spans="1:13" x14ac:dyDescent="0.3">
      <c r="A194" s="9">
        <v>1193</v>
      </c>
      <c r="B194" s="9" t="s">
        <v>54</v>
      </c>
      <c r="C194" s="4" t="s">
        <v>19</v>
      </c>
      <c r="D194" s="4" t="s">
        <v>24</v>
      </c>
      <c r="E194" s="4" t="s">
        <v>10</v>
      </c>
      <c r="F194" s="4">
        <v>19</v>
      </c>
      <c r="G194" s="4">
        <v>2699</v>
      </c>
      <c r="H194" s="4">
        <v>7</v>
      </c>
      <c r="I194" s="7">
        <v>46110</v>
      </c>
      <c r="J194" s="7">
        <v>46112</v>
      </c>
      <c r="K194" s="4" t="s">
        <v>49</v>
      </c>
      <c r="L194" s="16">
        <f>F194*G194*(1-H194/100)</f>
        <v>47691.329999999994</v>
      </c>
      <c r="M194" s="4" t="str" cm="1">
        <f t="array" ref="M194">_xlfn.IFS(L194&gt;=100000, "Excellent", L194&gt;=50000, "Very Good", L194&gt;=20000, "Good", L194&lt;20000, "Average")</f>
        <v>Good</v>
      </c>
    </row>
    <row r="195" spans="1:13" x14ac:dyDescent="0.3">
      <c r="A195" s="9">
        <v>1194</v>
      </c>
      <c r="B195" s="9" t="s">
        <v>54</v>
      </c>
      <c r="C195" s="4" t="s">
        <v>42</v>
      </c>
      <c r="D195" s="4" t="s">
        <v>24</v>
      </c>
      <c r="E195" s="4" t="s">
        <v>8</v>
      </c>
      <c r="F195" s="4">
        <v>13</v>
      </c>
      <c r="G195" s="4">
        <v>12856</v>
      </c>
      <c r="H195" s="4">
        <v>15</v>
      </c>
      <c r="I195" s="7">
        <v>46129</v>
      </c>
      <c r="J195" s="7">
        <v>46133</v>
      </c>
      <c r="K195" s="4" t="s">
        <v>81</v>
      </c>
      <c r="L195" s="16">
        <f>F195*G195*(1-H195/100)</f>
        <v>142058.79999999999</v>
      </c>
      <c r="M195" s="4" t="str" cm="1">
        <f t="array" ref="M195">_xlfn.IFS(L195&gt;=100000, "Excellent", L195&gt;=50000, "Very Good", L195&gt;=20000, "Good", L195&lt;20000, "Average")</f>
        <v>Excellent</v>
      </c>
    </row>
    <row r="196" spans="1:13" x14ac:dyDescent="0.3">
      <c r="A196" s="9">
        <v>1195</v>
      </c>
      <c r="B196" s="9" t="s">
        <v>56</v>
      </c>
      <c r="C196" s="4" t="s">
        <v>23</v>
      </c>
      <c r="D196" s="4" t="s">
        <v>20</v>
      </c>
      <c r="E196" s="4" t="s">
        <v>48</v>
      </c>
      <c r="F196" s="4">
        <v>19</v>
      </c>
      <c r="G196" s="4">
        <v>313</v>
      </c>
      <c r="H196" s="4">
        <v>2</v>
      </c>
      <c r="I196" s="7">
        <v>46198</v>
      </c>
      <c r="J196" s="7">
        <v>46206</v>
      </c>
      <c r="K196" s="4" t="s">
        <v>81</v>
      </c>
      <c r="L196" s="16">
        <f>F196*G196*(1-H196/100)</f>
        <v>5828.0599999999995</v>
      </c>
      <c r="M196" s="4" t="str" cm="1">
        <f t="array" ref="M196">_xlfn.IFS(L196&gt;=100000, "Excellent", L196&gt;=50000, "Very Good", L196&gt;=20000, "Good", L196&lt;20000, "Average")</f>
        <v>Average</v>
      </c>
    </row>
    <row r="197" spans="1:13" x14ac:dyDescent="0.3">
      <c r="A197" s="9">
        <v>1196</v>
      </c>
      <c r="B197" s="9" t="s">
        <v>46</v>
      </c>
      <c r="C197" s="4" t="s">
        <v>26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7">
        <v>46155</v>
      </c>
      <c r="J197" s="7">
        <v>46159</v>
      </c>
      <c r="K197" s="4" t="s">
        <v>79</v>
      </c>
      <c r="L197" s="16">
        <f>F197*G197*(1-H197/100)</f>
        <v>60268</v>
      </c>
      <c r="M197" s="4" t="str" cm="1">
        <f t="array" ref="M197">_xlfn.IFS(L197&gt;=100000, "Excellent", L197&gt;=50000, "Very Good", L197&gt;=20000, "Good", L197&lt;20000, "Average")</f>
        <v>Very Good</v>
      </c>
    </row>
    <row r="198" spans="1:13" x14ac:dyDescent="0.3">
      <c r="A198" s="9">
        <v>1197</v>
      </c>
      <c r="B198" s="9" t="s">
        <v>50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7">
        <v>46045</v>
      </c>
      <c r="J198" s="7">
        <v>46048</v>
      </c>
      <c r="K198" s="4" t="s">
        <v>78</v>
      </c>
      <c r="L198" s="16">
        <f>F198*G198*(1-H198/100)</f>
        <v>199548.79999999999</v>
      </c>
      <c r="M198" s="4" t="str" cm="1">
        <f t="array" ref="M198">_xlfn.IFS(L198&gt;=100000, "Excellent", L198&gt;=50000, "Very Good", L198&gt;=20000, "Good", L198&lt;20000, "Average")</f>
        <v>Excellent</v>
      </c>
    </row>
    <row r="199" spans="1:13" x14ac:dyDescent="0.3">
      <c r="A199" s="9">
        <v>1198</v>
      </c>
      <c r="B199" s="9" t="s">
        <v>55</v>
      </c>
      <c r="C199" s="4" t="s">
        <v>19</v>
      </c>
      <c r="D199" s="4" t="s">
        <v>20</v>
      </c>
      <c r="E199" s="4" t="s">
        <v>21</v>
      </c>
      <c r="F199" s="4">
        <v>12</v>
      </c>
      <c r="G199" s="4">
        <v>491</v>
      </c>
      <c r="H199" s="4">
        <v>2</v>
      </c>
      <c r="I199" s="7">
        <v>46106</v>
      </c>
      <c r="J199" s="7">
        <v>46109</v>
      </c>
      <c r="K199" s="4" t="s">
        <v>81</v>
      </c>
      <c r="L199" s="16">
        <f>F199*G199*(1-H199/100)</f>
        <v>5774.16</v>
      </c>
      <c r="M199" s="4" t="str" cm="1">
        <f t="array" ref="M199">_xlfn.IFS(L199&gt;=100000, "Excellent", L199&gt;=50000, "Very Good", L199&gt;=20000, "Good", L199&lt;20000, "Average")</f>
        <v>Average</v>
      </c>
    </row>
    <row r="200" spans="1:13" x14ac:dyDescent="0.3">
      <c r="A200" s="9">
        <v>1199</v>
      </c>
      <c r="B200" s="9" t="s">
        <v>18</v>
      </c>
      <c r="C200" s="4" t="s">
        <v>27</v>
      </c>
      <c r="D200" s="4" t="s">
        <v>34</v>
      </c>
      <c r="E200" s="4" t="s">
        <v>6</v>
      </c>
      <c r="F200" s="4">
        <v>2</v>
      </c>
      <c r="G200" s="4">
        <v>4375</v>
      </c>
      <c r="H200" s="4">
        <v>7</v>
      </c>
      <c r="I200" s="7">
        <v>46178</v>
      </c>
      <c r="J200" s="7">
        <v>46180</v>
      </c>
      <c r="K200" s="4" t="s">
        <v>80</v>
      </c>
      <c r="L200" s="16">
        <f>F200*G200*(1-H200/100)</f>
        <v>8137.4999999999991</v>
      </c>
      <c r="M200" s="4" t="str" cm="1">
        <f t="array" ref="M200">_xlfn.IFS(L200&gt;=100000, "Excellent", L200&gt;=50000, "Very Good", L200&gt;=20000, "Good", L200&lt;20000, "Average")</f>
        <v>Average</v>
      </c>
    </row>
    <row r="201" spans="1:13" x14ac:dyDescent="0.3">
      <c r="A201" s="9">
        <v>1200</v>
      </c>
      <c r="B201" s="9" t="s">
        <v>49</v>
      </c>
      <c r="C201" s="4" t="s">
        <v>31</v>
      </c>
      <c r="D201" s="4" t="s">
        <v>34</v>
      </c>
      <c r="E201" s="4" t="s">
        <v>6</v>
      </c>
      <c r="F201" s="4">
        <v>13</v>
      </c>
      <c r="G201" s="4">
        <v>69422</v>
      </c>
      <c r="H201" s="4">
        <v>0</v>
      </c>
      <c r="I201" s="7">
        <v>46134</v>
      </c>
      <c r="J201" s="7">
        <v>46143</v>
      </c>
      <c r="K201" s="4" t="s">
        <v>49</v>
      </c>
      <c r="L201" s="16">
        <f>F201*G201*(1-H201/100)</f>
        <v>902486</v>
      </c>
      <c r="M201" s="4" t="str" cm="1">
        <f t="array" ref="M201">_xlfn.IFS(L201&gt;=100000, "Excellent", L201&gt;=50000, "Very Good", L201&gt;=20000, "Good", L201&lt;20000, "Average")</f>
        <v>Excellent</v>
      </c>
    </row>
    <row r="202" spans="1:13" x14ac:dyDescent="0.3">
      <c r="A202" s="9">
        <v>1201</v>
      </c>
      <c r="B202" s="9" t="s">
        <v>52</v>
      </c>
      <c r="C202" s="4" t="s">
        <v>31</v>
      </c>
      <c r="D202" s="4" t="s">
        <v>20</v>
      </c>
      <c r="E202" s="4" t="s">
        <v>51</v>
      </c>
      <c r="F202" s="4">
        <v>18</v>
      </c>
      <c r="G202" s="4">
        <v>139</v>
      </c>
      <c r="H202" s="4">
        <v>12</v>
      </c>
      <c r="I202" s="7">
        <v>46075</v>
      </c>
      <c r="J202" s="7">
        <v>46076</v>
      </c>
      <c r="K202" s="4" t="s">
        <v>79</v>
      </c>
      <c r="L202" s="16">
        <f>F202*G202*(1-H202/100)</f>
        <v>2201.7600000000002</v>
      </c>
      <c r="M202" s="4" t="str" cm="1">
        <f t="array" ref="M202">_xlfn.IFS(L202&gt;=100000, "Excellent", L202&gt;=50000, "Very Good", L202&gt;=20000, "Good", L202&lt;20000, "Average")</f>
        <v>Average</v>
      </c>
    </row>
    <row r="203" spans="1:13" x14ac:dyDescent="0.3">
      <c r="A203" s="9">
        <v>1202</v>
      </c>
      <c r="B203" s="9" t="s">
        <v>54</v>
      </c>
      <c r="C203" s="4" t="s">
        <v>26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7">
        <v>46082</v>
      </c>
      <c r="J203" s="7">
        <v>46091</v>
      </c>
      <c r="K203" s="4" t="s">
        <v>78</v>
      </c>
      <c r="L203" s="16">
        <f>F203*G203*(1-H203/100)</f>
        <v>35749.120000000003</v>
      </c>
      <c r="M203" s="4" t="str" cm="1">
        <f t="array" ref="M203">_xlfn.IFS(L203&gt;=100000, "Excellent", L203&gt;=50000, "Very Good", L203&gt;=20000, "Good", L203&lt;20000, "Average")</f>
        <v>Good</v>
      </c>
    </row>
    <row r="204" spans="1:13" x14ac:dyDescent="0.3">
      <c r="A204" s="9">
        <v>1203</v>
      </c>
      <c r="B204" s="9" t="s">
        <v>39</v>
      </c>
      <c r="C204" s="4" t="s">
        <v>26</v>
      </c>
      <c r="D204" s="4" t="s">
        <v>24</v>
      </c>
      <c r="E204" s="4" t="s">
        <v>10</v>
      </c>
      <c r="F204" s="4">
        <v>17</v>
      </c>
      <c r="G204" s="4">
        <v>6695</v>
      </c>
      <c r="H204" s="4">
        <v>2</v>
      </c>
      <c r="I204" s="7">
        <v>46119</v>
      </c>
      <c r="J204" s="7">
        <v>46122</v>
      </c>
      <c r="K204" s="4" t="s">
        <v>81</v>
      </c>
      <c r="L204" s="16">
        <f>F204*G204*(1-H204/100)</f>
        <v>111538.7</v>
      </c>
      <c r="M204" s="4" t="str" cm="1">
        <f t="array" ref="M204">_xlfn.IFS(L204&gt;=100000, "Excellent", L204&gt;=50000, "Very Good", L204&gt;=20000, "Good", L204&lt;20000, "Average")</f>
        <v>Excellent</v>
      </c>
    </row>
    <row r="205" spans="1:13" x14ac:dyDescent="0.3">
      <c r="A205" s="9">
        <v>1204</v>
      </c>
      <c r="B205" s="9" t="s">
        <v>22</v>
      </c>
      <c r="C205" s="4" t="s">
        <v>31</v>
      </c>
      <c r="D205" s="4" t="s">
        <v>20</v>
      </c>
      <c r="E205" s="4" t="s">
        <v>37</v>
      </c>
      <c r="F205" s="4">
        <v>13</v>
      </c>
      <c r="G205" s="4">
        <v>416</v>
      </c>
      <c r="H205" s="4">
        <v>10</v>
      </c>
      <c r="I205" s="7">
        <v>46123</v>
      </c>
      <c r="J205" s="7">
        <v>46132</v>
      </c>
      <c r="K205" s="4" t="s">
        <v>79</v>
      </c>
      <c r="L205" s="16">
        <f>F205*G205*(1-H205/100)</f>
        <v>4867.2</v>
      </c>
      <c r="M205" s="4" t="str" cm="1">
        <f t="array" ref="M205">_xlfn.IFS(L205&gt;=100000, "Excellent", L205&gt;=50000, "Very Good", L205&gt;=20000, "Good", L205&lt;20000, "Average")</f>
        <v>Average</v>
      </c>
    </row>
    <row r="206" spans="1:13" x14ac:dyDescent="0.3">
      <c r="A206" s="9">
        <v>1205</v>
      </c>
      <c r="B206" s="9" t="s">
        <v>25</v>
      </c>
      <c r="C206" s="4" t="s">
        <v>38</v>
      </c>
      <c r="D206" s="4" t="s">
        <v>20</v>
      </c>
      <c r="E206" s="4" t="s">
        <v>36</v>
      </c>
      <c r="F206" s="4">
        <v>1</v>
      </c>
      <c r="G206" s="4">
        <v>112</v>
      </c>
      <c r="H206" s="4">
        <v>7</v>
      </c>
      <c r="I206" s="7">
        <v>46033</v>
      </c>
      <c r="J206" s="7">
        <v>46040</v>
      </c>
      <c r="K206" s="4" t="s">
        <v>81</v>
      </c>
      <c r="L206" s="16">
        <f>F206*G206*(1-H206/100)</f>
        <v>104.16</v>
      </c>
      <c r="M206" s="4" t="str" cm="1">
        <f t="array" ref="M206">_xlfn.IFS(L206&gt;=100000, "Excellent", L206&gt;=50000, "Very Good", L206&gt;=20000, "Good", L206&lt;20000, "Average")</f>
        <v>Average</v>
      </c>
    </row>
    <row r="207" spans="1:13" x14ac:dyDescent="0.3">
      <c r="A207" s="9">
        <v>1206</v>
      </c>
      <c r="B207" s="9" t="s">
        <v>53</v>
      </c>
      <c r="C207" s="4" t="s">
        <v>33</v>
      </c>
      <c r="D207" s="4" t="s">
        <v>20</v>
      </c>
      <c r="E207" s="4" t="s">
        <v>21</v>
      </c>
      <c r="F207" s="4">
        <v>9</v>
      </c>
      <c r="G207" s="4">
        <v>60</v>
      </c>
      <c r="H207" s="4">
        <v>0</v>
      </c>
      <c r="I207" s="7">
        <v>46166</v>
      </c>
      <c r="J207" s="7">
        <v>46174</v>
      </c>
      <c r="K207" s="4" t="s">
        <v>78</v>
      </c>
      <c r="L207" s="16">
        <f>F207*G207*(1-H207/100)</f>
        <v>540</v>
      </c>
      <c r="M207" s="4" t="str" cm="1">
        <f t="array" ref="M207">_xlfn.IFS(L207&gt;=100000, "Excellent", L207&gt;=50000, "Very Good", L207&gt;=20000, "Good", L207&lt;20000, "Average")</f>
        <v>Average</v>
      </c>
    </row>
    <row r="208" spans="1:13" x14ac:dyDescent="0.3">
      <c r="A208" s="9">
        <v>1207</v>
      </c>
      <c r="B208" s="9" t="s">
        <v>53</v>
      </c>
      <c r="C208" s="4" t="s">
        <v>27</v>
      </c>
      <c r="D208" s="4" t="s">
        <v>20</v>
      </c>
      <c r="E208" s="4" t="s">
        <v>51</v>
      </c>
      <c r="F208" s="4">
        <v>7</v>
      </c>
      <c r="G208" s="4">
        <v>244</v>
      </c>
      <c r="H208" s="4">
        <v>2</v>
      </c>
      <c r="I208" s="7">
        <v>46164</v>
      </c>
      <c r="J208" s="7">
        <v>46173</v>
      </c>
      <c r="K208" s="4" t="s">
        <v>80</v>
      </c>
      <c r="L208" s="16">
        <f>F208*G208*(1-H208/100)</f>
        <v>1673.84</v>
      </c>
      <c r="M208" s="4" t="str" cm="1">
        <f t="array" ref="M208">_xlfn.IFS(L208&gt;=100000, "Excellent", L208&gt;=50000, "Very Good", L208&gt;=20000, "Good", L208&lt;20000, "Average")</f>
        <v>Average</v>
      </c>
    </row>
    <row r="209" spans="1:13" x14ac:dyDescent="0.3">
      <c r="A209" s="9">
        <v>1208</v>
      </c>
      <c r="B209" s="9" t="s">
        <v>52</v>
      </c>
      <c r="C209" s="4" t="s">
        <v>42</v>
      </c>
      <c r="D209" s="4" t="s">
        <v>24</v>
      </c>
      <c r="E209" s="4" t="s">
        <v>43</v>
      </c>
      <c r="F209" s="4">
        <v>6</v>
      </c>
      <c r="G209" s="4">
        <v>7627</v>
      </c>
      <c r="H209" s="4">
        <v>10</v>
      </c>
      <c r="I209" s="7">
        <v>46042</v>
      </c>
      <c r="J209" s="7">
        <v>46047</v>
      </c>
      <c r="K209" s="4" t="s">
        <v>79</v>
      </c>
      <c r="L209" s="16">
        <f>F209*G209*(1-H209/100)</f>
        <v>41185.800000000003</v>
      </c>
      <c r="M209" s="4" t="str" cm="1">
        <f t="array" ref="M209">_xlfn.IFS(L209&gt;=100000, "Excellent", L209&gt;=50000, "Very Good", L209&gt;=20000, "Good", L209&lt;20000, "Average")</f>
        <v>Good</v>
      </c>
    </row>
    <row r="210" spans="1:13" x14ac:dyDescent="0.3">
      <c r="A210" s="9">
        <v>1209</v>
      </c>
      <c r="B210" s="9" t="s">
        <v>46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7">
        <v>46103</v>
      </c>
      <c r="J210" s="7">
        <v>46110</v>
      </c>
      <c r="K210" s="4" t="s">
        <v>79</v>
      </c>
      <c r="L210" s="16">
        <f>F210*G210*(1-H210/100)</f>
        <v>346856.4</v>
      </c>
      <c r="M210" s="4" t="str" cm="1">
        <f t="array" ref="M210">_xlfn.IFS(L210&gt;=100000, "Excellent", L210&gt;=50000, "Very Good", L210&gt;=20000, "Good", L210&lt;20000, "Average")</f>
        <v>Excellent</v>
      </c>
    </row>
    <row r="211" spans="1:13" x14ac:dyDescent="0.3">
      <c r="A211" s="9">
        <v>1210</v>
      </c>
      <c r="B211" s="9" t="s">
        <v>30</v>
      </c>
      <c r="C211" s="4" t="s">
        <v>31</v>
      </c>
      <c r="D211" s="4" t="s">
        <v>20</v>
      </c>
      <c r="E211" s="4" t="s">
        <v>51</v>
      </c>
      <c r="F211" s="4">
        <v>10</v>
      </c>
      <c r="G211" s="4">
        <v>349</v>
      </c>
      <c r="H211" s="4">
        <v>0</v>
      </c>
      <c r="I211" s="7">
        <v>46052</v>
      </c>
      <c r="J211" s="7">
        <v>46060</v>
      </c>
      <c r="K211" s="4" t="s">
        <v>49</v>
      </c>
      <c r="L211" s="16">
        <f>F211*G211*(1-H211/100)</f>
        <v>3490</v>
      </c>
      <c r="M211" s="4" t="str" cm="1">
        <f t="array" ref="M211">_xlfn.IFS(L211&gt;=100000, "Excellent", L211&gt;=50000, "Very Good", L211&gt;=20000, "Good", L211&lt;20000, "Average")</f>
        <v>Average</v>
      </c>
    </row>
    <row r="212" spans="1:13" x14ac:dyDescent="0.3">
      <c r="A212" s="9">
        <v>1211</v>
      </c>
      <c r="B212" s="9" t="s">
        <v>46</v>
      </c>
      <c r="C212" s="4" t="s">
        <v>23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7">
        <v>46175</v>
      </c>
      <c r="J212" s="7">
        <v>46183</v>
      </c>
      <c r="K212" s="4" t="s">
        <v>78</v>
      </c>
      <c r="L212" s="16">
        <f>F212*G212*(1-H212/100)</f>
        <v>16633.98</v>
      </c>
      <c r="M212" s="4" t="str" cm="1">
        <f t="array" ref="M212">_xlfn.IFS(L212&gt;=100000, "Excellent", L212&gt;=50000, "Very Good", L212&gt;=20000, "Good", L212&lt;20000, "Average")</f>
        <v>Average</v>
      </c>
    </row>
    <row r="213" spans="1:13" x14ac:dyDescent="0.3">
      <c r="A213" s="9">
        <v>1212</v>
      </c>
      <c r="B213" s="9" t="s">
        <v>56</v>
      </c>
      <c r="C213" s="4" t="s">
        <v>27</v>
      </c>
      <c r="D213" s="4" t="s">
        <v>34</v>
      </c>
      <c r="E213" s="4" t="s">
        <v>9</v>
      </c>
      <c r="F213" s="4">
        <v>10</v>
      </c>
      <c r="G213" s="4">
        <v>34380</v>
      </c>
      <c r="H213" s="4">
        <v>7</v>
      </c>
      <c r="I213" s="7">
        <v>46194</v>
      </c>
      <c r="J213" s="7">
        <v>46195</v>
      </c>
      <c r="K213" s="4" t="s">
        <v>49</v>
      </c>
      <c r="L213" s="16">
        <f>F213*G213*(1-H213/100)</f>
        <v>319734</v>
      </c>
      <c r="M213" s="4" t="str" cm="1">
        <f t="array" ref="M213">_xlfn.IFS(L213&gt;=100000, "Excellent", L213&gt;=50000, "Very Good", L213&gt;=20000, "Good", L213&lt;20000, "Average")</f>
        <v>Excellent</v>
      </c>
    </row>
    <row r="214" spans="1:13" x14ac:dyDescent="0.3">
      <c r="A214" s="9">
        <v>1213</v>
      </c>
      <c r="B214" s="9" t="s">
        <v>32</v>
      </c>
      <c r="C214" s="4" t="s">
        <v>38</v>
      </c>
      <c r="D214" s="4" t="s">
        <v>34</v>
      </c>
      <c r="E214" s="4" t="s">
        <v>6</v>
      </c>
      <c r="F214" s="4">
        <v>16</v>
      </c>
      <c r="G214" s="4">
        <v>27741</v>
      </c>
      <c r="H214" s="4">
        <v>12</v>
      </c>
      <c r="I214" s="7">
        <v>46116</v>
      </c>
      <c r="J214" s="7">
        <v>46119</v>
      </c>
      <c r="K214" s="4" t="s">
        <v>78</v>
      </c>
      <c r="L214" s="16">
        <f>F214*G214*(1-H214/100)</f>
        <v>390593.28000000003</v>
      </c>
      <c r="M214" s="4" t="str" cm="1">
        <f t="array" ref="M214">_xlfn.IFS(L214&gt;=100000, "Excellent", L214&gt;=50000, "Very Good", L214&gt;=20000, "Good", L214&lt;20000, "Average")</f>
        <v>Excellent</v>
      </c>
    </row>
    <row r="215" spans="1:13" x14ac:dyDescent="0.3">
      <c r="A215" s="9">
        <v>1214</v>
      </c>
      <c r="B215" s="9" t="s">
        <v>41</v>
      </c>
      <c r="C215" s="4" t="s">
        <v>27</v>
      </c>
      <c r="D215" s="4" t="s">
        <v>24</v>
      </c>
      <c r="E215" s="4" t="s">
        <v>8</v>
      </c>
      <c r="F215" s="4">
        <v>19</v>
      </c>
      <c r="G215" s="4">
        <v>13832</v>
      </c>
      <c r="H215" s="4">
        <v>0</v>
      </c>
      <c r="I215" s="7">
        <v>46140</v>
      </c>
      <c r="J215" s="7">
        <v>46145</v>
      </c>
      <c r="K215" s="4" t="s">
        <v>81</v>
      </c>
      <c r="L215" s="16">
        <f>F215*G215*(1-H215/100)</f>
        <v>262808</v>
      </c>
      <c r="M215" s="4" t="str" cm="1">
        <f t="array" ref="M215">_xlfn.IFS(L215&gt;=100000, "Excellent", L215&gt;=50000, "Very Good", L215&gt;=20000, "Good", L215&lt;20000, "Average")</f>
        <v>Excellent</v>
      </c>
    </row>
    <row r="216" spans="1:13" x14ac:dyDescent="0.3">
      <c r="A216" s="9">
        <v>1215</v>
      </c>
      <c r="B216" s="9" t="s">
        <v>29</v>
      </c>
      <c r="C216" s="4" t="s">
        <v>19</v>
      </c>
      <c r="D216" s="4" t="s">
        <v>24</v>
      </c>
      <c r="E216" s="4" t="s">
        <v>8</v>
      </c>
      <c r="F216" s="4">
        <v>6</v>
      </c>
      <c r="G216" s="4">
        <v>1254</v>
      </c>
      <c r="H216" s="4">
        <v>0</v>
      </c>
      <c r="I216" s="7">
        <v>46131</v>
      </c>
      <c r="J216" s="7">
        <v>46136</v>
      </c>
      <c r="K216" s="4" t="s">
        <v>49</v>
      </c>
      <c r="L216" s="16">
        <f>F216*G216*(1-H216/100)</f>
        <v>7524</v>
      </c>
      <c r="M216" s="4" t="str" cm="1">
        <f t="array" ref="M216">_xlfn.IFS(L216&gt;=100000, "Excellent", L216&gt;=50000, "Very Good", L216&gt;=20000, "Good", L216&lt;20000, "Average")</f>
        <v>Average</v>
      </c>
    </row>
    <row r="217" spans="1:13" x14ac:dyDescent="0.3">
      <c r="A217" s="9">
        <v>1216</v>
      </c>
      <c r="B217" s="9" t="s">
        <v>39</v>
      </c>
      <c r="C217" s="4" t="s">
        <v>26</v>
      </c>
      <c r="D217" s="4" t="s">
        <v>34</v>
      </c>
      <c r="E217" s="4" t="s">
        <v>6</v>
      </c>
      <c r="F217" s="4">
        <v>10</v>
      </c>
      <c r="G217" s="4">
        <v>56709</v>
      </c>
      <c r="H217" s="4">
        <v>15</v>
      </c>
      <c r="I217" s="7">
        <v>46135</v>
      </c>
      <c r="J217" s="7">
        <v>46139</v>
      </c>
      <c r="K217" s="4" t="s">
        <v>49</v>
      </c>
      <c r="L217" s="16">
        <f>F217*G217*(1-H217/100)</f>
        <v>482026.5</v>
      </c>
      <c r="M217" s="4" t="str" cm="1">
        <f t="array" ref="M217">_xlfn.IFS(L217&gt;=100000, "Excellent", L217&gt;=50000, "Very Good", L217&gt;=20000, "Good", L217&lt;20000, "Average")</f>
        <v>Excellent</v>
      </c>
    </row>
    <row r="218" spans="1:13" x14ac:dyDescent="0.3">
      <c r="A218" s="9">
        <v>1217</v>
      </c>
      <c r="B218" s="9" t="s">
        <v>30</v>
      </c>
      <c r="C218" s="4" t="s">
        <v>26</v>
      </c>
      <c r="D218" s="4" t="s">
        <v>20</v>
      </c>
      <c r="E218" s="4" t="s">
        <v>48</v>
      </c>
      <c r="F218" s="4">
        <v>18</v>
      </c>
      <c r="G218" s="4">
        <v>60</v>
      </c>
      <c r="H218" s="4">
        <v>0</v>
      </c>
      <c r="I218" s="7">
        <v>46171</v>
      </c>
      <c r="J218" s="7">
        <v>46172</v>
      </c>
      <c r="K218" s="4" t="s">
        <v>49</v>
      </c>
      <c r="L218" s="16">
        <f>F218*G218*(1-H218/100)</f>
        <v>1080</v>
      </c>
      <c r="M218" s="4" t="str" cm="1">
        <f t="array" ref="M218">_xlfn.IFS(L218&gt;=100000, "Excellent", L218&gt;=50000, "Very Good", L218&gt;=20000, "Good", L218&lt;20000, "Average")</f>
        <v>Average</v>
      </c>
    </row>
    <row r="219" spans="1:13" x14ac:dyDescent="0.3">
      <c r="A219" s="9">
        <v>1218</v>
      </c>
      <c r="B219" s="9" t="s">
        <v>53</v>
      </c>
      <c r="C219" s="4" t="s">
        <v>38</v>
      </c>
      <c r="D219" s="4" t="s">
        <v>20</v>
      </c>
      <c r="E219" s="4" t="s">
        <v>21</v>
      </c>
      <c r="F219" s="4">
        <v>1</v>
      </c>
      <c r="G219" s="4">
        <v>134</v>
      </c>
      <c r="H219" s="4">
        <v>10</v>
      </c>
      <c r="I219" s="7">
        <v>46143</v>
      </c>
      <c r="J219" s="7">
        <v>46151</v>
      </c>
      <c r="K219" s="4" t="s">
        <v>81</v>
      </c>
      <c r="L219" s="16">
        <f>F219*G219*(1-H219/100)</f>
        <v>120.60000000000001</v>
      </c>
      <c r="M219" s="4" t="str" cm="1">
        <f t="array" ref="M219">_xlfn.IFS(L219&gt;=100000, "Excellent", L219&gt;=50000, "Very Good", L219&gt;=20000, "Good", L219&lt;20000, "Average")</f>
        <v>Average</v>
      </c>
    </row>
    <row r="220" spans="1:13" x14ac:dyDescent="0.3">
      <c r="A220" s="9">
        <v>1219</v>
      </c>
      <c r="B220" s="9" t="s">
        <v>44</v>
      </c>
      <c r="C220" s="4" t="s">
        <v>26</v>
      </c>
      <c r="D220" s="4" t="s">
        <v>20</v>
      </c>
      <c r="E220" s="4" t="s">
        <v>21</v>
      </c>
      <c r="F220" s="4">
        <v>4</v>
      </c>
      <c r="G220" s="4">
        <v>117</v>
      </c>
      <c r="H220" s="4">
        <v>15</v>
      </c>
      <c r="I220" s="7">
        <v>46202</v>
      </c>
      <c r="J220" s="7">
        <v>46206</v>
      </c>
      <c r="K220" s="4" t="s">
        <v>49</v>
      </c>
      <c r="L220" s="16">
        <f>F220*G220*(1-H220/100)</f>
        <v>397.8</v>
      </c>
      <c r="M220" s="4" t="str" cm="1">
        <f t="array" ref="M220">_xlfn.IFS(L220&gt;=100000, "Excellent", L220&gt;=50000, "Very Good", L220&gt;=20000, "Good", L220&lt;20000, "Average")</f>
        <v>Average</v>
      </c>
    </row>
    <row r="221" spans="1:13" x14ac:dyDescent="0.3">
      <c r="A221" s="9">
        <v>1220</v>
      </c>
      <c r="B221" s="9" t="s">
        <v>18</v>
      </c>
      <c r="C221" s="4" t="s">
        <v>27</v>
      </c>
      <c r="D221" s="4" t="s">
        <v>24</v>
      </c>
      <c r="E221" s="4" t="s">
        <v>11</v>
      </c>
      <c r="F221" s="4">
        <v>2</v>
      </c>
      <c r="G221" s="4">
        <v>8861</v>
      </c>
      <c r="H221" s="4">
        <v>2</v>
      </c>
      <c r="I221" s="7">
        <v>46170</v>
      </c>
      <c r="J221" s="7">
        <v>46174</v>
      </c>
      <c r="K221" s="4" t="s">
        <v>80</v>
      </c>
      <c r="L221" s="16">
        <f>F221*G221*(1-H221/100)</f>
        <v>17367.560000000001</v>
      </c>
      <c r="M221" s="4" t="str" cm="1">
        <f t="array" ref="M221">_xlfn.IFS(L221&gt;=100000, "Excellent", L221&gt;=50000, "Very Good", L221&gt;=20000, "Good", L221&lt;20000, "Average")</f>
        <v>Average</v>
      </c>
    </row>
    <row r="222" spans="1:13" x14ac:dyDescent="0.3">
      <c r="A222" s="9">
        <v>1221</v>
      </c>
      <c r="B222" s="9" t="s">
        <v>18</v>
      </c>
      <c r="C222" s="4" t="s">
        <v>31</v>
      </c>
      <c r="D222" s="4" t="s">
        <v>24</v>
      </c>
      <c r="E222" s="4" t="s">
        <v>11</v>
      </c>
      <c r="F222" s="4">
        <v>18</v>
      </c>
      <c r="G222" s="4">
        <v>2681</v>
      </c>
      <c r="H222" s="4">
        <v>10</v>
      </c>
      <c r="I222" s="7">
        <v>46122</v>
      </c>
      <c r="J222" s="7">
        <v>46125</v>
      </c>
      <c r="K222" s="4" t="s">
        <v>81</v>
      </c>
      <c r="L222" s="16">
        <f>F222*G222*(1-H222/100)</f>
        <v>43432.200000000004</v>
      </c>
      <c r="M222" s="4" t="str" cm="1">
        <f t="array" ref="M222">_xlfn.IFS(L222&gt;=100000, "Excellent", L222&gt;=50000, "Very Good", L222&gt;=20000, "Good", L222&lt;20000, "Average")</f>
        <v>Good</v>
      </c>
    </row>
    <row r="223" spans="1:13" x14ac:dyDescent="0.3">
      <c r="A223" s="9">
        <v>1222</v>
      </c>
      <c r="B223" s="9" t="s">
        <v>30</v>
      </c>
      <c r="C223" s="4" t="s">
        <v>33</v>
      </c>
      <c r="D223" s="4" t="s">
        <v>24</v>
      </c>
      <c r="E223" s="4" t="s">
        <v>10</v>
      </c>
      <c r="F223" s="4">
        <v>9</v>
      </c>
      <c r="G223" s="4">
        <v>2712</v>
      </c>
      <c r="H223" s="4">
        <v>12</v>
      </c>
      <c r="I223" s="7">
        <v>46154</v>
      </c>
      <c r="J223" s="7">
        <v>46163</v>
      </c>
      <c r="K223" s="4" t="s">
        <v>78</v>
      </c>
      <c r="L223" s="16">
        <f>F223*G223*(1-H223/100)</f>
        <v>21479.040000000001</v>
      </c>
      <c r="M223" s="4" t="str" cm="1">
        <f t="array" ref="M223">_xlfn.IFS(L223&gt;=100000, "Excellent", L223&gt;=50000, "Very Good", L223&gt;=20000, "Good", L223&lt;20000, "Average")</f>
        <v>Good</v>
      </c>
    </row>
    <row r="224" spans="1:13" x14ac:dyDescent="0.3">
      <c r="A224" s="9">
        <v>1223</v>
      </c>
      <c r="B224" s="9" t="s">
        <v>56</v>
      </c>
      <c r="C224" s="4" t="s">
        <v>23</v>
      </c>
      <c r="D224" s="4" t="s">
        <v>24</v>
      </c>
      <c r="E224" s="4" t="s">
        <v>10</v>
      </c>
      <c r="F224" s="4">
        <v>4</v>
      </c>
      <c r="G224" s="4">
        <v>2249</v>
      </c>
      <c r="H224" s="4">
        <v>7</v>
      </c>
      <c r="I224" s="7">
        <v>46077</v>
      </c>
      <c r="J224" s="7">
        <v>46084</v>
      </c>
      <c r="K224" s="4" t="s">
        <v>78</v>
      </c>
      <c r="L224" s="16">
        <f>F224*G224*(1-H224/100)</f>
        <v>8366.2799999999988</v>
      </c>
      <c r="M224" s="4" t="str" cm="1">
        <f t="array" ref="M224">_xlfn.IFS(L224&gt;=100000, "Excellent", L224&gt;=50000, "Very Good", L224&gt;=20000, "Good", L224&lt;20000, "Average")</f>
        <v>Average</v>
      </c>
    </row>
    <row r="225" spans="1:13" x14ac:dyDescent="0.3">
      <c r="A225" s="9">
        <v>1224</v>
      </c>
      <c r="B225" s="9" t="s">
        <v>30</v>
      </c>
      <c r="C225" s="4" t="s">
        <v>38</v>
      </c>
      <c r="D225" s="4" t="s">
        <v>34</v>
      </c>
      <c r="E225" s="4" t="s">
        <v>6</v>
      </c>
      <c r="F225" s="4">
        <v>16</v>
      </c>
      <c r="G225" s="4">
        <v>18378</v>
      </c>
      <c r="H225" s="4">
        <v>10</v>
      </c>
      <c r="I225" s="7">
        <v>46045</v>
      </c>
      <c r="J225" s="7">
        <v>46052</v>
      </c>
      <c r="K225" s="4" t="s">
        <v>80</v>
      </c>
      <c r="L225" s="16">
        <f>F225*G225*(1-H225/100)</f>
        <v>264643.20000000001</v>
      </c>
      <c r="M225" s="4" t="str" cm="1">
        <f t="array" ref="M225">_xlfn.IFS(L225&gt;=100000, "Excellent", L225&gt;=50000, "Very Good", L225&gt;=20000, "Good", L225&lt;20000, "Average")</f>
        <v>Excellent</v>
      </c>
    </row>
    <row r="226" spans="1:13" x14ac:dyDescent="0.3">
      <c r="A226" s="9">
        <v>1225</v>
      </c>
      <c r="B226" s="9" t="s">
        <v>41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7">
        <v>46125</v>
      </c>
      <c r="J226" s="7">
        <v>46126</v>
      </c>
      <c r="K226" s="4" t="s">
        <v>79</v>
      </c>
      <c r="L226" s="16">
        <f>F226*G226*(1-H226/100)</f>
        <v>454248.96000000002</v>
      </c>
      <c r="M226" s="4" t="str" cm="1">
        <f t="array" ref="M226">_xlfn.IFS(L226&gt;=100000, "Excellent", L226&gt;=50000, "Very Good", L226&gt;=20000, "Good", L226&lt;20000, "Average")</f>
        <v>Excellent</v>
      </c>
    </row>
    <row r="227" spans="1:13" x14ac:dyDescent="0.3">
      <c r="A227" s="9">
        <v>1226</v>
      </c>
      <c r="B227" s="9" t="s">
        <v>49</v>
      </c>
      <c r="C227" s="4" t="s">
        <v>31</v>
      </c>
      <c r="D227" s="4" t="s">
        <v>34</v>
      </c>
      <c r="E227" s="4" t="s">
        <v>40</v>
      </c>
      <c r="F227" s="4">
        <v>13</v>
      </c>
      <c r="G227" s="4">
        <v>21332</v>
      </c>
      <c r="H227" s="4">
        <v>0</v>
      </c>
      <c r="I227" s="7">
        <v>46044</v>
      </c>
      <c r="J227" s="7">
        <v>46048</v>
      </c>
      <c r="K227" s="4" t="s">
        <v>49</v>
      </c>
      <c r="L227" s="16">
        <f>F227*G227*(1-H227/100)</f>
        <v>277316</v>
      </c>
      <c r="M227" s="4" t="str" cm="1">
        <f t="array" ref="M227">_xlfn.IFS(L227&gt;=100000, "Excellent", L227&gt;=50000, "Very Good", L227&gt;=20000, "Good", L227&lt;20000, "Average")</f>
        <v>Excellent</v>
      </c>
    </row>
    <row r="228" spans="1:13" x14ac:dyDescent="0.3">
      <c r="A228" s="9">
        <v>1227</v>
      </c>
      <c r="B228" s="9" t="s">
        <v>55</v>
      </c>
      <c r="C228" s="4" t="s">
        <v>26</v>
      </c>
      <c r="D228" s="4" t="s">
        <v>34</v>
      </c>
      <c r="E228" s="4" t="s">
        <v>6</v>
      </c>
      <c r="F228" s="4">
        <v>16</v>
      </c>
      <c r="G228" s="4">
        <v>1321</v>
      </c>
      <c r="H228" s="4">
        <v>12</v>
      </c>
      <c r="I228" s="7">
        <v>46113</v>
      </c>
      <c r="J228" s="7">
        <v>46116</v>
      </c>
      <c r="K228" s="4" t="s">
        <v>78</v>
      </c>
      <c r="L228" s="16">
        <f>F228*G228*(1-H228/100)</f>
        <v>18599.68</v>
      </c>
      <c r="M228" s="4" t="str" cm="1">
        <f t="array" ref="M228">_xlfn.IFS(L228&gt;=100000, "Excellent", L228&gt;=50000, "Very Good", L228&gt;=20000, "Good", L228&lt;20000, "Average")</f>
        <v>Average</v>
      </c>
    </row>
    <row r="229" spans="1:13" x14ac:dyDescent="0.3">
      <c r="A229" s="9">
        <v>1228</v>
      </c>
      <c r="B229" s="9" t="s">
        <v>49</v>
      </c>
      <c r="C229" s="4" t="s">
        <v>27</v>
      </c>
      <c r="D229" s="4" t="s">
        <v>34</v>
      </c>
      <c r="E229" s="4" t="s">
        <v>6</v>
      </c>
      <c r="F229" s="4">
        <v>16</v>
      </c>
      <c r="G229" s="4">
        <v>17477</v>
      </c>
      <c r="H229" s="4">
        <v>10</v>
      </c>
      <c r="I229" s="7">
        <v>46041</v>
      </c>
      <c r="J229" s="7">
        <v>46043</v>
      </c>
      <c r="K229" s="4" t="s">
        <v>80</v>
      </c>
      <c r="L229" s="16">
        <f>F229*G229*(1-H229/100)</f>
        <v>251668.80000000002</v>
      </c>
      <c r="M229" s="4" t="str" cm="1">
        <f t="array" ref="M229">_xlfn.IFS(L229&gt;=100000, "Excellent", L229&gt;=50000, "Very Good", L229&gt;=20000, "Good", L229&lt;20000, "Average")</f>
        <v>Excellent</v>
      </c>
    </row>
    <row r="230" spans="1:13" x14ac:dyDescent="0.3">
      <c r="A230" s="9">
        <v>1229</v>
      </c>
      <c r="B230" s="9" t="s">
        <v>54</v>
      </c>
      <c r="C230" s="4" t="s">
        <v>19</v>
      </c>
      <c r="D230" s="4" t="s">
        <v>24</v>
      </c>
      <c r="E230" s="4" t="s">
        <v>11</v>
      </c>
      <c r="F230" s="4">
        <v>14</v>
      </c>
      <c r="G230" s="4">
        <v>5859</v>
      </c>
      <c r="H230" s="4">
        <v>12</v>
      </c>
      <c r="I230" s="7">
        <v>46027</v>
      </c>
      <c r="J230" s="7">
        <v>46036</v>
      </c>
      <c r="K230" s="4" t="s">
        <v>79</v>
      </c>
      <c r="L230" s="16">
        <f>F230*G230*(1-H230/100)</f>
        <v>72182.880000000005</v>
      </c>
      <c r="M230" s="4" t="str" cm="1">
        <f t="array" ref="M230">_xlfn.IFS(L230&gt;=100000, "Excellent", L230&gt;=50000, "Very Good", L230&gt;=20000, "Good", L230&lt;20000, "Average")</f>
        <v>Very Good</v>
      </c>
    </row>
    <row r="231" spans="1:13" x14ac:dyDescent="0.3">
      <c r="A231" s="9">
        <v>1230</v>
      </c>
      <c r="B231" s="9" t="s">
        <v>56</v>
      </c>
      <c r="C231" s="4" t="s">
        <v>33</v>
      </c>
      <c r="D231" s="4" t="s">
        <v>34</v>
      </c>
      <c r="E231" s="4" t="s">
        <v>9</v>
      </c>
      <c r="F231" s="4">
        <v>7</v>
      </c>
      <c r="G231" s="4">
        <v>2932</v>
      </c>
      <c r="H231" s="4">
        <v>7</v>
      </c>
      <c r="I231" s="7">
        <v>46050</v>
      </c>
      <c r="J231" s="7">
        <v>46059</v>
      </c>
      <c r="K231" s="4" t="s">
        <v>80</v>
      </c>
      <c r="L231" s="16">
        <f>F231*G231*(1-H231/100)</f>
        <v>19087.32</v>
      </c>
      <c r="M231" s="4" t="str" cm="1">
        <f t="array" ref="M231">_xlfn.IFS(L231&gt;=100000, "Excellent", L231&gt;=50000, "Very Good", L231&gt;=20000, "Good", L231&lt;20000, "Average")</f>
        <v>Average</v>
      </c>
    </row>
    <row r="232" spans="1:13" x14ac:dyDescent="0.3">
      <c r="A232" s="9">
        <v>1231</v>
      </c>
      <c r="B232" s="9" t="s">
        <v>46</v>
      </c>
      <c r="C232" s="4" t="s">
        <v>38</v>
      </c>
      <c r="D232" s="4" t="s">
        <v>24</v>
      </c>
      <c r="E232" s="4" t="s">
        <v>7</v>
      </c>
      <c r="F232" s="4">
        <v>13</v>
      </c>
      <c r="G232" s="4">
        <v>10297</v>
      </c>
      <c r="H232" s="4">
        <v>12</v>
      </c>
      <c r="I232" s="7">
        <v>46178</v>
      </c>
      <c r="J232" s="7">
        <v>46186</v>
      </c>
      <c r="K232" s="4" t="s">
        <v>79</v>
      </c>
      <c r="L232" s="16">
        <f>F232*G232*(1-H232/100)</f>
        <v>117797.68000000001</v>
      </c>
      <c r="M232" s="4" t="str" cm="1">
        <f t="array" ref="M232">_xlfn.IFS(L232&gt;=100000, "Excellent", L232&gt;=50000, "Very Good", L232&gt;=20000, "Good", L232&lt;20000, "Average")</f>
        <v>Excellent</v>
      </c>
    </row>
    <row r="233" spans="1:13" x14ac:dyDescent="0.3">
      <c r="A233" s="9">
        <v>1232</v>
      </c>
      <c r="B233" s="9" t="s">
        <v>25</v>
      </c>
      <c r="C233" s="4" t="s">
        <v>19</v>
      </c>
      <c r="D233" s="4" t="s">
        <v>34</v>
      </c>
      <c r="E233" s="4" t="s">
        <v>9</v>
      </c>
      <c r="F233" s="4">
        <v>3</v>
      </c>
      <c r="G233" s="4">
        <v>13272</v>
      </c>
      <c r="H233" s="4">
        <v>2</v>
      </c>
      <c r="I233" s="7">
        <v>46060</v>
      </c>
      <c r="J233" s="7">
        <v>46065</v>
      </c>
      <c r="K233" s="4" t="s">
        <v>78</v>
      </c>
      <c r="L233" s="16">
        <f>F233*G233*(1-H233/100)</f>
        <v>39019.68</v>
      </c>
      <c r="M233" s="4" t="str" cm="1">
        <f t="array" ref="M233">_xlfn.IFS(L233&gt;=100000, "Excellent", L233&gt;=50000, "Very Good", L233&gt;=20000, "Good", L233&lt;20000, "Average")</f>
        <v>Good</v>
      </c>
    </row>
    <row r="234" spans="1:13" x14ac:dyDescent="0.3">
      <c r="A234" s="9">
        <v>1233</v>
      </c>
      <c r="B234" s="9" t="s">
        <v>55</v>
      </c>
      <c r="C234" s="4" t="s">
        <v>26</v>
      </c>
      <c r="D234" s="4" t="s">
        <v>24</v>
      </c>
      <c r="E234" s="4" t="s">
        <v>7</v>
      </c>
      <c r="F234" s="4">
        <v>20</v>
      </c>
      <c r="G234" s="4">
        <v>13941</v>
      </c>
      <c r="H234" s="4">
        <v>15</v>
      </c>
      <c r="I234" s="7">
        <v>46198</v>
      </c>
      <c r="J234" s="7">
        <v>46202</v>
      </c>
      <c r="K234" s="4" t="s">
        <v>80</v>
      </c>
      <c r="L234" s="16">
        <f>F234*G234*(1-H234/100)</f>
        <v>236997</v>
      </c>
      <c r="M234" s="4" t="str" cm="1">
        <f t="array" ref="M234">_xlfn.IFS(L234&gt;=100000, "Excellent", L234&gt;=50000, "Very Good", L234&gt;=20000, "Good", L234&lt;20000, "Average")</f>
        <v>Excellent</v>
      </c>
    </row>
    <row r="235" spans="1:13" x14ac:dyDescent="0.3">
      <c r="A235" s="9">
        <v>1234</v>
      </c>
      <c r="B235" s="9" t="s">
        <v>18</v>
      </c>
      <c r="C235" s="4" t="s">
        <v>27</v>
      </c>
      <c r="D235" s="4" t="s">
        <v>24</v>
      </c>
      <c r="E235" s="4" t="s">
        <v>8</v>
      </c>
      <c r="F235" s="4">
        <v>1</v>
      </c>
      <c r="G235" s="4">
        <v>14320</v>
      </c>
      <c r="H235" s="4">
        <v>12</v>
      </c>
      <c r="I235" s="7">
        <v>46114</v>
      </c>
      <c r="J235" s="7">
        <v>46121</v>
      </c>
      <c r="K235" s="4" t="s">
        <v>81</v>
      </c>
      <c r="L235" s="16">
        <f>F235*G235*(1-H235/100)</f>
        <v>12601.6</v>
      </c>
      <c r="M235" s="4" t="str" cm="1">
        <f t="array" ref="M235">_xlfn.IFS(L235&gt;=100000, "Excellent", L235&gt;=50000, "Very Good", L235&gt;=20000, "Good", L235&lt;20000, "Average")</f>
        <v>Average</v>
      </c>
    </row>
    <row r="236" spans="1:13" x14ac:dyDescent="0.3">
      <c r="A236" s="9">
        <v>1235</v>
      </c>
      <c r="B236" s="9" t="s">
        <v>54</v>
      </c>
      <c r="C236" s="4" t="s">
        <v>27</v>
      </c>
      <c r="D236" s="4" t="s">
        <v>20</v>
      </c>
      <c r="E236" s="4" t="s">
        <v>48</v>
      </c>
      <c r="F236" s="4">
        <v>15</v>
      </c>
      <c r="G236" s="4">
        <v>267</v>
      </c>
      <c r="H236" s="4">
        <v>15</v>
      </c>
      <c r="I236" s="7">
        <v>46172</v>
      </c>
      <c r="J236" s="7">
        <v>46177</v>
      </c>
      <c r="K236" s="4" t="s">
        <v>49</v>
      </c>
      <c r="L236" s="16">
        <f>F236*G236*(1-H236/100)</f>
        <v>3404.25</v>
      </c>
      <c r="M236" s="4" t="str" cm="1">
        <f t="array" ref="M236">_xlfn.IFS(L236&gt;=100000, "Excellent", L236&gt;=50000, "Very Good", L236&gt;=20000, "Good", L236&lt;20000, "Average")</f>
        <v>Average</v>
      </c>
    </row>
    <row r="237" spans="1:13" x14ac:dyDescent="0.3">
      <c r="A237" s="9">
        <v>1236</v>
      </c>
      <c r="B237" s="9" t="s">
        <v>52</v>
      </c>
      <c r="C237" s="4" t="s">
        <v>42</v>
      </c>
      <c r="D237" s="4" t="s">
        <v>20</v>
      </c>
      <c r="E237" s="4" t="s">
        <v>37</v>
      </c>
      <c r="F237" s="4">
        <v>12</v>
      </c>
      <c r="G237" s="4">
        <v>189</v>
      </c>
      <c r="H237" s="4">
        <v>7</v>
      </c>
      <c r="I237" s="7">
        <v>46164</v>
      </c>
      <c r="J237" s="7">
        <v>46169</v>
      </c>
      <c r="K237" s="4" t="s">
        <v>49</v>
      </c>
      <c r="L237" s="16">
        <f>F237*G237*(1-H237/100)</f>
        <v>2109.2399999999998</v>
      </c>
      <c r="M237" s="4" t="str" cm="1">
        <f t="array" ref="M237">_xlfn.IFS(L237&gt;=100000, "Excellent", L237&gt;=50000, "Very Good", L237&gt;=20000, "Good", L237&lt;20000, "Average")</f>
        <v>Average</v>
      </c>
    </row>
    <row r="238" spans="1:13" x14ac:dyDescent="0.3">
      <c r="A238" s="9">
        <v>1237</v>
      </c>
      <c r="B238" s="9" t="s">
        <v>44</v>
      </c>
      <c r="C238" s="4" t="s">
        <v>38</v>
      </c>
      <c r="D238" s="4" t="s">
        <v>24</v>
      </c>
      <c r="E238" s="4" t="s">
        <v>11</v>
      </c>
      <c r="F238" s="4">
        <v>8</v>
      </c>
      <c r="G238" s="4">
        <v>12123</v>
      </c>
      <c r="H238" s="4">
        <v>2</v>
      </c>
      <c r="I238" s="7">
        <v>46137</v>
      </c>
      <c r="J238" s="7">
        <v>46145</v>
      </c>
      <c r="K238" s="4" t="s">
        <v>78</v>
      </c>
      <c r="L238" s="16">
        <f>F238*G238*(1-H238/100)</f>
        <v>95044.319999999992</v>
      </c>
      <c r="M238" s="4" t="str" cm="1">
        <f t="array" ref="M238">_xlfn.IFS(L238&gt;=100000, "Excellent", L238&gt;=50000, "Very Good", L238&gt;=20000, "Good", L238&lt;20000, "Average")</f>
        <v>Very Good</v>
      </c>
    </row>
    <row r="239" spans="1:13" x14ac:dyDescent="0.3">
      <c r="A239" s="9">
        <v>1238</v>
      </c>
      <c r="B239" s="9" t="s">
        <v>30</v>
      </c>
      <c r="C239" s="4" t="s">
        <v>31</v>
      </c>
      <c r="D239" s="4" t="s">
        <v>20</v>
      </c>
      <c r="E239" s="4" t="s">
        <v>21</v>
      </c>
      <c r="F239" s="4">
        <v>6</v>
      </c>
      <c r="G239" s="4">
        <v>180</v>
      </c>
      <c r="H239" s="4">
        <v>12</v>
      </c>
      <c r="I239" s="7">
        <v>46096</v>
      </c>
      <c r="J239" s="7">
        <v>46097</v>
      </c>
      <c r="K239" s="4" t="s">
        <v>81</v>
      </c>
      <c r="L239" s="16">
        <f>F239*G239*(1-H239/100)</f>
        <v>950.4</v>
      </c>
      <c r="M239" s="4" t="str" cm="1">
        <f t="array" ref="M239">_xlfn.IFS(L239&gt;=100000, "Excellent", L239&gt;=50000, "Very Good", L239&gt;=20000, "Good", L239&lt;20000, "Average")</f>
        <v>Average</v>
      </c>
    </row>
    <row r="240" spans="1:13" x14ac:dyDescent="0.3">
      <c r="A240" s="9">
        <v>1239</v>
      </c>
      <c r="B240" s="9" t="s">
        <v>46</v>
      </c>
      <c r="C240" s="4" t="s">
        <v>23</v>
      </c>
      <c r="D240" s="4" t="s">
        <v>24</v>
      </c>
      <c r="E240" s="4" t="s">
        <v>11</v>
      </c>
      <c r="F240" s="4">
        <v>2</v>
      </c>
      <c r="G240" s="4">
        <v>12330</v>
      </c>
      <c r="H240" s="4">
        <v>12</v>
      </c>
      <c r="I240" s="7">
        <v>46122</v>
      </c>
      <c r="J240" s="7">
        <v>46125</v>
      </c>
      <c r="K240" s="4" t="s">
        <v>78</v>
      </c>
      <c r="L240" s="16">
        <f>F240*G240*(1-H240/100)</f>
        <v>21700.799999999999</v>
      </c>
      <c r="M240" s="4" t="str" cm="1">
        <f t="array" ref="M240">_xlfn.IFS(L240&gt;=100000, "Excellent", L240&gt;=50000, "Very Good", L240&gt;=20000, "Good", L240&lt;20000, "Average")</f>
        <v>Good</v>
      </c>
    </row>
    <row r="241" spans="1:13" x14ac:dyDescent="0.3">
      <c r="A241" s="9">
        <v>1240</v>
      </c>
      <c r="B241" s="9" t="s">
        <v>53</v>
      </c>
      <c r="C241" s="4" t="s">
        <v>33</v>
      </c>
      <c r="D241" s="4" t="s">
        <v>24</v>
      </c>
      <c r="E241" s="4" t="s">
        <v>10</v>
      </c>
      <c r="F241" s="4">
        <v>2</v>
      </c>
      <c r="G241" s="4">
        <v>5475</v>
      </c>
      <c r="H241" s="4">
        <v>2</v>
      </c>
      <c r="I241" s="7">
        <v>46142</v>
      </c>
      <c r="J241" s="7">
        <v>46146</v>
      </c>
      <c r="K241" s="4" t="s">
        <v>49</v>
      </c>
      <c r="L241" s="16">
        <f>F241*G241*(1-H241/100)</f>
        <v>10731</v>
      </c>
      <c r="M241" s="4" t="str" cm="1">
        <f t="array" ref="M241">_xlfn.IFS(L241&gt;=100000, "Excellent", L241&gt;=50000, "Very Good", L241&gt;=20000, "Good", L241&lt;20000, "Average")</f>
        <v>Average</v>
      </c>
    </row>
    <row r="242" spans="1:13" x14ac:dyDescent="0.3">
      <c r="A242" s="9">
        <v>1241</v>
      </c>
      <c r="B242" s="9" t="s">
        <v>44</v>
      </c>
      <c r="C242" s="4" t="s">
        <v>31</v>
      </c>
      <c r="D242" s="4" t="s">
        <v>24</v>
      </c>
      <c r="E242" s="4" t="s">
        <v>43</v>
      </c>
      <c r="F242" s="4">
        <v>1</v>
      </c>
      <c r="G242" s="4">
        <v>12537</v>
      </c>
      <c r="H242" s="4">
        <v>0</v>
      </c>
      <c r="I242" s="7">
        <v>46119</v>
      </c>
      <c r="J242" s="7">
        <v>46122</v>
      </c>
      <c r="K242" s="4" t="s">
        <v>78</v>
      </c>
      <c r="L242" s="16">
        <f>F242*G242*(1-H242/100)</f>
        <v>12537</v>
      </c>
      <c r="M242" s="4" t="str" cm="1">
        <f t="array" ref="M242">_xlfn.IFS(L242&gt;=100000, "Excellent", L242&gt;=50000, "Very Good", L242&gt;=20000, "Good", L242&lt;20000, "Average")</f>
        <v>Average</v>
      </c>
    </row>
    <row r="243" spans="1:13" x14ac:dyDescent="0.3">
      <c r="A243" s="9">
        <v>1242</v>
      </c>
      <c r="B243" s="9" t="s">
        <v>52</v>
      </c>
      <c r="C243" s="4" t="s">
        <v>38</v>
      </c>
      <c r="D243" s="4" t="s">
        <v>20</v>
      </c>
      <c r="E243" s="4" t="s">
        <v>48</v>
      </c>
      <c r="F243" s="4">
        <v>7</v>
      </c>
      <c r="G243" s="4">
        <v>168</v>
      </c>
      <c r="H243" s="4">
        <v>10</v>
      </c>
      <c r="I243" s="7">
        <v>46191</v>
      </c>
      <c r="J243" s="7">
        <v>46196</v>
      </c>
      <c r="K243" s="4" t="s">
        <v>81</v>
      </c>
      <c r="L243" s="16">
        <f>F243*G243*(1-H243/100)</f>
        <v>1058.4000000000001</v>
      </c>
      <c r="M243" s="4" t="str" cm="1">
        <f t="array" ref="M243">_xlfn.IFS(L243&gt;=100000, "Excellent", L243&gt;=50000, "Very Good", L243&gt;=20000, "Good", L243&lt;20000, "Average")</f>
        <v>Average</v>
      </c>
    </row>
    <row r="244" spans="1:13" x14ac:dyDescent="0.3">
      <c r="A244" s="9">
        <v>1243</v>
      </c>
      <c r="B244" s="9" t="s">
        <v>30</v>
      </c>
      <c r="C244" s="4" t="s">
        <v>31</v>
      </c>
      <c r="D244" s="4" t="s">
        <v>34</v>
      </c>
      <c r="E244" s="4" t="s">
        <v>40</v>
      </c>
      <c r="F244" s="4">
        <v>5</v>
      </c>
      <c r="G244" s="4">
        <v>11570</v>
      </c>
      <c r="H244" s="4">
        <v>15</v>
      </c>
      <c r="I244" s="7">
        <v>46069</v>
      </c>
      <c r="J244" s="7">
        <v>46077</v>
      </c>
      <c r="K244" s="4" t="s">
        <v>80</v>
      </c>
      <c r="L244" s="16">
        <f>F244*G244*(1-H244/100)</f>
        <v>49172.5</v>
      </c>
      <c r="M244" s="4" t="str" cm="1">
        <f t="array" ref="M244">_xlfn.IFS(L244&gt;=100000, "Excellent", L244&gt;=50000, "Very Good", L244&gt;=20000, "Good", L244&lt;20000, "Average")</f>
        <v>Good</v>
      </c>
    </row>
    <row r="245" spans="1:13" x14ac:dyDescent="0.3">
      <c r="A245" s="9">
        <v>1244</v>
      </c>
      <c r="B245" s="9" t="s">
        <v>54</v>
      </c>
      <c r="C245" s="4" t="s">
        <v>38</v>
      </c>
      <c r="D245" s="4" t="s">
        <v>24</v>
      </c>
      <c r="E245" s="4" t="s">
        <v>8</v>
      </c>
      <c r="F245" s="4">
        <v>10</v>
      </c>
      <c r="G245" s="4">
        <v>6339</v>
      </c>
      <c r="H245" s="4">
        <v>12</v>
      </c>
      <c r="I245" s="7">
        <v>46200</v>
      </c>
      <c r="J245" s="7">
        <v>46205</v>
      </c>
      <c r="K245" s="4" t="s">
        <v>78</v>
      </c>
      <c r="L245" s="16">
        <f>F245*G245*(1-H245/100)</f>
        <v>55783.199999999997</v>
      </c>
      <c r="M245" s="4" t="str" cm="1">
        <f t="array" ref="M245">_xlfn.IFS(L245&gt;=100000, "Excellent", L245&gt;=50000, "Very Good", L245&gt;=20000, "Good", L245&lt;20000, "Average")</f>
        <v>Very Good</v>
      </c>
    </row>
    <row r="246" spans="1:13" x14ac:dyDescent="0.3">
      <c r="A246" s="9">
        <v>1245</v>
      </c>
      <c r="B246" s="9" t="s">
        <v>53</v>
      </c>
      <c r="C246" s="4" t="s">
        <v>42</v>
      </c>
      <c r="D246" s="4" t="s">
        <v>34</v>
      </c>
      <c r="E246" s="4" t="s">
        <v>40</v>
      </c>
      <c r="F246" s="4">
        <v>19</v>
      </c>
      <c r="G246" s="4">
        <v>69029</v>
      </c>
      <c r="H246" s="4">
        <v>7</v>
      </c>
      <c r="I246" s="7">
        <v>46176</v>
      </c>
      <c r="J246" s="7">
        <v>46179</v>
      </c>
      <c r="K246" s="4" t="s">
        <v>49</v>
      </c>
      <c r="L246" s="16">
        <f>F246*G246*(1-H246/100)</f>
        <v>1219742.43</v>
      </c>
      <c r="M246" s="4" t="str" cm="1">
        <f t="array" ref="M246">_xlfn.IFS(L246&gt;=100000, "Excellent", L246&gt;=50000, "Very Good", L246&gt;=20000, "Good", L246&lt;20000, "Average")</f>
        <v>Excellent</v>
      </c>
    </row>
    <row r="247" spans="1:13" x14ac:dyDescent="0.3">
      <c r="A247" s="9">
        <v>1246</v>
      </c>
      <c r="B247" s="9" t="s">
        <v>53</v>
      </c>
      <c r="C247" s="4" t="s">
        <v>26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7">
        <v>46039</v>
      </c>
      <c r="J247" s="7">
        <v>46045</v>
      </c>
      <c r="K247" s="4" t="s">
        <v>81</v>
      </c>
      <c r="L247" s="16">
        <f>F247*G247*(1-H247/100)</f>
        <v>23250.5</v>
      </c>
      <c r="M247" s="4" t="str" cm="1">
        <f t="array" ref="M247">_xlfn.IFS(L247&gt;=100000, "Excellent", L247&gt;=50000, "Very Good", L247&gt;=20000, "Good", L247&lt;20000, "Average")</f>
        <v>Good</v>
      </c>
    </row>
    <row r="248" spans="1:13" x14ac:dyDescent="0.3">
      <c r="A248" s="9">
        <v>1247</v>
      </c>
      <c r="B248" s="9" t="s">
        <v>28</v>
      </c>
      <c r="C248" s="4" t="s">
        <v>19</v>
      </c>
      <c r="D248" s="4" t="s">
        <v>20</v>
      </c>
      <c r="E248" s="4" t="s">
        <v>48</v>
      </c>
      <c r="F248" s="4">
        <v>10</v>
      </c>
      <c r="G248" s="4">
        <v>336</v>
      </c>
      <c r="H248" s="4">
        <v>7</v>
      </c>
      <c r="I248" s="7">
        <v>46173</v>
      </c>
      <c r="J248" s="7">
        <v>46175</v>
      </c>
      <c r="K248" s="4" t="s">
        <v>79</v>
      </c>
      <c r="L248" s="16">
        <f>F248*G248*(1-H248/100)</f>
        <v>3124.7999999999997</v>
      </c>
      <c r="M248" s="4" t="str" cm="1">
        <f t="array" ref="M248">_xlfn.IFS(L248&gt;=100000, "Excellent", L248&gt;=50000, "Very Good", L248&gt;=20000, "Good", L248&lt;20000, "Average")</f>
        <v>Average</v>
      </c>
    </row>
    <row r="249" spans="1:13" x14ac:dyDescent="0.3">
      <c r="A249" s="9">
        <v>1248</v>
      </c>
      <c r="B249" s="9" t="s">
        <v>29</v>
      </c>
      <c r="C249" s="4" t="s">
        <v>42</v>
      </c>
      <c r="D249" s="4" t="s">
        <v>20</v>
      </c>
      <c r="E249" s="4" t="s">
        <v>37</v>
      </c>
      <c r="F249" s="4">
        <v>5</v>
      </c>
      <c r="G249" s="4">
        <v>398</v>
      </c>
      <c r="H249" s="4">
        <v>7</v>
      </c>
      <c r="I249" s="7">
        <v>46161</v>
      </c>
      <c r="J249" s="7">
        <v>46171</v>
      </c>
      <c r="K249" s="4" t="s">
        <v>49</v>
      </c>
      <c r="L249" s="16">
        <f>F249*G249*(1-H249/100)</f>
        <v>1850.6999999999998</v>
      </c>
      <c r="M249" s="4" t="str" cm="1">
        <f t="array" ref="M249">_xlfn.IFS(L249&gt;=100000, "Excellent", L249&gt;=50000, "Very Good", L249&gt;=20000, "Good", L249&lt;20000, "Average")</f>
        <v>Average</v>
      </c>
    </row>
    <row r="250" spans="1:13" x14ac:dyDescent="0.3">
      <c r="A250" s="9">
        <v>1249</v>
      </c>
      <c r="B250" s="9" t="s">
        <v>22</v>
      </c>
      <c r="C250" s="4" t="s">
        <v>27</v>
      </c>
      <c r="D250" s="4" t="s">
        <v>34</v>
      </c>
      <c r="E250" s="4" t="s">
        <v>40</v>
      </c>
      <c r="F250" s="4">
        <v>18</v>
      </c>
      <c r="G250" s="4">
        <v>6360</v>
      </c>
      <c r="H250" s="4">
        <v>12</v>
      </c>
      <c r="I250" s="7">
        <v>46163</v>
      </c>
      <c r="J250" s="7">
        <v>46165</v>
      </c>
      <c r="K250" s="4" t="s">
        <v>79</v>
      </c>
      <c r="L250" s="16">
        <f>F250*G250*(1-H250/100)</f>
        <v>100742.39999999999</v>
      </c>
      <c r="M250" s="4" t="str" cm="1">
        <f t="array" ref="M250">_xlfn.IFS(L250&gt;=100000, "Excellent", L250&gt;=50000, "Very Good", L250&gt;=20000, "Good", L250&lt;20000, "Average")</f>
        <v>Excellent</v>
      </c>
    </row>
    <row r="251" spans="1:13" x14ac:dyDescent="0.3">
      <c r="A251" s="9">
        <v>1250</v>
      </c>
      <c r="B251" s="9" t="s">
        <v>18</v>
      </c>
      <c r="C251" s="4" t="s">
        <v>23</v>
      </c>
      <c r="D251" s="4" t="s">
        <v>34</v>
      </c>
      <c r="E251" s="4" t="s">
        <v>6</v>
      </c>
      <c r="F251" s="4">
        <v>2</v>
      </c>
      <c r="G251" s="4">
        <v>65953</v>
      </c>
      <c r="H251" s="4">
        <v>7</v>
      </c>
      <c r="I251" s="7">
        <v>46051</v>
      </c>
      <c r="J251" s="7">
        <v>46053</v>
      </c>
      <c r="K251" s="4" t="s">
        <v>49</v>
      </c>
      <c r="L251" s="16">
        <f>F251*G251*(1-H251/100)</f>
        <v>122672.57999999999</v>
      </c>
      <c r="M251" s="4" t="str" cm="1">
        <f t="array" ref="M251">_xlfn.IFS(L251&gt;=100000, "Excellent", L251&gt;=50000, "Very Good", L251&gt;=20000, "Good", L251&lt;20000, "Average")</f>
        <v>Excellent</v>
      </c>
    </row>
    <row r="252" spans="1:13" x14ac:dyDescent="0.3">
      <c r="A252" s="9">
        <v>1251</v>
      </c>
      <c r="B252" s="9" t="s">
        <v>53</v>
      </c>
      <c r="C252" s="4" t="s">
        <v>38</v>
      </c>
      <c r="D252" s="4" t="s">
        <v>34</v>
      </c>
      <c r="E252" s="4" t="s">
        <v>12</v>
      </c>
      <c r="F252" s="4">
        <v>19</v>
      </c>
      <c r="G252" s="4">
        <v>48548</v>
      </c>
      <c r="H252" s="4">
        <v>0</v>
      </c>
      <c r="I252" s="7">
        <v>46112</v>
      </c>
      <c r="J252" s="7">
        <v>46121</v>
      </c>
      <c r="K252" s="4" t="s">
        <v>81</v>
      </c>
      <c r="L252" s="16">
        <f>F252*G252*(1-H252/100)</f>
        <v>922412</v>
      </c>
      <c r="M252" s="4" t="str" cm="1">
        <f t="array" ref="M252">_xlfn.IFS(L252&gt;=100000, "Excellent", L252&gt;=50000, "Very Good", L252&gt;=20000, "Good", L252&lt;20000, "Average")</f>
        <v>Excellent</v>
      </c>
    </row>
    <row r="253" spans="1:13" x14ac:dyDescent="0.3">
      <c r="A253" s="9">
        <v>1252</v>
      </c>
      <c r="B253" s="9" t="s">
        <v>45</v>
      </c>
      <c r="C253" s="4" t="s">
        <v>27</v>
      </c>
      <c r="D253" s="4" t="s">
        <v>20</v>
      </c>
      <c r="E253" s="4" t="s">
        <v>36</v>
      </c>
      <c r="F253" s="4">
        <v>15</v>
      </c>
      <c r="G253" s="4">
        <v>257</v>
      </c>
      <c r="H253" s="4">
        <v>5</v>
      </c>
      <c r="I253" s="7">
        <v>46166</v>
      </c>
      <c r="J253" s="7">
        <v>46173</v>
      </c>
      <c r="K253" s="4" t="s">
        <v>79</v>
      </c>
      <c r="L253" s="16">
        <f>F253*G253*(1-H253/100)</f>
        <v>3662.25</v>
      </c>
      <c r="M253" s="4" t="str" cm="1">
        <f t="array" ref="M253">_xlfn.IFS(L253&gt;=100000, "Excellent", L253&gt;=50000, "Very Good", L253&gt;=20000, "Good", L253&lt;20000, "Average")</f>
        <v>Average</v>
      </c>
    </row>
    <row r="254" spans="1:13" x14ac:dyDescent="0.3">
      <c r="A254" s="9">
        <v>1253</v>
      </c>
      <c r="B254" s="9" t="s">
        <v>25</v>
      </c>
      <c r="C254" s="4" t="s">
        <v>31</v>
      </c>
      <c r="D254" s="4" t="s">
        <v>34</v>
      </c>
      <c r="E254" s="4" t="s">
        <v>6</v>
      </c>
      <c r="F254" s="4">
        <v>20</v>
      </c>
      <c r="G254" s="4">
        <v>47880</v>
      </c>
      <c r="H254" s="4">
        <v>7</v>
      </c>
      <c r="I254" s="7">
        <v>46074</v>
      </c>
      <c r="J254" s="7">
        <v>46075</v>
      </c>
      <c r="K254" s="4" t="s">
        <v>49</v>
      </c>
      <c r="L254" s="16">
        <f>F254*G254*(1-H254/100)</f>
        <v>890567.99999999988</v>
      </c>
      <c r="M254" s="4" t="str" cm="1">
        <f t="array" ref="M254">_xlfn.IFS(L254&gt;=100000, "Excellent", L254&gt;=50000, "Very Good", L254&gt;=20000, "Good", L254&lt;20000, "Average")</f>
        <v>Excellent</v>
      </c>
    </row>
    <row r="255" spans="1:13" x14ac:dyDescent="0.3">
      <c r="A255" s="9">
        <v>1254</v>
      </c>
      <c r="B255" s="9" t="s">
        <v>50</v>
      </c>
      <c r="C255" s="4" t="s">
        <v>26</v>
      </c>
      <c r="D255" s="4" t="s">
        <v>20</v>
      </c>
      <c r="E255" s="4" t="s">
        <v>48</v>
      </c>
      <c r="F255" s="4">
        <v>18</v>
      </c>
      <c r="G255" s="4">
        <v>447</v>
      </c>
      <c r="H255" s="4">
        <v>15</v>
      </c>
      <c r="I255" s="7">
        <v>46141</v>
      </c>
      <c r="J255" s="7">
        <v>46149</v>
      </c>
      <c r="K255" s="4" t="s">
        <v>80</v>
      </c>
      <c r="L255" s="16">
        <f>F255*G255*(1-H255/100)</f>
        <v>6839.0999999999995</v>
      </c>
      <c r="M255" s="4" t="str" cm="1">
        <f t="array" ref="M255">_xlfn.IFS(L255&gt;=100000, "Excellent", L255&gt;=50000, "Very Good", L255&gt;=20000, "Good", L255&lt;20000, "Average")</f>
        <v>Average</v>
      </c>
    </row>
    <row r="256" spans="1:13" x14ac:dyDescent="0.3">
      <c r="A256" s="9">
        <v>1255</v>
      </c>
      <c r="B256" s="9" t="s">
        <v>32</v>
      </c>
      <c r="C256" s="4" t="s">
        <v>23</v>
      </c>
      <c r="D256" s="4" t="s">
        <v>24</v>
      </c>
      <c r="E256" s="4" t="s">
        <v>7</v>
      </c>
      <c r="F256" s="4">
        <v>1</v>
      </c>
      <c r="G256" s="4">
        <v>2240</v>
      </c>
      <c r="H256" s="4">
        <v>5</v>
      </c>
      <c r="I256" s="7">
        <v>46091</v>
      </c>
      <c r="J256" s="7">
        <v>46095</v>
      </c>
      <c r="K256" s="4" t="s">
        <v>79</v>
      </c>
      <c r="L256" s="16">
        <f>F256*G256*(1-H256/100)</f>
        <v>2128</v>
      </c>
      <c r="M256" s="4" t="str" cm="1">
        <f t="array" ref="M256">_xlfn.IFS(L256&gt;=100000, "Excellent", L256&gt;=50000, "Very Good", L256&gt;=20000, "Good", L256&lt;20000, "Average")</f>
        <v>Average</v>
      </c>
    </row>
    <row r="257" spans="1:13" x14ac:dyDescent="0.3">
      <c r="A257" s="9">
        <v>1256</v>
      </c>
      <c r="B257" s="9" t="s">
        <v>46</v>
      </c>
      <c r="C257" s="4" t="s">
        <v>31</v>
      </c>
      <c r="D257" s="4" t="s">
        <v>20</v>
      </c>
      <c r="E257" s="4" t="s">
        <v>48</v>
      </c>
      <c r="F257" s="4">
        <v>19</v>
      </c>
      <c r="G257" s="4">
        <v>406</v>
      </c>
      <c r="H257" s="4">
        <v>7</v>
      </c>
      <c r="I257" s="7">
        <v>46057</v>
      </c>
      <c r="J257" s="7">
        <v>46061</v>
      </c>
      <c r="K257" s="4" t="s">
        <v>78</v>
      </c>
      <c r="L257" s="16">
        <f>F257*G257*(1-H257/100)</f>
        <v>7174.0199999999995</v>
      </c>
      <c r="M257" s="4" t="str" cm="1">
        <f t="array" ref="M257">_xlfn.IFS(L257&gt;=100000, "Excellent", L257&gt;=50000, "Very Good", L257&gt;=20000, "Good", L257&lt;20000, "Average")</f>
        <v>Average</v>
      </c>
    </row>
    <row r="258" spans="1:13" x14ac:dyDescent="0.3">
      <c r="A258" s="9">
        <v>1257</v>
      </c>
      <c r="B258" s="9" t="s">
        <v>52</v>
      </c>
      <c r="C258" s="4" t="s">
        <v>27</v>
      </c>
      <c r="D258" s="4" t="s">
        <v>34</v>
      </c>
      <c r="E258" s="4" t="s">
        <v>12</v>
      </c>
      <c r="F258" s="4">
        <v>7</v>
      </c>
      <c r="G258" s="4">
        <v>53243</v>
      </c>
      <c r="H258" s="4">
        <v>12</v>
      </c>
      <c r="I258" s="7">
        <v>46161</v>
      </c>
      <c r="J258" s="7">
        <v>46171</v>
      </c>
      <c r="K258" s="4" t="s">
        <v>78</v>
      </c>
      <c r="L258" s="16">
        <f>F258*G258*(1-H258/100)</f>
        <v>327976.88</v>
      </c>
      <c r="M258" s="4" t="str" cm="1">
        <f t="array" ref="M258">_xlfn.IFS(L258&gt;=100000, "Excellent", L258&gt;=50000, "Very Good", L258&gt;=20000, "Good", L258&lt;20000, "Average")</f>
        <v>Excellent</v>
      </c>
    </row>
    <row r="259" spans="1:13" x14ac:dyDescent="0.3">
      <c r="A259" s="9">
        <v>1258</v>
      </c>
      <c r="B259" s="9" t="s">
        <v>32</v>
      </c>
      <c r="C259" s="4" t="s">
        <v>31</v>
      </c>
      <c r="D259" s="4" t="s">
        <v>34</v>
      </c>
      <c r="E259" s="4" t="s">
        <v>9</v>
      </c>
      <c r="F259" s="4">
        <v>1</v>
      </c>
      <c r="G259" s="4">
        <v>10600</v>
      </c>
      <c r="H259" s="4">
        <v>5</v>
      </c>
      <c r="I259" s="7">
        <v>46137</v>
      </c>
      <c r="J259" s="7">
        <v>46138</v>
      </c>
      <c r="K259" s="4" t="s">
        <v>49</v>
      </c>
      <c r="L259" s="16">
        <f>F259*G259*(1-H259/100)</f>
        <v>10070</v>
      </c>
      <c r="M259" s="4" t="str" cm="1">
        <f t="array" ref="M259">_xlfn.IFS(L259&gt;=100000, "Excellent", L259&gt;=50000, "Very Good", L259&gt;=20000, "Good", L259&lt;20000, "Average")</f>
        <v>Average</v>
      </c>
    </row>
    <row r="260" spans="1:13" x14ac:dyDescent="0.3">
      <c r="A260" s="9">
        <v>1259</v>
      </c>
      <c r="B260" s="9" t="s">
        <v>41</v>
      </c>
      <c r="C260" s="4" t="s">
        <v>26</v>
      </c>
      <c r="D260" s="4" t="s">
        <v>34</v>
      </c>
      <c r="E260" s="4" t="s">
        <v>6</v>
      </c>
      <c r="F260" s="4">
        <v>10</v>
      </c>
      <c r="G260" s="4">
        <v>38771</v>
      </c>
      <c r="H260" s="4">
        <v>15</v>
      </c>
      <c r="I260" s="7">
        <v>46172</v>
      </c>
      <c r="J260" s="7">
        <v>46182</v>
      </c>
      <c r="K260" s="4" t="s">
        <v>78</v>
      </c>
      <c r="L260" s="16">
        <f>F260*G260*(1-H260/100)</f>
        <v>329553.5</v>
      </c>
      <c r="M260" s="4" t="str" cm="1">
        <f t="array" ref="M260">_xlfn.IFS(L260&gt;=100000, "Excellent", L260&gt;=50000, "Very Good", L260&gt;=20000, "Good", L260&lt;20000, "Average")</f>
        <v>Excellent</v>
      </c>
    </row>
    <row r="261" spans="1:13" x14ac:dyDescent="0.3">
      <c r="A261" s="9">
        <v>1260</v>
      </c>
      <c r="B261" s="9" t="s">
        <v>52</v>
      </c>
      <c r="C261" s="4" t="s">
        <v>38</v>
      </c>
      <c r="D261" s="4" t="s">
        <v>34</v>
      </c>
      <c r="E261" s="4" t="s">
        <v>40</v>
      </c>
      <c r="F261" s="4">
        <v>19</v>
      </c>
      <c r="G261" s="4">
        <v>54981</v>
      </c>
      <c r="H261" s="4">
        <v>10</v>
      </c>
      <c r="I261" s="7">
        <v>46040</v>
      </c>
      <c r="J261" s="7">
        <v>46045</v>
      </c>
      <c r="K261" s="4" t="s">
        <v>49</v>
      </c>
      <c r="L261" s="16">
        <f>F261*G261*(1-H261/100)</f>
        <v>940175.1</v>
      </c>
      <c r="M261" s="4" t="str" cm="1">
        <f t="array" ref="M261">_xlfn.IFS(L261&gt;=100000, "Excellent", L261&gt;=50000, "Very Good", L261&gt;=20000, "Good", L261&lt;20000, "Average")</f>
        <v>Excellent</v>
      </c>
    </row>
    <row r="262" spans="1:13" x14ac:dyDescent="0.3">
      <c r="A262" s="9">
        <v>1261</v>
      </c>
      <c r="B262" s="9" t="s">
        <v>39</v>
      </c>
      <c r="C262" s="4" t="s">
        <v>23</v>
      </c>
      <c r="D262" s="4" t="s">
        <v>20</v>
      </c>
      <c r="E262" s="4" t="s">
        <v>48</v>
      </c>
      <c r="F262" s="4">
        <v>20</v>
      </c>
      <c r="G262" s="4">
        <v>162</v>
      </c>
      <c r="H262" s="4">
        <v>7</v>
      </c>
      <c r="I262" s="7">
        <v>46119</v>
      </c>
      <c r="J262" s="7">
        <v>46120</v>
      </c>
      <c r="K262" s="4" t="s">
        <v>81</v>
      </c>
      <c r="L262" s="16">
        <f>F262*G262*(1-H262/100)</f>
        <v>3013.2</v>
      </c>
      <c r="M262" s="4" t="str" cm="1">
        <f t="array" ref="M262">_xlfn.IFS(L262&gt;=100000, "Excellent", L262&gt;=50000, "Very Good", L262&gt;=20000, "Good", L262&lt;20000, "Average")</f>
        <v>Average</v>
      </c>
    </row>
    <row r="263" spans="1:13" x14ac:dyDescent="0.3">
      <c r="A263" s="9">
        <v>1262</v>
      </c>
      <c r="B263" s="9" t="s">
        <v>22</v>
      </c>
      <c r="C263" s="4" t="s">
        <v>26</v>
      </c>
      <c r="D263" s="4" t="s">
        <v>24</v>
      </c>
      <c r="E263" s="4" t="s">
        <v>8</v>
      </c>
      <c r="F263" s="4">
        <v>9</v>
      </c>
      <c r="G263" s="4">
        <v>2231</v>
      </c>
      <c r="H263" s="4">
        <v>15</v>
      </c>
      <c r="I263" s="7">
        <v>46174</v>
      </c>
      <c r="J263" s="7">
        <v>46183</v>
      </c>
      <c r="K263" s="4" t="s">
        <v>78</v>
      </c>
      <c r="L263" s="16">
        <f>F263*G263*(1-H263/100)</f>
        <v>17067.149999999998</v>
      </c>
      <c r="M263" s="4" t="str" cm="1">
        <f t="array" ref="M263">_xlfn.IFS(L263&gt;=100000, "Excellent", L263&gt;=50000, "Very Good", L263&gt;=20000, "Good", L263&lt;20000, "Average")</f>
        <v>Average</v>
      </c>
    </row>
    <row r="264" spans="1:13" x14ac:dyDescent="0.3">
      <c r="A264" s="9">
        <v>1263</v>
      </c>
      <c r="B264" s="9" t="s">
        <v>49</v>
      </c>
      <c r="C264" s="4" t="s">
        <v>38</v>
      </c>
      <c r="D264" s="4" t="s">
        <v>24</v>
      </c>
      <c r="E264" s="4" t="s">
        <v>8</v>
      </c>
      <c r="F264" s="4">
        <v>10</v>
      </c>
      <c r="G264" s="4">
        <v>1505</v>
      </c>
      <c r="H264" s="4">
        <v>0</v>
      </c>
      <c r="I264" s="7">
        <v>46130</v>
      </c>
      <c r="J264" s="7">
        <v>46138</v>
      </c>
      <c r="K264" s="4" t="s">
        <v>81</v>
      </c>
      <c r="L264" s="16">
        <f>F264*G264*(1-H264/100)</f>
        <v>15050</v>
      </c>
      <c r="M264" s="4" t="str" cm="1">
        <f t="array" ref="M264">_xlfn.IFS(L264&gt;=100000, "Excellent", L264&gt;=50000, "Very Good", L264&gt;=20000, "Good", L264&lt;20000, "Average")</f>
        <v>Average</v>
      </c>
    </row>
    <row r="265" spans="1:13" x14ac:dyDescent="0.3">
      <c r="A265" s="9">
        <v>1264</v>
      </c>
      <c r="B265" s="9" t="s">
        <v>18</v>
      </c>
      <c r="C265" s="4" t="s">
        <v>26</v>
      </c>
      <c r="D265" s="4" t="s">
        <v>24</v>
      </c>
      <c r="E265" s="4" t="s">
        <v>8</v>
      </c>
      <c r="F265" s="4">
        <v>15</v>
      </c>
      <c r="G265" s="4">
        <v>6365</v>
      </c>
      <c r="H265" s="4">
        <v>10</v>
      </c>
      <c r="I265" s="7">
        <v>46200</v>
      </c>
      <c r="J265" s="7">
        <v>46206</v>
      </c>
      <c r="K265" s="4" t="s">
        <v>79</v>
      </c>
      <c r="L265" s="16">
        <f>F265*G265*(1-H265/100)</f>
        <v>85927.5</v>
      </c>
      <c r="M265" s="4" t="str" cm="1">
        <f t="array" ref="M265">_xlfn.IFS(L265&gt;=100000, "Excellent", L265&gt;=50000, "Very Good", L265&gt;=20000, "Good", L265&lt;20000, "Average")</f>
        <v>Very Good</v>
      </c>
    </row>
    <row r="266" spans="1:13" x14ac:dyDescent="0.3">
      <c r="A266" s="9">
        <v>1265</v>
      </c>
      <c r="B266" s="9" t="s">
        <v>55</v>
      </c>
      <c r="C266" s="4" t="s">
        <v>26</v>
      </c>
      <c r="D266" s="4" t="s">
        <v>24</v>
      </c>
      <c r="E266" s="4" t="s">
        <v>7</v>
      </c>
      <c r="F266" s="4">
        <v>1</v>
      </c>
      <c r="G266" s="4">
        <v>1052</v>
      </c>
      <c r="H266" s="4">
        <v>7</v>
      </c>
      <c r="I266" s="7">
        <v>46117</v>
      </c>
      <c r="J266" s="7">
        <v>46127</v>
      </c>
      <c r="K266" s="4" t="s">
        <v>81</v>
      </c>
      <c r="L266" s="16">
        <f>F266*G266*(1-H266/100)</f>
        <v>978.3599999999999</v>
      </c>
      <c r="M266" s="4" t="str" cm="1">
        <f t="array" ref="M266">_xlfn.IFS(L266&gt;=100000, "Excellent", L266&gt;=50000, "Very Good", L266&gt;=20000, "Good", L266&lt;20000, "Average")</f>
        <v>Average</v>
      </c>
    </row>
    <row r="267" spans="1:13" x14ac:dyDescent="0.3">
      <c r="A267" s="9">
        <v>1266</v>
      </c>
      <c r="B267" s="9" t="s">
        <v>49</v>
      </c>
      <c r="C267" s="4" t="s">
        <v>33</v>
      </c>
      <c r="D267" s="4" t="s">
        <v>20</v>
      </c>
      <c r="E267" s="4" t="s">
        <v>21</v>
      </c>
      <c r="F267" s="4">
        <v>17</v>
      </c>
      <c r="G267" s="4">
        <v>365</v>
      </c>
      <c r="H267" s="4">
        <v>2</v>
      </c>
      <c r="I267" s="7">
        <v>46096</v>
      </c>
      <c r="J267" s="7">
        <v>46104</v>
      </c>
      <c r="K267" s="4" t="s">
        <v>81</v>
      </c>
      <c r="L267" s="16">
        <f>F267*G267*(1-H267/100)</f>
        <v>6080.9</v>
      </c>
      <c r="M267" s="4" t="str" cm="1">
        <f t="array" ref="M267">_xlfn.IFS(L267&gt;=100000, "Excellent", L267&gt;=50000, "Very Good", L267&gt;=20000, "Good", L267&lt;20000, "Average")</f>
        <v>Average</v>
      </c>
    </row>
    <row r="268" spans="1:13" x14ac:dyDescent="0.3">
      <c r="A268" s="9">
        <v>1267</v>
      </c>
      <c r="B268" s="9" t="s">
        <v>29</v>
      </c>
      <c r="C268" s="4" t="s">
        <v>38</v>
      </c>
      <c r="D268" s="4" t="s">
        <v>20</v>
      </c>
      <c r="E268" s="4" t="s">
        <v>48</v>
      </c>
      <c r="F268" s="4">
        <v>1</v>
      </c>
      <c r="G268" s="4">
        <v>50</v>
      </c>
      <c r="H268" s="4">
        <v>0</v>
      </c>
      <c r="I268" s="7">
        <v>46129</v>
      </c>
      <c r="J268" s="7">
        <v>46138</v>
      </c>
      <c r="K268" s="4" t="s">
        <v>79</v>
      </c>
      <c r="L268" s="16">
        <f>F268*G268*(1-H268/100)</f>
        <v>50</v>
      </c>
      <c r="M268" s="4" t="str" cm="1">
        <f t="array" ref="M268">_xlfn.IFS(L268&gt;=100000, "Excellent", L268&gt;=50000, "Very Good", L268&gt;=20000, "Good", L268&lt;20000, "Average")</f>
        <v>Average</v>
      </c>
    </row>
    <row r="269" spans="1:13" x14ac:dyDescent="0.3">
      <c r="A269" s="9">
        <v>1268</v>
      </c>
      <c r="B269" s="9" t="s">
        <v>41</v>
      </c>
      <c r="C269" s="4" t="s">
        <v>38</v>
      </c>
      <c r="D269" s="4" t="s">
        <v>34</v>
      </c>
      <c r="E269" s="4" t="s">
        <v>6</v>
      </c>
      <c r="F269" s="4">
        <v>10</v>
      </c>
      <c r="G269" s="4">
        <v>46291</v>
      </c>
      <c r="H269" s="4">
        <v>12</v>
      </c>
      <c r="I269" s="7">
        <v>46199</v>
      </c>
      <c r="J269" s="7">
        <v>46202</v>
      </c>
      <c r="K269" s="4" t="s">
        <v>79</v>
      </c>
      <c r="L269" s="16">
        <f>F269*G269*(1-H269/100)</f>
        <v>407360.8</v>
      </c>
      <c r="M269" s="4" t="str" cm="1">
        <f t="array" ref="M269">_xlfn.IFS(L269&gt;=100000, "Excellent", L269&gt;=50000, "Very Good", L269&gt;=20000, "Good", L269&lt;20000, "Average")</f>
        <v>Excellent</v>
      </c>
    </row>
    <row r="270" spans="1:13" x14ac:dyDescent="0.3">
      <c r="A270" s="9">
        <v>1269</v>
      </c>
      <c r="B270" s="9" t="s">
        <v>50</v>
      </c>
      <c r="C270" s="4" t="s">
        <v>42</v>
      </c>
      <c r="D270" s="4" t="s">
        <v>24</v>
      </c>
      <c r="E270" s="4" t="s">
        <v>7</v>
      </c>
      <c r="F270" s="4">
        <v>14</v>
      </c>
      <c r="G270" s="4">
        <v>5704</v>
      </c>
      <c r="H270" s="4">
        <v>2</v>
      </c>
      <c r="I270" s="7">
        <v>46129</v>
      </c>
      <c r="J270" s="7">
        <v>46131</v>
      </c>
      <c r="K270" s="4" t="s">
        <v>78</v>
      </c>
      <c r="L270" s="16">
        <f>F270*G270*(1-H270/100)</f>
        <v>78258.880000000005</v>
      </c>
      <c r="M270" s="4" t="str" cm="1">
        <f t="array" ref="M270">_xlfn.IFS(L270&gt;=100000, "Excellent", L270&gt;=50000, "Very Good", L270&gt;=20000, "Good", L270&lt;20000, "Average")</f>
        <v>Very Good</v>
      </c>
    </row>
    <row r="271" spans="1:13" x14ac:dyDescent="0.3">
      <c r="A271" s="9">
        <v>1270</v>
      </c>
      <c r="B271" s="9" t="s">
        <v>47</v>
      </c>
      <c r="C271" s="4" t="s">
        <v>42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7">
        <v>46135</v>
      </c>
      <c r="J271" s="7">
        <v>46141</v>
      </c>
      <c r="K271" s="4" t="s">
        <v>81</v>
      </c>
      <c r="L271" s="16">
        <f>F271*G271*(1-H271/100)</f>
        <v>936562.08</v>
      </c>
      <c r="M271" s="4" t="str" cm="1">
        <f t="array" ref="M271">_xlfn.IFS(L271&gt;=100000, "Excellent", L271&gt;=50000, "Very Good", L271&gt;=20000, "Good", L271&lt;20000, "Average")</f>
        <v>Excellent</v>
      </c>
    </row>
    <row r="272" spans="1:13" x14ac:dyDescent="0.3">
      <c r="A272" s="9">
        <v>1271</v>
      </c>
      <c r="B272" s="9" t="s">
        <v>39</v>
      </c>
      <c r="C272" s="4" t="s">
        <v>33</v>
      </c>
      <c r="D272" s="4" t="s">
        <v>34</v>
      </c>
      <c r="E272" s="4" t="s">
        <v>9</v>
      </c>
      <c r="F272" s="4">
        <v>20</v>
      </c>
      <c r="G272" s="4">
        <v>36941</v>
      </c>
      <c r="H272" s="4">
        <v>15</v>
      </c>
      <c r="I272" s="7">
        <v>46083</v>
      </c>
      <c r="J272" s="7">
        <v>46085</v>
      </c>
      <c r="K272" s="4" t="s">
        <v>49</v>
      </c>
      <c r="L272" s="16">
        <f>F272*G272*(1-H272/100)</f>
        <v>627997</v>
      </c>
      <c r="M272" s="4" t="str" cm="1">
        <f t="array" ref="M272">_xlfn.IFS(L272&gt;=100000, "Excellent", L272&gt;=50000, "Very Good", L272&gt;=20000, "Good", L272&lt;20000, "Average")</f>
        <v>Excellent</v>
      </c>
    </row>
    <row r="273" spans="1:13" x14ac:dyDescent="0.3">
      <c r="A273" s="9">
        <v>1272</v>
      </c>
      <c r="B273" s="9" t="s">
        <v>50</v>
      </c>
      <c r="C273" s="4" t="s">
        <v>38</v>
      </c>
      <c r="D273" s="4" t="s">
        <v>34</v>
      </c>
      <c r="E273" s="4" t="s">
        <v>40</v>
      </c>
      <c r="F273" s="4">
        <v>13</v>
      </c>
      <c r="G273" s="4">
        <v>42179</v>
      </c>
      <c r="H273" s="4">
        <v>0</v>
      </c>
      <c r="I273" s="7">
        <v>46078</v>
      </c>
      <c r="J273" s="7">
        <v>46084</v>
      </c>
      <c r="K273" s="4" t="s">
        <v>79</v>
      </c>
      <c r="L273" s="16">
        <f>F273*G273*(1-H273/100)</f>
        <v>548327</v>
      </c>
      <c r="M273" s="4" t="str" cm="1">
        <f t="array" ref="M273">_xlfn.IFS(L273&gt;=100000, "Excellent", L273&gt;=50000, "Very Good", L273&gt;=20000, "Good", L273&lt;20000, "Average")</f>
        <v>Excellent</v>
      </c>
    </row>
    <row r="274" spans="1:13" x14ac:dyDescent="0.3">
      <c r="A274" s="9">
        <v>1273</v>
      </c>
      <c r="B274" s="9" t="s">
        <v>44</v>
      </c>
      <c r="C274" s="4" t="s">
        <v>27</v>
      </c>
      <c r="D274" s="4" t="s">
        <v>34</v>
      </c>
      <c r="E274" s="4" t="s">
        <v>5</v>
      </c>
      <c r="F274" s="4">
        <v>12</v>
      </c>
      <c r="G274" s="4">
        <v>20618</v>
      </c>
      <c r="H274" s="4">
        <v>12</v>
      </c>
      <c r="I274" s="7">
        <v>46172</v>
      </c>
      <c r="J274" s="7">
        <v>46174</v>
      </c>
      <c r="K274" s="4" t="s">
        <v>79</v>
      </c>
      <c r="L274" s="16">
        <f>F274*G274*(1-H274/100)</f>
        <v>217726.07999999999</v>
      </c>
      <c r="M274" s="4" t="str" cm="1">
        <f t="array" ref="M274">_xlfn.IFS(L274&gt;=100000, "Excellent", L274&gt;=50000, "Very Good", L274&gt;=20000, "Good", L274&lt;20000, "Average")</f>
        <v>Excellent</v>
      </c>
    </row>
    <row r="275" spans="1:13" x14ac:dyDescent="0.3">
      <c r="A275" s="9">
        <v>1274</v>
      </c>
      <c r="B275" s="9" t="s">
        <v>28</v>
      </c>
      <c r="C275" s="4" t="s">
        <v>27</v>
      </c>
      <c r="D275" s="4" t="s">
        <v>34</v>
      </c>
      <c r="E275" s="4" t="s">
        <v>40</v>
      </c>
      <c r="F275" s="4">
        <v>13</v>
      </c>
      <c r="G275" s="4">
        <v>36652</v>
      </c>
      <c r="H275" s="4">
        <v>12</v>
      </c>
      <c r="I275" s="7">
        <v>46179</v>
      </c>
      <c r="J275" s="7">
        <v>46186</v>
      </c>
      <c r="K275" s="4" t="s">
        <v>79</v>
      </c>
      <c r="L275" s="16">
        <f>F275*G275*(1-H275/100)</f>
        <v>419298.88</v>
      </c>
      <c r="M275" s="4" t="str" cm="1">
        <f t="array" ref="M275">_xlfn.IFS(L275&gt;=100000, "Excellent", L275&gt;=50000, "Very Good", L275&gt;=20000, "Good", L275&lt;20000, "Average")</f>
        <v>Excellent</v>
      </c>
    </row>
    <row r="276" spans="1:13" x14ac:dyDescent="0.3">
      <c r="A276" s="9">
        <v>1275</v>
      </c>
      <c r="B276" s="9" t="s">
        <v>22</v>
      </c>
      <c r="C276" s="4" t="s">
        <v>31</v>
      </c>
      <c r="D276" s="4" t="s">
        <v>20</v>
      </c>
      <c r="E276" s="4" t="s">
        <v>48</v>
      </c>
      <c r="F276" s="4">
        <v>20</v>
      </c>
      <c r="G276" s="4">
        <v>451</v>
      </c>
      <c r="H276" s="4">
        <v>15</v>
      </c>
      <c r="I276" s="7">
        <v>46092</v>
      </c>
      <c r="J276" s="7">
        <v>46094</v>
      </c>
      <c r="K276" s="4" t="s">
        <v>79</v>
      </c>
      <c r="L276" s="16">
        <f>F276*G276*(1-H276/100)</f>
        <v>7667</v>
      </c>
      <c r="M276" s="4" t="str" cm="1">
        <f t="array" ref="M276">_xlfn.IFS(L276&gt;=100000, "Excellent", L276&gt;=50000, "Very Good", L276&gt;=20000, "Good", L276&lt;20000, "Average")</f>
        <v>Average</v>
      </c>
    </row>
    <row r="277" spans="1:13" x14ac:dyDescent="0.3">
      <c r="A277" s="9">
        <v>1276</v>
      </c>
      <c r="B277" s="9" t="s">
        <v>39</v>
      </c>
      <c r="C277" s="4" t="s">
        <v>19</v>
      </c>
      <c r="D277" s="4" t="s">
        <v>24</v>
      </c>
      <c r="E277" s="4" t="s">
        <v>7</v>
      </c>
      <c r="F277" s="4">
        <v>1</v>
      </c>
      <c r="G277" s="4">
        <v>13437</v>
      </c>
      <c r="H277" s="4">
        <v>15</v>
      </c>
      <c r="I277" s="7">
        <v>46097</v>
      </c>
      <c r="J277" s="7">
        <v>46099</v>
      </c>
      <c r="K277" s="4" t="s">
        <v>80</v>
      </c>
      <c r="L277" s="16">
        <f>F277*G277*(1-H277/100)</f>
        <v>11421.449999999999</v>
      </c>
      <c r="M277" s="4" t="str" cm="1">
        <f t="array" ref="M277">_xlfn.IFS(L277&gt;=100000, "Excellent", L277&gt;=50000, "Very Good", L277&gt;=20000, "Good", L277&lt;20000, "Average")</f>
        <v>Average</v>
      </c>
    </row>
    <row r="278" spans="1:13" x14ac:dyDescent="0.3">
      <c r="A278" s="9">
        <v>1277</v>
      </c>
      <c r="B278" s="9" t="s">
        <v>56</v>
      </c>
      <c r="C278" s="4" t="s">
        <v>23</v>
      </c>
      <c r="D278" s="4" t="s">
        <v>20</v>
      </c>
      <c r="E278" s="4" t="s">
        <v>36</v>
      </c>
      <c r="F278" s="4">
        <v>14</v>
      </c>
      <c r="G278" s="4">
        <v>276</v>
      </c>
      <c r="H278" s="4">
        <v>0</v>
      </c>
      <c r="I278" s="7">
        <v>46086</v>
      </c>
      <c r="J278" s="7">
        <v>46089</v>
      </c>
      <c r="K278" s="4" t="s">
        <v>78</v>
      </c>
      <c r="L278" s="16">
        <f>F278*G278*(1-H278/100)</f>
        <v>3864</v>
      </c>
      <c r="M278" s="4" t="str" cm="1">
        <f t="array" ref="M278">_xlfn.IFS(L278&gt;=100000, "Excellent", L278&gt;=50000, "Very Good", L278&gt;=20000, "Good", L278&lt;20000, "Average")</f>
        <v>Average</v>
      </c>
    </row>
    <row r="279" spans="1:13" x14ac:dyDescent="0.3">
      <c r="A279" s="9">
        <v>1278</v>
      </c>
      <c r="B279" s="9" t="s">
        <v>45</v>
      </c>
      <c r="C279" s="4" t="s">
        <v>26</v>
      </c>
      <c r="D279" s="4" t="s">
        <v>34</v>
      </c>
      <c r="E279" s="4" t="s">
        <v>12</v>
      </c>
      <c r="F279" s="4">
        <v>4</v>
      </c>
      <c r="G279" s="4">
        <v>20639</v>
      </c>
      <c r="H279" s="4">
        <v>7</v>
      </c>
      <c r="I279" s="7">
        <v>46180</v>
      </c>
      <c r="J279" s="7">
        <v>46186</v>
      </c>
      <c r="K279" s="4" t="s">
        <v>79</v>
      </c>
      <c r="L279" s="16">
        <f>F279*G279*(1-H279/100)</f>
        <v>76777.08</v>
      </c>
      <c r="M279" s="4" t="str" cm="1">
        <f t="array" ref="M279">_xlfn.IFS(L279&gt;=100000, "Excellent", L279&gt;=50000, "Very Good", L279&gt;=20000, "Good", L279&lt;20000, "Average")</f>
        <v>Very Good</v>
      </c>
    </row>
    <row r="280" spans="1:13" x14ac:dyDescent="0.3">
      <c r="A280" s="9">
        <v>1279</v>
      </c>
      <c r="B280" s="9" t="s">
        <v>53</v>
      </c>
      <c r="C280" s="4" t="s">
        <v>33</v>
      </c>
      <c r="D280" s="4" t="s">
        <v>34</v>
      </c>
      <c r="E280" s="4" t="s">
        <v>6</v>
      </c>
      <c r="F280" s="4">
        <v>20</v>
      </c>
      <c r="G280" s="4">
        <v>49042</v>
      </c>
      <c r="H280" s="4">
        <v>2</v>
      </c>
      <c r="I280" s="7">
        <v>46124</v>
      </c>
      <c r="J280" s="7">
        <v>46126</v>
      </c>
      <c r="K280" s="4" t="s">
        <v>78</v>
      </c>
      <c r="L280" s="16">
        <f>F280*G280*(1-H280/100)</f>
        <v>961223.2</v>
      </c>
      <c r="M280" s="4" t="str" cm="1">
        <f t="array" ref="M280">_xlfn.IFS(L280&gt;=100000, "Excellent", L280&gt;=50000, "Very Good", L280&gt;=20000, "Good", L280&lt;20000, "Average")</f>
        <v>Excellent</v>
      </c>
    </row>
    <row r="281" spans="1:13" x14ac:dyDescent="0.3">
      <c r="A281" s="9">
        <v>1280</v>
      </c>
      <c r="B281" s="9" t="s">
        <v>56</v>
      </c>
      <c r="C281" s="4" t="s">
        <v>38</v>
      </c>
      <c r="D281" s="4" t="s">
        <v>20</v>
      </c>
      <c r="E281" s="4" t="s">
        <v>51</v>
      </c>
      <c r="F281" s="4">
        <v>9</v>
      </c>
      <c r="G281" s="4">
        <v>50</v>
      </c>
      <c r="H281" s="4">
        <v>7</v>
      </c>
      <c r="I281" s="7">
        <v>46085</v>
      </c>
      <c r="J281" s="7">
        <v>46095</v>
      </c>
      <c r="K281" s="4" t="s">
        <v>81</v>
      </c>
      <c r="L281" s="16">
        <f>F281*G281*(1-H281/100)</f>
        <v>418.5</v>
      </c>
      <c r="M281" s="4" t="str" cm="1">
        <f t="array" ref="M281">_xlfn.IFS(L281&gt;=100000, "Excellent", L281&gt;=50000, "Very Good", L281&gt;=20000, "Good", L281&lt;20000, "Average")</f>
        <v>Average</v>
      </c>
    </row>
    <row r="282" spans="1:13" x14ac:dyDescent="0.3">
      <c r="A282" s="9">
        <v>1281</v>
      </c>
      <c r="B282" s="9" t="s">
        <v>53</v>
      </c>
      <c r="C282" s="4" t="s">
        <v>23</v>
      </c>
      <c r="D282" s="4" t="s">
        <v>20</v>
      </c>
      <c r="E282" s="4" t="s">
        <v>48</v>
      </c>
      <c r="F282" s="4">
        <v>6</v>
      </c>
      <c r="G282" s="4">
        <v>253</v>
      </c>
      <c r="H282" s="4">
        <v>0</v>
      </c>
      <c r="I282" s="7">
        <v>46055</v>
      </c>
      <c r="J282" s="7">
        <v>46063</v>
      </c>
      <c r="K282" s="4" t="s">
        <v>80</v>
      </c>
      <c r="L282" s="16">
        <f>F282*G282*(1-H282/100)</f>
        <v>1518</v>
      </c>
      <c r="M282" s="4" t="str" cm="1">
        <f t="array" ref="M282">_xlfn.IFS(L282&gt;=100000, "Excellent", L282&gt;=50000, "Very Good", L282&gt;=20000, "Good", L282&lt;20000, "Average")</f>
        <v>Average</v>
      </c>
    </row>
    <row r="283" spans="1:13" x14ac:dyDescent="0.3">
      <c r="A283" s="9">
        <v>1282</v>
      </c>
      <c r="B283" s="9" t="s">
        <v>54</v>
      </c>
      <c r="C283" s="4" t="s">
        <v>42</v>
      </c>
      <c r="D283" s="4" t="s">
        <v>24</v>
      </c>
      <c r="E283" s="4" t="s">
        <v>43</v>
      </c>
      <c r="F283" s="4">
        <v>12</v>
      </c>
      <c r="G283" s="4">
        <v>3178</v>
      </c>
      <c r="H283" s="4">
        <v>10</v>
      </c>
      <c r="I283" s="7">
        <v>46176</v>
      </c>
      <c r="J283" s="7">
        <v>46177</v>
      </c>
      <c r="K283" s="4" t="s">
        <v>49</v>
      </c>
      <c r="L283" s="16">
        <f>F283*G283*(1-H283/100)</f>
        <v>34322.400000000001</v>
      </c>
      <c r="M283" s="4" t="str" cm="1">
        <f t="array" ref="M283">_xlfn.IFS(L283&gt;=100000, "Excellent", L283&gt;=50000, "Very Good", L283&gt;=20000, "Good", L283&lt;20000, "Average")</f>
        <v>Good</v>
      </c>
    </row>
    <row r="284" spans="1:13" x14ac:dyDescent="0.3">
      <c r="A284" s="9">
        <v>1283</v>
      </c>
      <c r="B284" s="9" t="s">
        <v>39</v>
      </c>
      <c r="C284" s="4" t="s">
        <v>19</v>
      </c>
      <c r="D284" s="4" t="s">
        <v>24</v>
      </c>
      <c r="E284" s="4" t="s">
        <v>10</v>
      </c>
      <c r="F284" s="4">
        <v>6</v>
      </c>
      <c r="G284" s="4">
        <v>1167</v>
      </c>
      <c r="H284" s="4">
        <v>2</v>
      </c>
      <c r="I284" s="7">
        <v>46100</v>
      </c>
      <c r="J284" s="7">
        <v>46106</v>
      </c>
      <c r="K284" s="4" t="s">
        <v>78</v>
      </c>
      <c r="L284" s="16">
        <f>F284*G284*(1-H284/100)</f>
        <v>6861.96</v>
      </c>
      <c r="M284" s="4" t="str" cm="1">
        <f t="array" ref="M284">_xlfn.IFS(L284&gt;=100000, "Excellent", L284&gt;=50000, "Very Good", L284&gt;=20000, "Good", L284&lt;20000, "Average")</f>
        <v>Average</v>
      </c>
    </row>
    <row r="285" spans="1:13" x14ac:dyDescent="0.3">
      <c r="A285" s="9">
        <v>1284</v>
      </c>
      <c r="B285" s="9" t="s">
        <v>39</v>
      </c>
      <c r="C285" s="4" t="s">
        <v>27</v>
      </c>
      <c r="D285" s="4" t="s">
        <v>20</v>
      </c>
      <c r="E285" s="4" t="s">
        <v>37</v>
      </c>
      <c r="F285" s="4">
        <v>16</v>
      </c>
      <c r="G285" s="4">
        <v>419</v>
      </c>
      <c r="H285" s="4">
        <v>2</v>
      </c>
      <c r="I285" s="7">
        <v>46082</v>
      </c>
      <c r="J285" s="7">
        <v>46090</v>
      </c>
      <c r="K285" s="4" t="s">
        <v>78</v>
      </c>
      <c r="L285" s="16">
        <f>F285*G285*(1-H285/100)</f>
        <v>6569.92</v>
      </c>
      <c r="M285" s="4" t="str" cm="1">
        <f t="array" ref="M285">_xlfn.IFS(L285&gt;=100000, "Excellent", L285&gt;=50000, "Very Good", L285&gt;=20000, "Good", L285&lt;20000, "Average")</f>
        <v>Average</v>
      </c>
    </row>
    <row r="286" spans="1:13" x14ac:dyDescent="0.3">
      <c r="A286" s="9">
        <v>1285</v>
      </c>
      <c r="B286" s="9" t="s">
        <v>32</v>
      </c>
      <c r="C286" s="4" t="s">
        <v>38</v>
      </c>
      <c r="D286" s="4" t="s">
        <v>20</v>
      </c>
      <c r="E286" s="4" t="s">
        <v>36</v>
      </c>
      <c r="F286" s="4">
        <v>7</v>
      </c>
      <c r="G286" s="4">
        <v>439</v>
      </c>
      <c r="H286" s="4">
        <v>15</v>
      </c>
      <c r="I286" s="7">
        <v>46055</v>
      </c>
      <c r="J286" s="7">
        <v>46058</v>
      </c>
      <c r="K286" s="4" t="s">
        <v>79</v>
      </c>
      <c r="L286" s="16">
        <f>F286*G286*(1-H286/100)</f>
        <v>2612.0499999999997</v>
      </c>
      <c r="M286" s="4" t="str" cm="1">
        <f t="array" ref="M286">_xlfn.IFS(L286&gt;=100000, "Excellent", L286&gt;=50000, "Very Good", L286&gt;=20000, "Good", L286&lt;20000, "Average")</f>
        <v>Average</v>
      </c>
    </row>
    <row r="287" spans="1:13" x14ac:dyDescent="0.3">
      <c r="A287" s="9">
        <v>1286</v>
      </c>
      <c r="B287" s="9" t="s">
        <v>44</v>
      </c>
      <c r="C287" s="4" t="s">
        <v>23</v>
      </c>
      <c r="D287" s="4" t="s">
        <v>24</v>
      </c>
      <c r="E287" s="4" t="s">
        <v>11</v>
      </c>
      <c r="F287" s="4">
        <v>9</v>
      </c>
      <c r="G287" s="4">
        <v>1340</v>
      </c>
      <c r="H287" s="4">
        <v>2</v>
      </c>
      <c r="I287" s="7">
        <v>46168</v>
      </c>
      <c r="J287" s="7">
        <v>46173</v>
      </c>
      <c r="K287" s="4" t="s">
        <v>78</v>
      </c>
      <c r="L287" s="16">
        <f>F287*G287*(1-H287/100)</f>
        <v>11818.8</v>
      </c>
      <c r="M287" s="4" t="str" cm="1">
        <f t="array" ref="M287">_xlfn.IFS(L287&gt;=100000, "Excellent", L287&gt;=50000, "Very Good", L287&gt;=20000, "Good", L287&lt;20000, "Average")</f>
        <v>Average</v>
      </c>
    </row>
    <row r="288" spans="1:13" x14ac:dyDescent="0.3">
      <c r="A288" s="9">
        <v>1287</v>
      </c>
      <c r="B288" s="9" t="s">
        <v>56</v>
      </c>
      <c r="C288" s="4" t="s">
        <v>31</v>
      </c>
      <c r="D288" s="4" t="s">
        <v>20</v>
      </c>
      <c r="E288" s="4" t="s">
        <v>21</v>
      </c>
      <c r="F288" s="4">
        <v>15</v>
      </c>
      <c r="G288" s="4">
        <v>251</v>
      </c>
      <c r="H288" s="4">
        <v>2</v>
      </c>
      <c r="I288" s="7">
        <v>46116</v>
      </c>
      <c r="J288" s="7">
        <v>46122</v>
      </c>
      <c r="K288" s="4" t="s">
        <v>81</v>
      </c>
      <c r="L288" s="16">
        <f>F288*G288*(1-H288/100)</f>
        <v>3689.7</v>
      </c>
      <c r="M288" s="4" t="str" cm="1">
        <f t="array" ref="M288">_xlfn.IFS(L288&gt;=100000, "Excellent", L288&gt;=50000, "Very Good", L288&gt;=20000, "Good", L288&lt;20000, "Average")</f>
        <v>Average</v>
      </c>
    </row>
    <row r="289" spans="1:13" x14ac:dyDescent="0.3">
      <c r="A289" s="9">
        <v>1288</v>
      </c>
      <c r="B289" s="9" t="s">
        <v>52</v>
      </c>
      <c r="C289" s="4" t="s">
        <v>26</v>
      </c>
      <c r="D289" s="4" t="s">
        <v>34</v>
      </c>
      <c r="E289" s="4" t="s">
        <v>9</v>
      </c>
      <c r="F289" s="4">
        <v>14</v>
      </c>
      <c r="G289" s="4">
        <v>35601</v>
      </c>
      <c r="H289" s="4">
        <v>10</v>
      </c>
      <c r="I289" s="7">
        <v>46179</v>
      </c>
      <c r="J289" s="7">
        <v>46187</v>
      </c>
      <c r="K289" s="4" t="s">
        <v>49</v>
      </c>
      <c r="L289" s="16">
        <f>F289*G289*(1-H289/100)</f>
        <v>448572.60000000003</v>
      </c>
      <c r="M289" s="4" t="str" cm="1">
        <f t="array" ref="M289">_xlfn.IFS(L289&gt;=100000, "Excellent", L289&gt;=50000, "Very Good", L289&gt;=20000, "Good", L289&lt;20000, "Average")</f>
        <v>Excellent</v>
      </c>
    </row>
    <row r="290" spans="1:13" x14ac:dyDescent="0.3">
      <c r="A290" s="9">
        <v>1289</v>
      </c>
      <c r="B290" s="9" t="s">
        <v>28</v>
      </c>
      <c r="C290" s="4" t="s">
        <v>26</v>
      </c>
      <c r="D290" s="4" t="s">
        <v>34</v>
      </c>
      <c r="E290" s="4" t="s">
        <v>6</v>
      </c>
      <c r="F290" s="4">
        <v>19</v>
      </c>
      <c r="G290" s="4">
        <v>25336</v>
      </c>
      <c r="H290" s="4">
        <v>2</v>
      </c>
      <c r="I290" s="7">
        <v>46122</v>
      </c>
      <c r="J290" s="7">
        <v>46130</v>
      </c>
      <c r="K290" s="4" t="s">
        <v>80</v>
      </c>
      <c r="L290" s="16">
        <f>F290*G290*(1-H290/100)</f>
        <v>471756.32</v>
      </c>
      <c r="M290" s="4" t="str" cm="1">
        <f t="array" ref="M290">_xlfn.IFS(L290&gt;=100000, "Excellent", L290&gt;=50000, "Very Good", L290&gt;=20000, "Good", L290&lt;20000, "Average")</f>
        <v>Excellent</v>
      </c>
    </row>
    <row r="291" spans="1:13" x14ac:dyDescent="0.3">
      <c r="A291" s="9">
        <v>1290</v>
      </c>
      <c r="B291" s="9" t="s">
        <v>28</v>
      </c>
      <c r="C291" s="4" t="s">
        <v>26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7">
        <v>46110</v>
      </c>
      <c r="J291" s="7">
        <v>46111</v>
      </c>
      <c r="K291" s="4" t="s">
        <v>49</v>
      </c>
      <c r="L291" s="16">
        <f>F291*G291*(1-H291/100)</f>
        <v>177972.15</v>
      </c>
      <c r="M291" s="4" t="str" cm="1">
        <f t="array" ref="M291">_xlfn.IFS(L291&gt;=100000, "Excellent", L291&gt;=50000, "Very Good", L291&gt;=20000, "Good", L291&lt;20000, "Average")</f>
        <v>Excellent</v>
      </c>
    </row>
    <row r="292" spans="1:13" x14ac:dyDescent="0.3">
      <c r="A292" s="9">
        <v>1291</v>
      </c>
      <c r="B292" s="9" t="s">
        <v>25</v>
      </c>
      <c r="C292" s="4" t="s">
        <v>23</v>
      </c>
      <c r="D292" s="4" t="s">
        <v>20</v>
      </c>
      <c r="E292" s="4" t="s">
        <v>36</v>
      </c>
      <c r="F292" s="4">
        <v>17</v>
      </c>
      <c r="G292" s="4">
        <v>415</v>
      </c>
      <c r="H292" s="4">
        <v>5</v>
      </c>
      <c r="I292" s="7">
        <v>46137</v>
      </c>
      <c r="J292" s="7">
        <v>46141</v>
      </c>
      <c r="K292" s="4" t="s">
        <v>79</v>
      </c>
      <c r="L292" s="16">
        <f>F292*G292*(1-H292/100)</f>
        <v>6702.25</v>
      </c>
      <c r="M292" s="4" t="str" cm="1">
        <f t="array" ref="M292">_xlfn.IFS(L292&gt;=100000, "Excellent", L292&gt;=50000, "Very Good", L292&gt;=20000, "Good", L292&lt;20000, "Average")</f>
        <v>Average</v>
      </c>
    </row>
    <row r="293" spans="1:13" x14ac:dyDescent="0.3">
      <c r="A293" s="9">
        <v>1292</v>
      </c>
      <c r="B293" s="9" t="s">
        <v>52</v>
      </c>
      <c r="C293" s="4" t="s">
        <v>33</v>
      </c>
      <c r="D293" s="4" t="s">
        <v>34</v>
      </c>
      <c r="E293" s="4" t="s">
        <v>12</v>
      </c>
      <c r="F293" s="4">
        <v>11</v>
      </c>
      <c r="G293" s="4">
        <v>25158</v>
      </c>
      <c r="H293" s="4">
        <v>5</v>
      </c>
      <c r="I293" s="7">
        <v>46186</v>
      </c>
      <c r="J293" s="7">
        <v>46193</v>
      </c>
      <c r="K293" s="4" t="s">
        <v>79</v>
      </c>
      <c r="L293" s="16">
        <f>F293*G293*(1-H293/100)</f>
        <v>262901.09999999998</v>
      </c>
      <c r="M293" s="4" t="str" cm="1">
        <f t="array" ref="M293">_xlfn.IFS(L293&gt;=100000, "Excellent", L293&gt;=50000, "Very Good", L293&gt;=20000, "Good", L293&lt;20000, "Average")</f>
        <v>Excellent</v>
      </c>
    </row>
    <row r="294" spans="1:13" x14ac:dyDescent="0.3">
      <c r="A294" s="9">
        <v>1293</v>
      </c>
      <c r="B294" s="9" t="s">
        <v>47</v>
      </c>
      <c r="C294" s="4" t="s">
        <v>42</v>
      </c>
      <c r="D294" s="4" t="s">
        <v>24</v>
      </c>
      <c r="E294" s="4" t="s">
        <v>10</v>
      </c>
      <c r="F294" s="4">
        <v>7</v>
      </c>
      <c r="G294" s="4">
        <v>11481</v>
      </c>
      <c r="H294" s="4">
        <v>15</v>
      </c>
      <c r="I294" s="7">
        <v>46045</v>
      </c>
      <c r="J294" s="7">
        <v>46050</v>
      </c>
      <c r="K294" s="4" t="s">
        <v>79</v>
      </c>
      <c r="L294" s="16">
        <f>F294*G294*(1-H294/100)</f>
        <v>68311.95</v>
      </c>
      <c r="M294" s="4" t="str" cm="1">
        <f t="array" ref="M294">_xlfn.IFS(L294&gt;=100000, "Excellent", L294&gt;=50000, "Very Good", L294&gt;=20000, "Good", L294&lt;20000, "Average")</f>
        <v>Very Good</v>
      </c>
    </row>
    <row r="295" spans="1:13" x14ac:dyDescent="0.3">
      <c r="A295" s="9">
        <v>1294</v>
      </c>
      <c r="B295" s="9" t="s">
        <v>25</v>
      </c>
      <c r="C295" s="4" t="s">
        <v>19</v>
      </c>
      <c r="D295" s="4" t="s">
        <v>24</v>
      </c>
      <c r="E295" s="4" t="s">
        <v>7</v>
      </c>
      <c r="F295" s="4">
        <v>8</v>
      </c>
      <c r="G295" s="4">
        <v>14448</v>
      </c>
      <c r="H295" s="4">
        <v>10</v>
      </c>
      <c r="I295" s="7">
        <v>46181</v>
      </c>
      <c r="J295" s="7">
        <v>46189</v>
      </c>
      <c r="K295" s="4" t="s">
        <v>78</v>
      </c>
      <c r="L295" s="16">
        <f>F295*G295*(1-H295/100)</f>
        <v>104025.60000000001</v>
      </c>
      <c r="M295" s="4" t="str" cm="1">
        <f t="array" ref="M295">_xlfn.IFS(L295&gt;=100000, "Excellent", L295&gt;=50000, "Very Good", L295&gt;=20000, "Good", L295&lt;20000, "Average")</f>
        <v>Excellent</v>
      </c>
    </row>
    <row r="296" spans="1:13" x14ac:dyDescent="0.3">
      <c r="A296" s="9">
        <v>1295</v>
      </c>
      <c r="B296" s="9" t="s">
        <v>50</v>
      </c>
      <c r="C296" s="4" t="s">
        <v>38</v>
      </c>
      <c r="D296" s="4" t="s">
        <v>24</v>
      </c>
      <c r="E296" s="4" t="s">
        <v>8</v>
      </c>
      <c r="F296" s="4">
        <v>16</v>
      </c>
      <c r="G296" s="4">
        <v>11935</v>
      </c>
      <c r="H296" s="4">
        <v>12</v>
      </c>
      <c r="I296" s="7">
        <v>46157</v>
      </c>
      <c r="J296" s="7">
        <v>46162</v>
      </c>
      <c r="K296" s="4" t="s">
        <v>78</v>
      </c>
      <c r="L296" s="16">
        <f>F296*G296*(1-H296/100)</f>
        <v>168044.79999999999</v>
      </c>
      <c r="M296" s="4" t="str" cm="1">
        <f t="array" ref="M296">_xlfn.IFS(L296&gt;=100000, "Excellent", L296&gt;=50000, "Very Good", L296&gt;=20000, "Good", L296&lt;20000, "Average")</f>
        <v>Excellent</v>
      </c>
    </row>
    <row r="297" spans="1:13" x14ac:dyDescent="0.3">
      <c r="A297" s="9">
        <v>1296</v>
      </c>
      <c r="B297" s="9" t="s">
        <v>28</v>
      </c>
      <c r="C297" s="4" t="s">
        <v>38</v>
      </c>
      <c r="D297" s="4" t="s">
        <v>20</v>
      </c>
      <c r="E297" s="4" t="s">
        <v>48</v>
      </c>
      <c r="F297" s="4">
        <v>6</v>
      </c>
      <c r="G297" s="4">
        <v>201</v>
      </c>
      <c r="H297" s="4">
        <v>0</v>
      </c>
      <c r="I297" s="7">
        <v>46063</v>
      </c>
      <c r="J297" s="7">
        <v>46072</v>
      </c>
      <c r="K297" s="4" t="s">
        <v>81</v>
      </c>
      <c r="L297" s="16">
        <f>F297*G297*(1-H297/100)</f>
        <v>1206</v>
      </c>
      <c r="M297" s="4" t="str" cm="1">
        <f t="array" ref="M297">_xlfn.IFS(L297&gt;=100000, "Excellent", L297&gt;=50000, "Very Good", L297&gt;=20000, "Good", L297&lt;20000, "Average")</f>
        <v>Average</v>
      </c>
    </row>
    <row r="298" spans="1:13" x14ac:dyDescent="0.3">
      <c r="A298" s="9">
        <v>1297</v>
      </c>
      <c r="B298" s="9" t="s">
        <v>52</v>
      </c>
      <c r="C298" s="4" t="s">
        <v>27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7">
        <v>46178</v>
      </c>
      <c r="J298" s="7">
        <v>46187</v>
      </c>
      <c r="K298" s="4" t="s">
        <v>49</v>
      </c>
      <c r="L298" s="16">
        <f>F298*G298*(1-H298/100)</f>
        <v>309002.40000000002</v>
      </c>
      <c r="M298" s="4" t="str" cm="1">
        <f t="array" ref="M298">_xlfn.IFS(L298&gt;=100000, "Excellent", L298&gt;=50000, "Very Good", L298&gt;=20000, "Good", L298&lt;20000, "Average")</f>
        <v>Excellent</v>
      </c>
    </row>
    <row r="299" spans="1:13" x14ac:dyDescent="0.3">
      <c r="A299" s="9">
        <v>1298</v>
      </c>
      <c r="B299" s="9" t="s">
        <v>25</v>
      </c>
      <c r="C299" s="4" t="s">
        <v>19</v>
      </c>
      <c r="D299" s="4" t="s">
        <v>34</v>
      </c>
      <c r="E299" s="4" t="s">
        <v>12</v>
      </c>
      <c r="F299" s="4">
        <v>19</v>
      </c>
      <c r="G299" s="4">
        <v>20745</v>
      </c>
      <c r="H299" s="4">
        <v>2</v>
      </c>
      <c r="I299" s="7">
        <v>46083</v>
      </c>
      <c r="J299" s="7">
        <v>46093</v>
      </c>
      <c r="K299" s="4" t="s">
        <v>80</v>
      </c>
      <c r="L299" s="16">
        <f>F299*G299*(1-H299/100)</f>
        <v>386271.89999999997</v>
      </c>
      <c r="M299" s="4" t="str" cm="1">
        <f t="array" ref="M299">_xlfn.IFS(L299&gt;=100000, "Excellent", L299&gt;=50000, "Very Good", L299&gt;=20000, "Good", L299&lt;20000, "Average")</f>
        <v>Excellent</v>
      </c>
    </row>
    <row r="300" spans="1:13" x14ac:dyDescent="0.3">
      <c r="A300" s="9">
        <v>1299</v>
      </c>
      <c r="B300" s="9" t="s">
        <v>28</v>
      </c>
      <c r="C300" s="4" t="s">
        <v>23</v>
      </c>
      <c r="D300" s="4" t="s">
        <v>24</v>
      </c>
      <c r="E300" s="4" t="s">
        <v>11</v>
      </c>
      <c r="F300" s="4">
        <v>8</v>
      </c>
      <c r="G300" s="4">
        <v>8783</v>
      </c>
      <c r="H300" s="4">
        <v>2</v>
      </c>
      <c r="I300" s="7">
        <v>46123</v>
      </c>
      <c r="J300" s="7">
        <v>46132</v>
      </c>
      <c r="K300" s="4" t="s">
        <v>78</v>
      </c>
      <c r="L300" s="16">
        <f>F300*G300*(1-H300/100)</f>
        <v>68858.720000000001</v>
      </c>
      <c r="M300" s="4" t="str" cm="1">
        <f t="array" ref="M300">_xlfn.IFS(L300&gt;=100000, "Excellent", L300&gt;=50000, "Very Good", L300&gt;=20000, "Good", L300&lt;20000, "Average")</f>
        <v>Very Good</v>
      </c>
    </row>
    <row r="301" spans="1:13" x14ac:dyDescent="0.3">
      <c r="A301" s="9">
        <v>1300</v>
      </c>
      <c r="B301" s="9" t="s">
        <v>45</v>
      </c>
      <c r="C301" s="4" t="s">
        <v>33</v>
      </c>
      <c r="D301" s="4" t="s">
        <v>34</v>
      </c>
      <c r="E301" s="4" t="s">
        <v>6</v>
      </c>
      <c r="F301" s="4">
        <v>20</v>
      </c>
      <c r="G301" s="4">
        <v>1392</v>
      </c>
      <c r="H301" s="4">
        <v>2</v>
      </c>
      <c r="I301" s="7">
        <v>46110</v>
      </c>
      <c r="J301" s="7">
        <v>46117</v>
      </c>
      <c r="K301" s="4" t="s">
        <v>80</v>
      </c>
      <c r="L301" s="16">
        <f>F301*G301*(1-H301/100)</f>
        <v>27283.200000000001</v>
      </c>
      <c r="M301" s="4" t="str" cm="1">
        <f t="array" ref="M301">_xlfn.IFS(L301&gt;=100000, "Excellent", L301&gt;=50000, "Very Good", L301&gt;=20000, "Good", L301&lt;20000, "Average")</f>
        <v>Good</v>
      </c>
    </row>
    <row r="302" spans="1:13" x14ac:dyDescent="0.3">
      <c r="A302" s="9">
        <v>1301</v>
      </c>
      <c r="B302" s="9" t="s">
        <v>52</v>
      </c>
      <c r="C302" s="4" t="s">
        <v>23</v>
      </c>
      <c r="D302" s="4" t="s">
        <v>24</v>
      </c>
      <c r="E302" s="4" t="s">
        <v>8</v>
      </c>
      <c r="F302" s="4">
        <v>3</v>
      </c>
      <c r="G302" s="4">
        <v>7020</v>
      </c>
      <c r="H302" s="4">
        <v>10</v>
      </c>
      <c r="I302" s="7">
        <v>46028</v>
      </c>
      <c r="J302" s="7">
        <v>46038</v>
      </c>
      <c r="K302" s="4" t="s">
        <v>80</v>
      </c>
      <c r="L302" s="16">
        <f>F302*G302*(1-H302/100)</f>
        <v>18954</v>
      </c>
      <c r="M302" s="4" t="str" cm="1">
        <f t="array" ref="M302">_xlfn.IFS(L302&gt;=100000, "Excellent", L302&gt;=50000, "Very Good", L302&gt;=20000, "Good", L302&lt;20000, "Average")</f>
        <v>Average</v>
      </c>
    </row>
    <row r="303" spans="1:13" x14ac:dyDescent="0.3">
      <c r="A303" s="9">
        <v>1302</v>
      </c>
      <c r="B303" s="9" t="s">
        <v>54</v>
      </c>
      <c r="C303" s="4" t="s">
        <v>19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7">
        <v>46163</v>
      </c>
      <c r="J303" s="7">
        <v>46172</v>
      </c>
      <c r="K303" s="4" t="s">
        <v>80</v>
      </c>
      <c r="L303" s="16">
        <f>F303*G303*(1-H303/100)</f>
        <v>65025</v>
      </c>
      <c r="M303" s="4" t="str" cm="1">
        <f t="array" ref="M303">_xlfn.IFS(L303&gt;=100000, "Excellent", L303&gt;=50000, "Very Good", L303&gt;=20000, "Good", L303&lt;20000, "Average")</f>
        <v>Very Good</v>
      </c>
    </row>
    <row r="304" spans="1:13" x14ac:dyDescent="0.3">
      <c r="A304" s="9">
        <v>1303</v>
      </c>
      <c r="B304" s="9" t="s">
        <v>54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7">
        <v>46124</v>
      </c>
      <c r="J304" s="7">
        <v>46127</v>
      </c>
      <c r="K304" s="4" t="s">
        <v>78</v>
      </c>
      <c r="L304" s="16">
        <f>F304*G304*(1-H304/100)</f>
        <v>65865.8</v>
      </c>
      <c r="M304" s="4" t="str" cm="1">
        <f t="array" ref="M304">_xlfn.IFS(L304&gt;=100000, "Excellent", L304&gt;=50000, "Very Good", L304&gt;=20000, "Good", L304&lt;20000, "Average")</f>
        <v>Very Good</v>
      </c>
    </row>
    <row r="305" spans="1:13" x14ac:dyDescent="0.3">
      <c r="A305" s="9">
        <v>1304</v>
      </c>
      <c r="B305" s="9" t="s">
        <v>56</v>
      </c>
      <c r="C305" s="4" t="s">
        <v>27</v>
      </c>
      <c r="D305" s="4" t="s">
        <v>20</v>
      </c>
      <c r="E305" s="4" t="s">
        <v>36</v>
      </c>
      <c r="F305" s="4">
        <v>20</v>
      </c>
      <c r="G305" s="4">
        <v>368</v>
      </c>
      <c r="H305" s="4">
        <v>7</v>
      </c>
      <c r="I305" s="7">
        <v>46042</v>
      </c>
      <c r="J305" s="7">
        <v>46051</v>
      </c>
      <c r="K305" s="4" t="s">
        <v>81</v>
      </c>
      <c r="L305" s="16">
        <f>F305*G305*(1-H305/100)</f>
        <v>6844.7999999999993</v>
      </c>
      <c r="M305" s="4" t="str" cm="1">
        <f t="array" ref="M305">_xlfn.IFS(L305&gt;=100000, "Excellent", L305&gt;=50000, "Very Good", L305&gt;=20000, "Good", L305&lt;20000, "Average")</f>
        <v>Average</v>
      </c>
    </row>
    <row r="306" spans="1:13" x14ac:dyDescent="0.3">
      <c r="A306" s="9">
        <v>1305</v>
      </c>
      <c r="B306" s="9" t="s">
        <v>55</v>
      </c>
      <c r="C306" s="4" t="s">
        <v>31</v>
      </c>
      <c r="D306" s="4" t="s">
        <v>34</v>
      </c>
      <c r="E306" s="4" t="s">
        <v>9</v>
      </c>
      <c r="F306" s="4">
        <v>20</v>
      </c>
      <c r="G306" s="4">
        <v>31406</v>
      </c>
      <c r="H306" s="4">
        <v>15</v>
      </c>
      <c r="I306" s="7">
        <v>46146</v>
      </c>
      <c r="J306" s="7">
        <v>46154</v>
      </c>
      <c r="K306" s="4" t="s">
        <v>81</v>
      </c>
      <c r="L306" s="16">
        <f>F306*G306*(1-H306/100)</f>
        <v>533902</v>
      </c>
      <c r="M306" s="4" t="str" cm="1">
        <f t="array" ref="M306">_xlfn.IFS(L306&gt;=100000, "Excellent", L306&gt;=50000, "Very Good", L306&gt;=20000, "Good", L306&lt;20000, "Average")</f>
        <v>Excellent</v>
      </c>
    </row>
    <row r="307" spans="1:13" x14ac:dyDescent="0.3">
      <c r="A307" s="9">
        <v>1306</v>
      </c>
      <c r="B307" s="9" t="s">
        <v>52</v>
      </c>
      <c r="C307" s="4" t="s">
        <v>42</v>
      </c>
      <c r="D307" s="4" t="s">
        <v>20</v>
      </c>
      <c r="E307" s="4" t="s">
        <v>36</v>
      </c>
      <c r="F307" s="4">
        <v>1</v>
      </c>
      <c r="G307" s="4">
        <v>332</v>
      </c>
      <c r="H307" s="4">
        <v>0</v>
      </c>
      <c r="I307" s="7">
        <v>46191</v>
      </c>
      <c r="J307" s="7">
        <v>46194</v>
      </c>
      <c r="K307" s="4" t="s">
        <v>79</v>
      </c>
      <c r="L307" s="16">
        <f>F307*G307*(1-H307/100)</f>
        <v>332</v>
      </c>
      <c r="M307" s="4" t="str" cm="1">
        <f t="array" ref="M307">_xlfn.IFS(L307&gt;=100000, "Excellent", L307&gt;=50000, "Very Good", L307&gt;=20000, "Good", L307&lt;20000, "Average")</f>
        <v>Average</v>
      </c>
    </row>
    <row r="308" spans="1:13" x14ac:dyDescent="0.3">
      <c r="A308" s="9">
        <v>1307</v>
      </c>
      <c r="B308" s="9" t="s">
        <v>54</v>
      </c>
      <c r="C308" s="4" t="s">
        <v>42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7">
        <v>46048</v>
      </c>
      <c r="J308" s="7">
        <v>46051</v>
      </c>
      <c r="K308" s="4" t="s">
        <v>81</v>
      </c>
      <c r="L308" s="16">
        <f>F308*G308*(1-H308/100)</f>
        <v>119449.44</v>
      </c>
      <c r="M308" s="4" t="str" cm="1">
        <f t="array" ref="M308">_xlfn.IFS(L308&gt;=100000, "Excellent", L308&gt;=50000, "Very Good", L308&gt;=20000, "Good", L308&lt;20000, "Average")</f>
        <v>Excellent</v>
      </c>
    </row>
    <row r="309" spans="1:13" x14ac:dyDescent="0.3">
      <c r="A309" s="9">
        <v>1308</v>
      </c>
      <c r="B309" s="9" t="s">
        <v>30</v>
      </c>
      <c r="C309" s="4" t="s">
        <v>26</v>
      </c>
      <c r="D309" s="4" t="s">
        <v>34</v>
      </c>
      <c r="E309" s="4" t="s">
        <v>40</v>
      </c>
      <c r="F309" s="4">
        <v>12</v>
      </c>
      <c r="G309" s="4">
        <v>66075</v>
      </c>
      <c r="H309" s="4">
        <v>5</v>
      </c>
      <c r="I309" s="7">
        <v>46129</v>
      </c>
      <c r="J309" s="7">
        <v>46135</v>
      </c>
      <c r="K309" s="4" t="s">
        <v>79</v>
      </c>
      <c r="L309" s="16">
        <f>F309*G309*(1-H309/100)</f>
        <v>753255</v>
      </c>
      <c r="M309" s="4" t="str" cm="1">
        <f t="array" ref="M309">_xlfn.IFS(L309&gt;=100000, "Excellent", L309&gt;=50000, "Very Good", L309&gt;=20000, "Good", L309&lt;20000, "Average")</f>
        <v>Excellent</v>
      </c>
    </row>
    <row r="310" spans="1:13" x14ac:dyDescent="0.3">
      <c r="A310" s="9">
        <v>1309</v>
      </c>
      <c r="B310" s="9" t="s">
        <v>49</v>
      </c>
      <c r="C310" s="4" t="s">
        <v>31</v>
      </c>
      <c r="D310" s="4" t="s">
        <v>20</v>
      </c>
      <c r="E310" s="4" t="s">
        <v>48</v>
      </c>
      <c r="F310" s="4">
        <v>2</v>
      </c>
      <c r="G310" s="4">
        <v>35</v>
      </c>
      <c r="H310" s="4">
        <v>5</v>
      </c>
      <c r="I310" s="7">
        <v>46197</v>
      </c>
      <c r="J310" s="7">
        <v>46198</v>
      </c>
      <c r="K310" s="4" t="s">
        <v>80</v>
      </c>
      <c r="L310" s="16">
        <f>F310*G310*(1-H310/100)</f>
        <v>66.5</v>
      </c>
      <c r="M310" s="4" t="str" cm="1">
        <f t="array" ref="M310">_xlfn.IFS(L310&gt;=100000, "Excellent", L310&gt;=50000, "Very Good", L310&gt;=20000, "Good", L310&lt;20000, "Average")</f>
        <v>Average</v>
      </c>
    </row>
    <row r="311" spans="1:13" x14ac:dyDescent="0.3">
      <c r="A311" s="9">
        <v>1310</v>
      </c>
      <c r="B311" s="9" t="s">
        <v>47</v>
      </c>
      <c r="C311" s="4" t="s">
        <v>23</v>
      </c>
      <c r="D311" s="4" t="s">
        <v>24</v>
      </c>
      <c r="E311" s="4" t="s">
        <v>11</v>
      </c>
      <c r="F311" s="4">
        <v>19</v>
      </c>
      <c r="G311" s="4">
        <v>12691</v>
      </c>
      <c r="H311" s="4">
        <v>0</v>
      </c>
      <c r="I311" s="7">
        <v>46181</v>
      </c>
      <c r="J311" s="7">
        <v>46189</v>
      </c>
      <c r="K311" s="4" t="s">
        <v>49</v>
      </c>
      <c r="L311" s="16">
        <f>F311*G311*(1-H311/100)</f>
        <v>241129</v>
      </c>
      <c r="M311" s="4" t="str" cm="1">
        <f t="array" ref="M311">_xlfn.IFS(L311&gt;=100000, "Excellent", L311&gt;=50000, "Very Good", L311&gt;=20000, "Good", L311&lt;20000, "Average")</f>
        <v>Excellent</v>
      </c>
    </row>
    <row r="312" spans="1:13" x14ac:dyDescent="0.3">
      <c r="A312" s="9">
        <v>1311</v>
      </c>
      <c r="B312" s="9" t="s">
        <v>53</v>
      </c>
      <c r="C312" s="4" t="s">
        <v>19</v>
      </c>
      <c r="D312" s="4" t="s">
        <v>20</v>
      </c>
      <c r="E312" s="4" t="s">
        <v>21</v>
      </c>
      <c r="F312" s="4">
        <v>2</v>
      </c>
      <c r="G312" s="4">
        <v>209</v>
      </c>
      <c r="H312" s="4">
        <v>0</v>
      </c>
      <c r="I312" s="7">
        <v>46173</v>
      </c>
      <c r="J312" s="7">
        <v>46176</v>
      </c>
      <c r="K312" s="4" t="s">
        <v>79</v>
      </c>
      <c r="L312" s="16">
        <f>F312*G312*(1-H312/100)</f>
        <v>418</v>
      </c>
      <c r="M312" s="4" t="str" cm="1">
        <f t="array" ref="M312">_xlfn.IFS(L312&gt;=100000, "Excellent", L312&gt;=50000, "Very Good", L312&gt;=20000, "Good", L312&lt;20000, "Average")</f>
        <v>Average</v>
      </c>
    </row>
    <row r="313" spans="1:13" x14ac:dyDescent="0.3">
      <c r="A313" s="9">
        <v>1312</v>
      </c>
      <c r="B313" s="9" t="s">
        <v>54</v>
      </c>
      <c r="C313" s="4" t="s">
        <v>26</v>
      </c>
      <c r="D313" s="4" t="s">
        <v>24</v>
      </c>
      <c r="E313" s="4" t="s">
        <v>11</v>
      </c>
      <c r="F313" s="4">
        <v>20</v>
      </c>
      <c r="G313" s="4">
        <v>3274</v>
      </c>
      <c r="H313" s="4">
        <v>2</v>
      </c>
      <c r="I313" s="7">
        <v>46148</v>
      </c>
      <c r="J313" s="7">
        <v>46156</v>
      </c>
      <c r="K313" s="4" t="s">
        <v>80</v>
      </c>
      <c r="L313" s="16">
        <f>F313*G313*(1-H313/100)</f>
        <v>64170.400000000001</v>
      </c>
      <c r="M313" s="4" t="str" cm="1">
        <f t="array" ref="M313">_xlfn.IFS(L313&gt;=100000, "Excellent", L313&gt;=50000, "Very Good", L313&gt;=20000, "Good", L313&lt;20000, "Average")</f>
        <v>Very Good</v>
      </c>
    </row>
    <row r="314" spans="1:13" x14ac:dyDescent="0.3">
      <c r="A314" s="9">
        <v>1313</v>
      </c>
      <c r="B314" s="9" t="s">
        <v>56</v>
      </c>
      <c r="C314" s="4" t="s">
        <v>26</v>
      </c>
      <c r="D314" s="4" t="s">
        <v>24</v>
      </c>
      <c r="E314" s="4" t="s">
        <v>11</v>
      </c>
      <c r="F314" s="4">
        <v>6</v>
      </c>
      <c r="G314" s="4">
        <v>10864</v>
      </c>
      <c r="H314" s="4">
        <v>10</v>
      </c>
      <c r="I314" s="7">
        <v>46041</v>
      </c>
      <c r="J314" s="7">
        <v>46049</v>
      </c>
      <c r="K314" s="4" t="s">
        <v>78</v>
      </c>
      <c r="L314" s="16">
        <f>F314*G314*(1-H314/100)</f>
        <v>58665.599999999999</v>
      </c>
      <c r="M314" s="4" t="str" cm="1">
        <f t="array" ref="M314">_xlfn.IFS(L314&gt;=100000, "Excellent", L314&gt;=50000, "Very Good", L314&gt;=20000, "Good", L314&lt;20000, "Average")</f>
        <v>Very Good</v>
      </c>
    </row>
    <row r="315" spans="1:13" x14ac:dyDescent="0.3">
      <c r="A315" s="9">
        <v>1314</v>
      </c>
      <c r="B315" s="9" t="s">
        <v>50</v>
      </c>
      <c r="C315" s="4" t="s">
        <v>33</v>
      </c>
      <c r="D315" s="4" t="s">
        <v>24</v>
      </c>
      <c r="E315" s="4" t="s">
        <v>7</v>
      </c>
      <c r="F315" s="4">
        <v>10</v>
      </c>
      <c r="G315" s="4">
        <v>6328</v>
      </c>
      <c r="H315" s="4">
        <v>2</v>
      </c>
      <c r="I315" s="7">
        <v>46196</v>
      </c>
      <c r="J315" s="7">
        <v>46197</v>
      </c>
      <c r="K315" s="4" t="s">
        <v>49</v>
      </c>
      <c r="L315" s="16">
        <f>F315*G315*(1-H315/100)</f>
        <v>62014.400000000001</v>
      </c>
      <c r="M315" s="4" t="str" cm="1">
        <f t="array" ref="M315">_xlfn.IFS(L315&gt;=100000, "Excellent", L315&gt;=50000, "Very Good", L315&gt;=20000, "Good", L315&lt;20000, "Average")</f>
        <v>Very Good</v>
      </c>
    </row>
    <row r="316" spans="1:13" x14ac:dyDescent="0.3">
      <c r="A316" s="9">
        <v>1315</v>
      </c>
      <c r="B316" s="9" t="s">
        <v>47</v>
      </c>
      <c r="C316" s="4" t="s">
        <v>31</v>
      </c>
      <c r="D316" s="4" t="s">
        <v>34</v>
      </c>
      <c r="E316" s="4" t="s">
        <v>40</v>
      </c>
      <c r="F316" s="4">
        <v>14</v>
      </c>
      <c r="G316" s="4">
        <v>57670</v>
      </c>
      <c r="H316" s="4">
        <v>2</v>
      </c>
      <c r="I316" s="7">
        <v>46186</v>
      </c>
      <c r="J316" s="7">
        <v>46196</v>
      </c>
      <c r="K316" s="4" t="s">
        <v>78</v>
      </c>
      <c r="L316" s="16">
        <f>F316*G316*(1-H316/100)</f>
        <v>791232.4</v>
      </c>
      <c r="M316" s="4" t="str" cm="1">
        <f t="array" ref="M316">_xlfn.IFS(L316&gt;=100000, "Excellent", L316&gt;=50000, "Very Good", L316&gt;=20000, "Good", L316&lt;20000, "Average")</f>
        <v>Excellent</v>
      </c>
    </row>
    <row r="317" spans="1:13" x14ac:dyDescent="0.3">
      <c r="A317" s="9">
        <v>1316</v>
      </c>
      <c r="B317" s="9" t="s">
        <v>44</v>
      </c>
      <c r="C317" s="4" t="s">
        <v>19</v>
      </c>
      <c r="D317" s="4" t="s">
        <v>24</v>
      </c>
      <c r="E317" s="4" t="s">
        <v>8</v>
      </c>
      <c r="F317" s="4">
        <v>7</v>
      </c>
      <c r="G317" s="4">
        <v>9838</v>
      </c>
      <c r="H317" s="4">
        <v>7</v>
      </c>
      <c r="I317" s="7">
        <v>46078</v>
      </c>
      <c r="J317" s="7">
        <v>46085</v>
      </c>
      <c r="K317" s="4" t="s">
        <v>79</v>
      </c>
      <c r="L317" s="16">
        <f>F317*G317*(1-H317/100)</f>
        <v>64045.38</v>
      </c>
      <c r="M317" s="4" t="str" cm="1">
        <f t="array" ref="M317">_xlfn.IFS(L317&gt;=100000, "Excellent", L317&gt;=50000, "Very Good", L317&gt;=20000, "Good", L317&lt;20000, "Average")</f>
        <v>Very Good</v>
      </c>
    </row>
    <row r="318" spans="1:13" x14ac:dyDescent="0.3">
      <c r="A318" s="9">
        <v>1317</v>
      </c>
      <c r="B318" s="9" t="s">
        <v>56</v>
      </c>
      <c r="C318" s="4" t="s">
        <v>33</v>
      </c>
      <c r="D318" s="4" t="s">
        <v>34</v>
      </c>
      <c r="E318" s="4" t="s">
        <v>40</v>
      </c>
      <c r="F318" s="4">
        <v>7</v>
      </c>
      <c r="G318" s="4">
        <v>67339</v>
      </c>
      <c r="H318" s="4">
        <v>5</v>
      </c>
      <c r="I318" s="7">
        <v>46159</v>
      </c>
      <c r="J318" s="7">
        <v>46169</v>
      </c>
      <c r="K318" s="4" t="s">
        <v>81</v>
      </c>
      <c r="L318" s="16">
        <f>F318*G318*(1-H318/100)</f>
        <v>447804.35</v>
      </c>
      <c r="M318" s="4" t="str" cm="1">
        <f t="array" ref="M318">_xlfn.IFS(L318&gt;=100000, "Excellent", L318&gt;=50000, "Very Good", L318&gt;=20000, "Good", L318&lt;20000, "Average")</f>
        <v>Excellent</v>
      </c>
    </row>
    <row r="319" spans="1:13" x14ac:dyDescent="0.3">
      <c r="A319" s="9">
        <v>1318</v>
      </c>
      <c r="B319" s="9" t="s">
        <v>18</v>
      </c>
      <c r="C319" s="4" t="s">
        <v>42</v>
      </c>
      <c r="D319" s="4" t="s">
        <v>20</v>
      </c>
      <c r="E319" s="4" t="s">
        <v>48</v>
      </c>
      <c r="F319" s="4">
        <v>4</v>
      </c>
      <c r="G319" s="4">
        <v>38</v>
      </c>
      <c r="H319" s="4">
        <v>12</v>
      </c>
      <c r="I319" s="7">
        <v>46169</v>
      </c>
      <c r="J319" s="7">
        <v>46175</v>
      </c>
      <c r="K319" s="4" t="s">
        <v>49</v>
      </c>
      <c r="L319" s="16">
        <f>F319*G319*(1-H319/100)</f>
        <v>133.76</v>
      </c>
      <c r="M319" s="4" t="str" cm="1">
        <f t="array" ref="M319">_xlfn.IFS(L319&gt;=100000, "Excellent", L319&gt;=50000, "Very Good", L319&gt;=20000, "Good", L319&lt;20000, "Average")</f>
        <v>Average</v>
      </c>
    </row>
    <row r="320" spans="1:13" x14ac:dyDescent="0.3">
      <c r="A320" s="9">
        <v>1319</v>
      </c>
      <c r="B320" s="9" t="s">
        <v>25</v>
      </c>
      <c r="C320" s="4" t="s">
        <v>23</v>
      </c>
      <c r="D320" s="4" t="s">
        <v>34</v>
      </c>
      <c r="E320" s="4" t="s">
        <v>12</v>
      </c>
      <c r="F320" s="4">
        <v>17</v>
      </c>
      <c r="G320" s="4">
        <v>58407</v>
      </c>
      <c r="H320" s="4">
        <v>7</v>
      </c>
      <c r="I320" s="7">
        <v>46094</v>
      </c>
      <c r="J320" s="7">
        <v>46102</v>
      </c>
      <c r="K320" s="4" t="s">
        <v>78</v>
      </c>
      <c r="L320" s="16">
        <f>F320*G320*(1-H320/100)</f>
        <v>923414.66999999993</v>
      </c>
      <c r="M320" s="4" t="str" cm="1">
        <f t="array" ref="M320">_xlfn.IFS(L320&gt;=100000, "Excellent", L320&gt;=50000, "Very Good", L320&gt;=20000, "Good", L320&lt;20000, "Average")</f>
        <v>Excellent</v>
      </c>
    </row>
    <row r="321" spans="1:13" x14ac:dyDescent="0.3">
      <c r="A321" s="9">
        <v>1320</v>
      </c>
      <c r="B321" s="9" t="s">
        <v>45</v>
      </c>
      <c r="C321" s="4" t="s">
        <v>38</v>
      </c>
      <c r="D321" s="4" t="s">
        <v>20</v>
      </c>
      <c r="E321" s="4" t="s">
        <v>36</v>
      </c>
      <c r="F321" s="4">
        <v>20</v>
      </c>
      <c r="G321" s="4">
        <v>55</v>
      </c>
      <c r="H321" s="4">
        <v>7</v>
      </c>
      <c r="I321" s="7">
        <v>46183</v>
      </c>
      <c r="J321" s="7">
        <v>46186</v>
      </c>
      <c r="K321" s="4" t="s">
        <v>79</v>
      </c>
      <c r="L321" s="16">
        <f>F321*G321*(1-H321/100)</f>
        <v>1022.9999999999999</v>
      </c>
      <c r="M321" s="4" t="str" cm="1">
        <f t="array" ref="M321">_xlfn.IFS(L321&gt;=100000, "Excellent", L321&gt;=50000, "Very Good", L321&gt;=20000, "Good", L321&lt;20000, "Average")</f>
        <v>Average</v>
      </c>
    </row>
    <row r="322" spans="1:13" x14ac:dyDescent="0.3">
      <c r="A322" s="9">
        <v>1321</v>
      </c>
      <c r="B322" s="9" t="s">
        <v>32</v>
      </c>
      <c r="C322" s="4" t="s">
        <v>26</v>
      </c>
      <c r="D322" s="4" t="s">
        <v>24</v>
      </c>
      <c r="E322" s="4" t="s">
        <v>7</v>
      </c>
      <c r="F322" s="4">
        <v>8</v>
      </c>
      <c r="G322" s="4">
        <v>5619</v>
      </c>
      <c r="H322" s="4">
        <v>7</v>
      </c>
      <c r="I322" s="7">
        <v>46107</v>
      </c>
      <c r="J322" s="7">
        <v>46109</v>
      </c>
      <c r="K322" s="4" t="s">
        <v>81</v>
      </c>
      <c r="L322" s="16">
        <f>F322*G322*(1-H322/100)</f>
        <v>41805.360000000001</v>
      </c>
      <c r="M322" s="4" t="str" cm="1">
        <f t="array" ref="M322">_xlfn.IFS(L322&gt;=100000, "Excellent", L322&gt;=50000, "Very Good", L322&gt;=20000, "Good", L322&lt;20000, "Average")</f>
        <v>Good</v>
      </c>
    </row>
    <row r="323" spans="1:13" x14ac:dyDescent="0.3">
      <c r="A323" s="9">
        <v>1322</v>
      </c>
      <c r="B323" s="9" t="s">
        <v>29</v>
      </c>
      <c r="C323" s="4" t="s">
        <v>19</v>
      </c>
      <c r="D323" s="4" t="s">
        <v>24</v>
      </c>
      <c r="E323" s="4" t="s">
        <v>10</v>
      </c>
      <c r="F323" s="4">
        <v>14</v>
      </c>
      <c r="G323" s="4">
        <v>9081</v>
      </c>
      <c r="H323" s="4">
        <v>15</v>
      </c>
      <c r="I323" s="7">
        <v>46141</v>
      </c>
      <c r="J323" s="7">
        <v>46146</v>
      </c>
      <c r="K323" s="4" t="s">
        <v>78</v>
      </c>
      <c r="L323" s="16">
        <f>F323*G323*(1-H323/100)</f>
        <v>108063.9</v>
      </c>
      <c r="M323" s="4" t="str" cm="1">
        <f t="array" ref="M323">_xlfn.IFS(L323&gt;=100000, "Excellent", L323&gt;=50000, "Very Good", L323&gt;=20000, "Good", L323&lt;20000, "Average")</f>
        <v>Excellent</v>
      </c>
    </row>
    <row r="324" spans="1:13" x14ac:dyDescent="0.3">
      <c r="A324" s="9">
        <v>1323</v>
      </c>
      <c r="B324" s="9" t="s">
        <v>54</v>
      </c>
      <c r="C324" s="4" t="s">
        <v>38</v>
      </c>
      <c r="D324" s="4" t="s">
        <v>34</v>
      </c>
      <c r="E324" s="4" t="s">
        <v>12</v>
      </c>
      <c r="F324" s="4">
        <v>2</v>
      </c>
      <c r="G324" s="4">
        <v>32074</v>
      </c>
      <c r="H324" s="4">
        <v>10</v>
      </c>
      <c r="I324" s="7">
        <v>46073</v>
      </c>
      <c r="J324" s="7">
        <v>46078</v>
      </c>
      <c r="K324" s="4" t="s">
        <v>78</v>
      </c>
      <c r="L324" s="16">
        <f>F324*G324*(1-H324/100)</f>
        <v>57733.200000000004</v>
      </c>
      <c r="M324" s="4" t="str" cm="1">
        <f t="array" ref="M324">_xlfn.IFS(L324&gt;=100000, "Excellent", L324&gt;=50000, "Very Good", L324&gt;=20000, "Good", L324&lt;20000, "Average")</f>
        <v>Very Good</v>
      </c>
    </row>
    <row r="325" spans="1:13" x14ac:dyDescent="0.3">
      <c r="A325" s="9">
        <v>1324</v>
      </c>
      <c r="B325" s="9" t="s">
        <v>32</v>
      </c>
      <c r="C325" s="4" t="s">
        <v>26</v>
      </c>
      <c r="D325" s="4" t="s">
        <v>24</v>
      </c>
      <c r="E325" s="4" t="s">
        <v>7</v>
      </c>
      <c r="F325" s="4">
        <v>1</v>
      </c>
      <c r="G325" s="4">
        <v>4286</v>
      </c>
      <c r="H325" s="4">
        <v>15</v>
      </c>
      <c r="I325" s="7">
        <v>46053</v>
      </c>
      <c r="J325" s="7">
        <v>46056</v>
      </c>
      <c r="K325" s="4" t="s">
        <v>79</v>
      </c>
      <c r="L325" s="16">
        <f>F325*G325*(1-H325/100)</f>
        <v>3643.1</v>
      </c>
      <c r="M325" s="4" t="str" cm="1">
        <f t="array" ref="M325">_xlfn.IFS(L325&gt;=100000, "Excellent", L325&gt;=50000, "Very Good", L325&gt;=20000, "Good", L325&lt;20000, "Average")</f>
        <v>Average</v>
      </c>
    </row>
    <row r="326" spans="1:13" x14ac:dyDescent="0.3">
      <c r="A326" s="9">
        <v>1325</v>
      </c>
      <c r="B326" s="9" t="s">
        <v>46</v>
      </c>
      <c r="C326" s="4" t="s">
        <v>42</v>
      </c>
      <c r="D326" s="4" t="s">
        <v>34</v>
      </c>
      <c r="E326" s="4" t="s">
        <v>5</v>
      </c>
      <c r="F326" s="4">
        <v>9</v>
      </c>
      <c r="G326" s="4">
        <v>58442</v>
      </c>
      <c r="H326" s="4">
        <v>12</v>
      </c>
      <c r="I326" s="7">
        <v>46076</v>
      </c>
      <c r="J326" s="7">
        <v>46085</v>
      </c>
      <c r="K326" s="4" t="s">
        <v>79</v>
      </c>
      <c r="L326" s="16">
        <f>F326*G326*(1-H326/100)</f>
        <v>462860.64</v>
      </c>
      <c r="M326" s="4" t="str" cm="1">
        <f t="array" ref="M326">_xlfn.IFS(L326&gt;=100000, "Excellent", L326&gt;=50000, "Very Good", L326&gt;=20000, "Good", L326&lt;20000, "Average")</f>
        <v>Excellent</v>
      </c>
    </row>
    <row r="327" spans="1:13" x14ac:dyDescent="0.3">
      <c r="A327" s="9">
        <v>1326</v>
      </c>
      <c r="B327" s="9" t="s">
        <v>28</v>
      </c>
      <c r="C327" s="4" t="s">
        <v>23</v>
      </c>
      <c r="D327" s="4" t="s">
        <v>24</v>
      </c>
      <c r="E327" s="4" t="s">
        <v>43</v>
      </c>
      <c r="F327" s="4">
        <v>18</v>
      </c>
      <c r="G327" s="4">
        <v>1830</v>
      </c>
      <c r="H327" s="4">
        <v>10</v>
      </c>
      <c r="I327" s="7">
        <v>46165</v>
      </c>
      <c r="J327" s="7">
        <v>46172</v>
      </c>
      <c r="K327" s="4" t="s">
        <v>78</v>
      </c>
      <c r="L327" s="16">
        <f>F327*G327*(1-H327/100)</f>
        <v>29646</v>
      </c>
      <c r="M327" s="4" t="str" cm="1">
        <f t="array" ref="M327">_xlfn.IFS(L327&gt;=100000, "Excellent", L327&gt;=50000, "Very Good", L327&gt;=20000, "Good", L327&lt;20000, "Average")</f>
        <v>Good</v>
      </c>
    </row>
    <row r="328" spans="1:13" x14ac:dyDescent="0.3">
      <c r="A328" s="9">
        <v>1327</v>
      </c>
      <c r="B328" s="9" t="s">
        <v>46</v>
      </c>
      <c r="C328" s="4" t="s">
        <v>19</v>
      </c>
      <c r="D328" s="4" t="s">
        <v>20</v>
      </c>
      <c r="E328" s="4" t="s">
        <v>51</v>
      </c>
      <c r="F328" s="4">
        <v>15</v>
      </c>
      <c r="G328" s="4">
        <v>449</v>
      </c>
      <c r="H328" s="4">
        <v>5</v>
      </c>
      <c r="I328" s="7">
        <v>46152</v>
      </c>
      <c r="J328" s="7">
        <v>46153</v>
      </c>
      <c r="K328" s="4" t="s">
        <v>78</v>
      </c>
      <c r="L328" s="16">
        <f>F328*G328*(1-H328/100)</f>
        <v>6398.25</v>
      </c>
      <c r="M328" s="4" t="str" cm="1">
        <f t="array" ref="M328">_xlfn.IFS(L328&gt;=100000, "Excellent", L328&gt;=50000, "Very Good", L328&gt;=20000, "Good", L328&lt;20000, "Average")</f>
        <v>Average</v>
      </c>
    </row>
    <row r="329" spans="1:13" x14ac:dyDescent="0.3">
      <c r="A329" s="9">
        <v>1328</v>
      </c>
      <c r="B329" s="9" t="s">
        <v>22</v>
      </c>
      <c r="C329" s="4" t="s">
        <v>38</v>
      </c>
      <c r="D329" s="4" t="s">
        <v>20</v>
      </c>
      <c r="E329" s="4" t="s">
        <v>36</v>
      </c>
      <c r="F329" s="4">
        <v>4</v>
      </c>
      <c r="G329" s="4">
        <v>132</v>
      </c>
      <c r="H329" s="4">
        <v>0</v>
      </c>
      <c r="I329" s="7">
        <v>46109</v>
      </c>
      <c r="J329" s="7">
        <v>46114</v>
      </c>
      <c r="K329" s="4" t="s">
        <v>49</v>
      </c>
      <c r="L329" s="16">
        <f>F329*G329*(1-H329/100)</f>
        <v>528</v>
      </c>
      <c r="M329" s="4" t="str" cm="1">
        <f t="array" ref="M329">_xlfn.IFS(L329&gt;=100000, "Excellent", L329&gt;=50000, "Very Good", L329&gt;=20000, "Good", L329&lt;20000, "Average")</f>
        <v>Average</v>
      </c>
    </row>
    <row r="330" spans="1:13" x14ac:dyDescent="0.3">
      <c r="A330" s="9">
        <v>1329</v>
      </c>
      <c r="B330" s="9" t="s">
        <v>30</v>
      </c>
      <c r="C330" s="4" t="s">
        <v>42</v>
      </c>
      <c r="D330" s="4" t="s">
        <v>20</v>
      </c>
      <c r="E330" s="4" t="s">
        <v>51</v>
      </c>
      <c r="F330" s="4">
        <v>18</v>
      </c>
      <c r="G330" s="4">
        <v>227</v>
      </c>
      <c r="H330" s="4">
        <v>5</v>
      </c>
      <c r="I330" s="7">
        <v>46126</v>
      </c>
      <c r="J330" s="7">
        <v>46136</v>
      </c>
      <c r="K330" s="4" t="s">
        <v>49</v>
      </c>
      <c r="L330" s="16">
        <f>F330*G330*(1-H330/100)</f>
        <v>3881.7</v>
      </c>
      <c r="M330" s="4" t="str" cm="1">
        <f t="array" ref="M330">_xlfn.IFS(L330&gt;=100000, "Excellent", L330&gt;=50000, "Very Good", L330&gt;=20000, "Good", L330&lt;20000, "Average")</f>
        <v>Average</v>
      </c>
    </row>
    <row r="331" spans="1:13" x14ac:dyDescent="0.3">
      <c r="A331" s="9">
        <v>1330</v>
      </c>
      <c r="B331" s="9" t="s">
        <v>47</v>
      </c>
      <c r="C331" s="4" t="s">
        <v>23</v>
      </c>
      <c r="D331" s="4" t="s">
        <v>24</v>
      </c>
      <c r="E331" s="4" t="s">
        <v>7</v>
      </c>
      <c r="F331" s="4">
        <v>13</v>
      </c>
      <c r="G331" s="4">
        <v>12071</v>
      </c>
      <c r="H331" s="4">
        <v>0</v>
      </c>
      <c r="I331" s="7">
        <v>46032</v>
      </c>
      <c r="J331" s="7">
        <v>46036</v>
      </c>
      <c r="K331" s="4" t="s">
        <v>81</v>
      </c>
      <c r="L331" s="16">
        <f>F331*G331*(1-H331/100)</f>
        <v>156923</v>
      </c>
      <c r="M331" s="4" t="str" cm="1">
        <f t="array" ref="M331">_xlfn.IFS(L331&gt;=100000, "Excellent", L331&gt;=50000, "Very Good", L331&gt;=20000, "Good", L331&lt;20000, "Average")</f>
        <v>Excellent</v>
      </c>
    </row>
    <row r="332" spans="1:13" x14ac:dyDescent="0.3">
      <c r="A332" s="9">
        <v>1331</v>
      </c>
      <c r="B332" s="9" t="s">
        <v>25</v>
      </c>
      <c r="C332" s="4" t="s">
        <v>27</v>
      </c>
      <c r="D332" s="4" t="s">
        <v>34</v>
      </c>
      <c r="E332" s="4" t="s">
        <v>12</v>
      </c>
      <c r="F332" s="4">
        <v>2</v>
      </c>
      <c r="G332" s="4">
        <v>43557</v>
      </c>
      <c r="H332" s="4">
        <v>2</v>
      </c>
      <c r="I332" s="7">
        <v>46190</v>
      </c>
      <c r="J332" s="7">
        <v>46200</v>
      </c>
      <c r="K332" s="4" t="s">
        <v>78</v>
      </c>
      <c r="L332" s="16">
        <f>F332*G332*(1-H332/100)</f>
        <v>85371.72</v>
      </c>
      <c r="M332" s="4" t="str" cm="1">
        <f t="array" ref="M332">_xlfn.IFS(L332&gt;=100000, "Excellent", L332&gt;=50000, "Very Good", L332&gt;=20000, "Good", L332&lt;20000, "Average")</f>
        <v>Very Good</v>
      </c>
    </row>
    <row r="333" spans="1:13" x14ac:dyDescent="0.3">
      <c r="A333" s="9">
        <v>1332</v>
      </c>
      <c r="B333" s="9" t="s">
        <v>49</v>
      </c>
      <c r="C333" s="4" t="s">
        <v>42</v>
      </c>
      <c r="D333" s="4" t="s">
        <v>20</v>
      </c>
      <c r="E333" s="4" t="s">
        <v>48</v>
      </c>
      <c r="F333" s="4">
        <v>7</v>
      </c>
      <c r="G333" s="4">
        <v>439</v>
      </c>
      <c r="H333" s="4">
        <v>2</v>
      </c>
      <c r="I333" s="7">
        <v>46154</v>
      </c>
      <c r="J333" s="7">
        <v>46157</v>
      </c>
      <c r="K333" s="4" t="s">
        <v>78</v>
      </c>
      <c r="L333" s="16">
        <f>F333*G333*(1-H333/100)</f>
        <v>3011.54</v>
      </c>
      <c r="M333" s="4" t="str" cm="1">
        <f t="array" ref="M333">_xlfn.IFS(L333&gt;=100000, "Excellent", L333&gt;=50000, "Very Good", L333&gt;=20000, "Good", L333&lt;20000, "Average")</f>
        <v>Average</v>
      </c>
    </row>
    <row r="334" spans="1:13" x14ac:dyDescent="0.3">
      <c r="A334" s="9">
        <v>1333</v>
      </c>
      <c r="B334" s="9" t="s">
        <v>49</v>
      </c>
      <c r="C334" s="4" t="s">
        <v>38</v>
      </c>
      <c r="D334" s="4" t="s">
        <v>20</v>
      </c>
      <c r="E334" s="4" t="s">
        <v>51</v>
      </c>
      <c r="F334" s="4">
        <v>20</v>
      </c>
      <c r="G334" s="4">
        <v>416</v>
      </c>
      <c r="H334" s="4">
        <v>12</v>
      </c>
      <c r="I334" s="7">
        <v>46145</v>
      </c>
      <c r="J334" s="7">
        <v>46146</v>
      </c>
      <c r="K334" s="4" t="s">
        <v>81</v>
      </c>
      <c r="L334" s="16">
        <f>F334*G334*(1-H334/100)</f>
        <v>7321.6</v>
      </c>
      <c r="M334" s="4" t="str" cm="1">
        <f t="array" ref="M334">_xlfn.IFS(L334&gt;=100000, "Excellent", L334&gt;=50000, "Very Good", L334&gt;=20000, "Good", L334&lt;20000, "Average")</f>
        <v>Average</v>
      </c>
    </row>
    <row r="335" spans="1:13" x14ac:dyDescent="0.3">
      <c r="A335" s="9">
        <v>1334</v>
      </c>
      <c r="B335" s="9" t="s">
        <v>39</v>
      </c>
      <c r="C335" s="4" t="s">
        <v>19</v>
      </c>
      <c r="D335" s="4" t="s">
        <v>34</v>
      </c>
      <c r="E335" s="4" t="s">
        <v>40</v>
      </c>
      <c r="F335" s="4">
        <v>15</v>
      </c>
      <c r="G335" s="4">
        <v>39853</v>
      </c>
      <c r="H335" s="4">
        <v>7</v>
      </c>
      <c r="I335" s="7">
        <v>46038</v>
      </c>
      <c r="J335" s="7">
        <v>46047</v>
      </c>
      <c r="K335" s="4" t="s">
        <v>81</v>
      </c>
      <c r="L335" s="16">
        <f>F335*G335*(1-H335/100)</f>
        <v>555949.35</v>
      </c>
      <c r="M335" s="4" t="str" cm="1">
        <f t="array" ref="M335">_xlfn.IFS(L335&gt;=100000, "Excellent", L335&gt;=50000, "Very Good", L335&gt;=20000, "Good", L335&lt;20000, "Average")</f>
        <v>Excellent</v>
      </c>
    </row>
    <row r="336" spans="1:13" x14ac:dyDescent="0.3">
      <c r="A336" s="9">
        <v>1335</v>
      </c>
      <c r="B336" s="9" t="s">
        <v>45</v>
      </c>
      <c r="C336" s="4" t="s">
        <v>23</v>
      </c>
      <c r="D336" s="4" t="s">
        <v>24</v>
      </c>
      <c r="E336" s="4" t="s">
        <v>7</v>
      </c>
      <c r="F336" s="4">
        <v>9</v>
      </c>
      <c r="G336" s="4">
        <v>1495</v>
      </c>
      <c r="H336" s="4">
        <v>12</v>
      </c>
      <c r="I336" s="7">
        <v>46168</v>
      </c>
      <c r="J336" s="7">
        <v>46173</v>
      </c>
      <c r="K336" s="4" t="s">
        <v>78</v>
      </c>
      <c r="L336" s="16">
        <f>F336*G336*(1-H336/100)</f>
        <v>11840.4</v>
      </c>
      <c r="M336" s="4" t="str" cm="1">
        <f t="array" ref="M336">_xlfn.IFS(L336&gt;=100000, "Excellent", L336&gt;=50000, "Very Good", L336&gt;=20000, "Good", L336&lt;20000, "Average")</f>
        <v>Average</v>
      </c>
    </row>
    <row r="337" spans="1:13" x14ac:dyDescent="0.3">
      <c r="A337" s="9">
        <v>1336</v>
      </c>
      <c r="B337" s="9" t="s">
        <v>22</v>
      </c>
      <c r="C337" s="4" t="s">
        <v>27</v>
      </c>
      <c r="D337" s="4" t="s">
        <v>24</v>
      </c>
      <c r="E337" s="4" t="s">
        <v>11</v>
      </c>
      <c r="F337" s="4">
        <v>10</v>
      </c>
      <c r="G337" s="4">
        <v>5624</v>
      </c>
      <c r="H337" s="4">
        <v>0</v>
      </c>
      <c r="I337" s="7">
        <v>46086</v>
      </c>
      <c r="J337" s="7">
        <v>46092</v>
      </c>
      <c r="K337" s="4" t="s">
        <v>49</v>
      </c>
      <c r="L337" s="16">
        <f>F337*G337*(1-H337/100)</f>
        <v>56240</v>
      </c>
      <c r="M337" s="4" t="str" cm="1">
        <f t="array" ref="M337">_xlfn.IFS(L337&gt;=100000, "Excellent", L337&gt;=50000, "Very Good", L337&gt;=20000, "Good", L337&lt;20000, "Average")</f>
        <v>Very Good</v>
      </c>
    </row>
    <row r="338" spans="1:13" x14ac:dyDescent="0.3">
      <c r="A338" s="9">
        <v>1337</v>
      </c>
      <c r="B338" s="9" t="s">
        <v>22</v>
      </c>
      <c r="C338" s="4" t="s">
        <v>19</v>
      </c>
      <c r="D338" s="4" t="s">
        <v>20</v>
      </c>
      <c r="E338" s="4" t="s">
        <v>51</v>
      </c>
      <c r="F338" s="4">
        <v>14</v>
      </c>
      <c r="G338" s="4">
        <v>373</v>
      </c>
      <c r="H338" s="4">
        <v>10</v>
      </c>
      <c r="I338" s="7">
        <v>46074</v>
      </c>
      <c r="J338" s="7">
        <v>46080</v>
      </c>
      <c r="K338" s="4" t="s">
        <v>49</v>
      </c>
      <c r="L338" s="16">
        <f>F338*G338*(1-H338/100)</f>
        <v>4699.8</v>
      </c>
      <c r="M338" s="4" t="str" cm="1">
        <f t="array" ref="M338">_xlfn.IFS(L338&gt;=100000, "Excellent", L338&gt;=50000, "Very Good", L338&gt;=20000, "Good", L338&lt;20000, "Average")</f>
        <v>Average</v>
      </c>
    </row>
    <row r="339" spans="1:13" x14ac:dyDescent="0.3">
      <c r="A339" s="9">
        <v>1338</v>
      </c>
      <c r="B339" s="9" t="s">
        <v>56</v>
      </c>
      <c r="C339" s="4" t="s">
        <v>27</v>
      </c>
      <c r="D339" s="4" t="s">
        <v>34</v>
      </c>
      <c r="E339" s="4" t="s">
        <v>9</v>
      </c>
      <c r="F339" s="4">
        <v>10</v>
      </c>
      <c r="G339" s="4">
        <v>16719</v>
      </c>
      <c r="H339" s="4">
        <v>5</v>
      </c>
      <c r="I339" s="7">
        <v>46177</v>
      </c>
      <c r="J339" s="7">
        <v>46179</v>
      </c>
      <c r="K339" s="4" t="s">
        <v>78</v>
      </c>
      <c r="L339" s="16">
        <f>F339*G339*(1-H339/100)</f>
        <v>158830.5</v>
      </c>
      <c r="M339" s="4" t="str" cm="1">
        <f t="array" ref="M339">_xlfn.IFS(L339&gt;=100000, "Excellent", L339&gt;=50000, "Very Good", L339&gt;=20000, "Good", L339&lt;20000, "Average")</f>
        <v>Excellent</v>
      </c>
    </row>
    <row r="340" spans="1:13" x14ac:dyDescent="0.3">
      <c r="A340" s="9">
        <v>1339</v>
      </c>
      <c r="B340" s="9" t="s">
        <v>32</v>
      </c>
      <c r="C340" s="4" t="s">
        <v>27</v>
      </c>
      <c r="D340" s="4" t="s">
        <v>20</v>
      </c>
      <c r="E340" s="4" t="s">
        <v>21</v>
      </c>
      <c r="F340" s="4">
        <v>6</v>
      </c>
      <c r="G340" s="4">
        <v>302</v>
      </c>
      <c r="H340" s="4">
        <v>5</v>
      </c>
      <c r="I340" s="7">
        <v>46142</v>
      </c>
      <c r="J340" s="7">
        <v>46148</v>
      </c>
      <c r="K340" s="4" t="s">
        <v>79</v>
      </c>
      <c r="L340" s="16">
        <f>F340*G340*(1-H340/100)</f>
        <v>1721.3999999999999</v>
      </c>
      <c r="M340" s="4" t="str" cm="1">
        <f t="array" ref="M340">_xlfn.IFS(L340&gt;=100000, "Excellent", L340&gt;=50000, "Very Good", L340&gt;=20000, "Good", L340&lt;20000, "Average")</f>
        <v>Average</v>
      </c>
    </row>
    <row r="341" spans="1:13" x14ac:dyDescent="0.3">
      <c r="A341" s="9">
        <v>1340</v>
      </c>
      <c r="B341" s="9" t="s">
        <v>46</v>
      </c>
      <c r="C341" s="4" t="s">
        <v>23</v>
      </c>
      <c r="D341" s="4" t="s">
        <v>24</v>
      </c>
      <c r="E341" s="4" t="s">
        <v>7</v>
      </c>
      <c r="F341" s="4">
        <v>12</v>
      </c>
      <c r="G341" s="4">
        <v>3857</v>
      </c>
      <c r="H341" s="4">
        <v>12</v>
      </c>
      <c r="I341" s="7">
        <v>46196</v>
      </c>
      <c r="J341" s="7">
        <v>46198</v>
      </c>
      <c r="K341" s="4" t="s">
        <v>81</v>
      </c>
      <c r="L341" s="16">
        <f>F341*G341*(1-H341/100)</f>
        <v>40729.919999999998</v>
      </c>
      <c r="M341" s="4" t="str" cm="1">
        <f t="array" ref="M341">_xlfn.IFS(L341&gt;=100000, "Excellent", L341&gt;=50000, "Very Good", L341&gt;=20000, "Good", L341&lt;20000, "Average")</f>
        <v>Good</v>
      </c>
    </row>
    <row r="342" spans="1:13" x14ac:dyDescent="0.3">
      <c r="A342" s="9">
        <v>1341</v>
      </c>
      <c r="B342" s="9" t="s">
        <v>54</v>
      </c>
      <c r="C342" s="4" t="s">
        <v>38</v>
      </c>
      <c r="D342" s="4" t="s">
        <v>24</v>
      </c>
      <c r="E342" s="4" t="s">
        <v>7</v>
      </c>
      <c r="F342" s="4">
        <v>19</v>
      </c>
      <c r="G342" s="4">
        <v>6488</v>
      </c>
      <c r="H342" s="4">
        <v>15</v>
      </c>
      <c r="I342" s="7">
        <v>46026</v>
      </c>
      <c r="J342" s="7">
        <v>46030</v>
      </c>
      <c r="K342" s="4" t="s">
        <v>79</v>
      </c>
      <c r="L342" s="16">
        <f>F342*G342*(1-H342/100)</f>
        <v>104781.2</v>
      </c>
      <c r="M342" s="4" t="str" cm="1">
        <f t="array" ref="M342">_xlfn.IFS(L342&gt;=100000, "Excellent", L342&gt;=50000, "Very Good", L342&gt;=20000, "Good", L342&lt;20000, "Average")</f>
        <v>Excellent</v>
      </c>
    </row>
    <row r="343" spans="1:13" x14ac:dyDescent="0.3">
      <c r="A343" s="9">
        <v>1342</v>
      </c>
      <c r="B343" s="9" t="s">
        <v>56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7">
        <v>46132</v>
      </c>
      <c r="J343" s="7">
        <v>46139</v>
      </c>
      <c r="K343" s="4" t="s">
        <v>49</v>
      </c>
      <c r="L343" s="16">
        <f>F343*G343*(1-H343/100)</f>
        <v>529085.04999999993</v>
      </c>
      <c r="M343" s="4" t="str" cm="1">
        <f t="array" ref="M343">_xlfn.IFS(L343&gt;=100000, "Excellent", L343&gt;=50000, "Very Good", L343&gt;=20000, "Good", L343&lt;20000, "Average")</f>
        <v>Excellent</v>
      </c>
    </row>
    <row r="344" spans="1:13" x14ac:dyDescent="0.3">
      <c r="A344" s="9">
        <v>1343</v>
      </c>
      <c r="B344" s="9" t="s">
        <v>56</v>
      </c>
      <c r="C344" s="4" t="s">
        <v>31</v>
      </c>
      <c r="D344" s="4" t="s">
        <v>34</v>
      </c>
      <c r="E344" s="4" t="s">
        <v>5</v>
      </c>
      <c r="F344" s="4">
        <v>14</v>
      </c>
      <c r="G344" s="4">
        <v>32719</v>
      </c>
      <c r="H344" s="4">
        <v>15</v>
      </c>
      <c r="I344" s="7">
        <v>46174</v>
      </c>
      <c r="J344" s="7">
        <v>46179</v>
      </c>
      <c r="K344" s="4" t="s">
        <v>78</v>
      </c>
      <c r="L344" s="16">
        <f>F344*G344*(1-H344/100)</f>
        <v>389356.1</v>
      </c>
      <c r="M344" s="4" t="str" cm="1">
        <f t="array" ref="M344">_xlfn.IFS(L344&gt;=100000, "Excellent", L344&gt;=50000, "Very Good", L344&gt;=20000, "Good", L344&lt;20000, "Average")</f>
        <v>Excellent</v>
      </c>
    </row>
    <row r="345" spans="1:13" x14ac:dyDescent="0.3">
      <c r="A345" s="9">
        <v>1344</v>
      </c>
      <c r="B345" s="9" t="s">
        <v>30</v>
      </c>
      <c r="C345" s="4" t="s">
        <v>23</v>
      </c>
      <c r="D345" s="4" t="s">
        <v>20</v>
      </c>
      <c r="E345" s="4" t="s">
        <v>51</v>
      </c>
      <c r="F345" s="4">
        <v>18</v>
      </c>
      <c r="G345" s="4">
        <v>240</v>
      </c>
      <c r="H345" s="4">
        <v>10</v>
      </c>
      <c r="I345" s="7">
        <v>46155</v>
      </c>
      <c r="J345" s="7">
        <v>46156</v>
      </c>
      <c r="K345" s="4" t="s">
        <v>80</v>
      </c>
      <c r="L345" s="16">
        <f>F345*G345*(1-H345/100)</f>
        <v>3888</v>
      </c>
      <c r="M345" s="4" t="str" cm="1">
        <f t="array" ref="M345">_xlfn.IFS(L345&gt;=100000, "Excellent", L345&gt;=50000, "Very Good", L345&gt;=20000, "Good", L345&lt;20000, "Average")</f>
        <v>Average</v>
      </c>
    </row>
    <row r="346" spans="1:13" x14ac:dyDescent="0.3">
      <c r="A346" s="9">
        <v>1345</v>
      </c>
      <c r="B346" s="9" t="s">
        <v>32</v>
      </c>
      <c r="C346" s="4" t="s">
        <v>19</v>
      </c>
      <c r="D346" s="4" t="s">
        <v>34</v>
      </c>
      <c r="E346" s="4" t="s">
        <v>6</v>
      </c>
      <c r="F346" s="4">
        <v>12</v>
      </c>
      <c r="G346" s="4">
        <v>50544</v>
      </c>
      <c r="H346" s="4">
        <v>10</v>
      </c>
      <c r="I346" s="7">
        <v>46095</v>
      </c>
      <c r="J346" s="7">
        <v>46097</v>
      </c>
      <c r="K346" s="4" t="s">
        <v>49</v>
      </c>
      <c r="L346" s="16">
        <f>F346*G346*(1-H346/100)</f>
        <v>545875.20000000007</v>
      </c>
      <c r="M346" s="4" t="str" cm="1">
        <f t="array" ref="M346">_xlfn.IFS(L346&gt;=100000, "Excellent", L346&gt;=50000, "Very Good", L346&gt;=20000, "Good", L346&lt;20000, "Average")</f>
        <v>Excellent</v>
      </c>
    </row>
    <row r="347" spans="1:13" x14ac:dyDescent="0.3">
      <c r="A347" s="9">
        <v>1346</v>
      </c>
      <c r="B347" s="9" t="s">
        <v>32</v>
      </c>
      <c r="C347" s="4" t="s">
        <v>26</v>
      </c>
      <c r="D347" s="4" t="s">
        <v>24</v>
      </c>
      <c r="E347" s="4" t="s">
        <v>7</v>
      </c>
      <c r="F347" s="4">
        <v>16</v>
      </c>
      <c r="G347" s="4">
        <v>6910</v>
      </c>
      <c r="H347" s="4">
        <v>15</v>
      </c>
      <c r="I347" s="7">
        <v>46140</v>
      </c>
      <c r="J347" s="7">
        <v>46142</v>
      </c>
      <c r="K347" s="4" t="s">
        <v>49</v>
      </c>
      <c r="L347" s="16">
        <f>F347*G347*(1-H347/100)</f>
        <v>93976</v>
      </c>
      <c r="M347" s="4" t="str" cm="1">
        <f t="array" ref="M347">_xlfn.IFS(L347&gt;=100000, "Excellent", L347&gt;=50000, "Very Good", L347&gt;=20000, "Good", L347&lt;20000, "Average")</f>
        <v>Very Good</v>
      </c>
    </row>
    <row r="348" spans="1:13" x14ac:dyDescent="0.3">
      <c r="A348" s="9">
        <v>1347</v>
      </c>
      <c r="B348" s="9" t="s">
        <v>49</v>
      </c>
      <c r="C348" s="4" t="s">
        <v>26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7">
        <v>46037</v>
      </c>
      <c r="J348" s="7">
        <v>46044</v>
      </c>
      <c r="K348" s="4" t="s">
        <v>80</v>
      </c>
      <c r="L348" s="16">
        <f>F348*G348*(1-H348/100)</f>
        <v>82062.399999999994</v>
      </c>
      <c r="M348" s="4" t="str" cm="1">
        <f t="array" ref="M348">_xlfn.IFS(L348&gt;=100000, "Excellent", L348&gt;=50000, "Very Good", L348&gt;=20000, "Good", L348&lt;20000, "Average")</f>
        <v>Very Good</v>
      </c>
    </row>
    <row r="349" spans="1:13" x14ac:dyDescent="0.3">
      <c r="A349" s="9">
        <v>1348</v>
      </c>
      <c r="B349" s="9" t="s">
        <v>18</v>
      </c>
      <c r="C349" s="4" t="s">
        <v>33</v>
      </c>
      <c r="D349" s="4" t="s">
        <v>20</v>
      </c>
      <c r="E349" s="4" t="s">
        <v>48</v>
      </c>
      <c r="F349" s="4">
        <v>12</v>
      </c>
      <c r="G349" s="4">
        <v>244</v>
      </c>
      <c r="H349" s="4">
        <v>7</v>
      </c>
      <c r="I349" s="7">
        <v>46048</v>
      </c>
      <c r="J349" s="7">
        <v>46053</v>
      </c>
      <c r="K349" s="4" t="s">
        <v>78</v>
      </c>
      <c r="L349" s="16">
        <f>F349*G349*(1-H349/100)</f>
        <v>2723.04</v>
      </c>
      <c r="M349" s="4" t="str" cm="1">
        <f t="array" ref="M349">_xlfn.IFS(L349&gt;=100000, "Excellent", L349&gt;=50000, "Very Good", L349&gt;=20000, "Good", L349&lt;20000, "Average")</f>
        <v>Average</v>
      </c>
    </row>
    <row r="350" spans="1:13" x14ac:dyDescent="0.3">
      <c r="A350" s="9">
        <v>1349</v>
      </c>
      <c r="B350" s="9" t="s">
        <v>39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7">
        <v>46079</v>
      </c>
      <c r="J350" s="7">
        <v>46083</v>
      </c>
      <c r="K350" s="4" t="s">
        <v>79</v>
      </c>
      <c r="L350" s="16">
        <f>F350*G350*(1-H350/100)</f>
        <v>1166610.5999999999</v>
      </c>
      <c r="M350" s="4" t="str" cm="1">
        <f t="array" ref="M350">_xlfn.IFS(L350&gt;=100000, "Excellent", L350&gt;=50000, "Very Good", L350&gt;=20000, "Good", L350&lt;20000, "Average")</f>
        <v>Excellent</v>
      </c>
    </row>
    <row r="351" spans="1:13" x14ac:dyDescent="0.3">
      <c r="A351" s="9">
        <v>1350</v>
      </c>
      <c r="B351" s="9" t="s">
        <v>28</v>
      </c>
      <c r="C351" s="4" t="s">
        <v>42</v>
      </c>
      <c r="D351" s="4" t="s">
        <v>24</v>
      </c>
      <c r="E351" s="4" t="s">
        <v>8</v>
      </c>
      <c r="F351" s="4">
        <v>16</v>
      </c>
      <c r="G351" s="4">
        <v>11790</v>
      </c>
      <c r="H351" s="4">
        <v>12</v>
      </c>
      <c r="I351" s="7">
        <v>46185</v>
      </c>
      <c r="J351" s="7">
        <v>46190</v>
      </c>
      <c r="K351" s="4" t="s">
        <v>49</v>
      </c>
      <c r="L351" s="16">
        <f>F351*G351*(1-H351/100)</f>
        <v>166003.20000000001</v>
      </c>
      <c r="M351" s="4" t="str" cm="1">
        <f t="array" ref="M351">_xlfn.IFS(L351&gt;=100000, "Excellent", L351&gt;=50000, "Very Good", L351&gt;=20000, "Good", L351&lt;20000, "Average")</f>
        <v>Excellent</v>
      </c>
    </row>
    <row r="352" spans="1:13" x14ac:dyDescent="0.3">
      <c r="A352" s="9">
        <v>1351</v>
      </c>
      <c r="B352" s="9" t="s">
        <v>41</v>
      </c>
      <c r="C352" s="4" t="s">
        <v>33</v>
      </c>
      <c r="D352" s="4" t="s">
        <v>34</v>
      </c>
      <c r="E352" s="4" t="s">
        <v>6</v>
      </c>
      <c r="F352" s="4">
        <v>12</v>
      </c>
      <c r="G352" s="4">
        <v>1272</v>
      </c>
      <c r="H352" s="4">
        <v>0</v>
      </c>
      <c r="I352" s="7">
        <v>46026</v>
      </c>
      <c r="J352" s="7">
        <v>46029</v>
      </c>
      <c r="K352" s="4" t="s">
        <v>78</v>
      </c>
      <c r="L352" s="16">
        <f>F352*G352*(1-H352/100)</f>
        <v>15264</v>
      </c>
      <c r="M352" s="4" t="str" cm="1">
        <f t="array" ref="M352">_xlfn.IFS(L352&gt;=100000, "Excellent", L352&gt;=50000, "Very Good", L352&gt;=20000, "Good", L352&lt;20000, "Average")</f>
        <v>Average</v>
      </c>
    </row>
    <row r="353" spans="1:13" x14ac:dyDescent="0.3">
      <c r="A353" s="9">
        <v>1352</v>
      </c>
      <c r="B353" s="9" t="s">
        <v>52</v>
      </c>
      <c r="C353" s="4" t="s">
        <v>26</v>
      </c>
      <c r="D353" s="4" t="s">
        <v>20</v>
      </c>
      <c r="E353" s="4" t="s">
        <v>21</v>
      </c>
      <c r="F353" s="4">
        <v>12</v>
      </c>
      <c r="G353" s="4">
        <v>203</v>
      </c>
      <c r="H353" s="4">
        <v>5</v>
      </c>
      <c r="I353" s="7">
        <v>46024</v>
      </c>
      <c r="J353" s="7">
        <v>46033</v>
      </c>
      <c r="K353" s="4" t="s">
        <v>78</v>
      </c>
      <c r="L353" s="16">
        <f>F353*G353*(1-H353/100)</f>
        <v>2314.1999999999998</v>
      </c>
      <c r="M353" s="4" t="str" cm="1">
        <f t="array" ref="M353">_xlfn.IFS(L353&gt;=100000, "Excellent", L353&gt;=50000, "Very Good", L353&gt;=20000, "Good", L353&lt;20000, "Average")</f>
        <v>Average</v>
      </c>
    </row>
    <row r="354" spans="1:13" x14ac:dyDescent="0.3">
      <c r="A354" s="9">
        <v>1353</v>
      </c>
      <c r="B354" s="9" t="s">
        <v>45</v>
      </c>
      <c r="C354" s="4" t="s">
        <v>42</v>
      </c>
      <c r="D354" s="4" t="s">
        <v>20</v>
      </c>
      <c r="E354" s="4" t="s">
        <v>21</v>
      </c>
      <c r="F354" s="4">
        <v>6</v>
      </c>
      <c r="G354" s="4">
        <v>495</v>
      </c>
      <c r="H354" s="4">
        <v>2</v>
      </c>
      <c r="I354" s="7">
        <v>46194</v>
      </c>
      <c r="J354" s="7">
        <v>46200</v>
      </c>
      <c r="K354" s="4" t="s">
        <v>80</v>
      </c>
      <c r="L354" s="16">
        <f>F354*G354*(1-H354/100)</f>
        <v>2910.6</v>
      </c>
      <c r="M354" s="4" t="str" cm="1">
        <f t="array" ref="M354">_xlfn.IFS(L354&gt;=100000, "Excellent", L354&gt;=50000, "Very Good", L354&gt;=20000, "Good", L354&lt;20000, "Average")</f>
        <v>Average</v>
      </c>
    </row>
    <row r="355" spans="1:13" x14ac:dyDescent="0.3">
      <c r="A355" s="9">
        <v>1354</v>
      </c>
      <c r="B355" s="9" t="s">
        <v>45</v>
      </c>
      <c r="C355" s="4" t="s">
        <v>42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7">
        <v>46118</v>
      </c>
      <c r="J355" s="7">
        <v>46120</v>
      </c>
      <c r="K355" s="4" t="s">
        <v>81</v>
      </c>
      <c r="L355" s="16">
        <f>F355*G355*(1-H355/100)</f>
        <v>190319.25</v>
      </c>
      <c r="M355" s="4" t="str" cm="1">
        <f t="array" ref="M355">_xlfn.IFS(L355&gt;=100000, "Excellent", L355&gt;=50000, "Very Good", L355&gt;=20000, "Good", L355&lt;20000, "Average")</f>
        <v>Excellent</v>
      </c>
    </row>
    <row r="356" spans="1:13" x14ac:dyDescent="0.3">
      <c r="A356" s="9">
        <v>1355</v>
      </c>
      <c r="B356" s="9" t="s">
        <v>29</v>
      </c>
      <c r="C356" s="4" t="s">
        <v>19</v>
      </c>
      <c r="D356" s="4" t="s">
        <v>34</v>
      </c>
      <c r="E356" s="4" t="s">
        <v>9</v>
      </c>
      <c r="F356" s="4">
        <v>18</v>
      </c>
      <c r="G356" s="4">
        <v>35997</v>
      </c>
      <c r="H356" s="4">
        <v>2</v>
      </c>
      <c r="I356" s="7">
        <v>46024</v>
      </c>
      <c r="J356" s="7">
        <v>46031</v>
      </c>
      <c r="K356" s="4" t="s">
        <v>81</v>
      </c>
      <c r="L356" s="16">
        <f>F356*G356*(1-H356/100)</f>
        <v>634987.07999999996</v>
      </c>
      <c r="M356" s="4" t="str" cm="1">
        <f t="array" ref="M356">_xlfn.IFS(L356&gt;=100000, "Excellent", L356&gt;=50000, "Very Good", L356&gt;=20000, "Good", L356&lt;20000, "Average")</f>
        <v>Excellent</v>
      </c>
    </row>
    <row r="357" spans="1:13" x14ac:dyDescent="0.3">
      <c r="A357" s="9">
        <v>1356</v>
      </c>
      <c r="B357" s="9" t="s">
        <v>28</v>
      </c>
      <c r="C357" s="4" t="s">
        <v>38</v>
      </c>
      <c r="D357" s="4" t="s">
        <v>34</v>
      </c>
      <c r="E357" s="4" t="s">
        <v>9</v>
      </c>
      <c r="F357" s="4">
        <v>16</v>
      </c>
      <c r="G357" s="4">
        <v>53457</v>
      </c>
      <c r="H357" s="4">
        <v>10</v>
      </c>
      <c r="I357" s="7">
        <v>46201</v>
      </c>
      <c r="J357" s="7">
        <v>46204</v>
      </c>
      <c r="K357" s="4" t="s">
        <v>78</v>
      </c>
      <c r="L357" s="16">
        <f>F357*G357*(1-H357/100)</f>
        <v>769780.8</v>
      </c>
      <c r="M357" s="4" t="str" cm="1">
        <f t="array" ref="M357">_xlfn.IFS(L357&gt;=100000, "Excellent", L357&gt;=50000, "Very Good", L357&gt;=20000, "Good", L357&lt;20000, "Average")</f>
        <v>Excellent</v>
      </c>
    </row>
    <row r="358" spans="1:13" x14ac:dyDescent="0.3">
      <c r="A358" s="9">
        <v>1357</v>
      </c>
      <c r="B358" s="9" t="s">
        <v>56</v>
      </c>
      <c r="C358" s="4" t="s">
        <v>27</v>
      </c>
      <c r="D358" s="4" t="s">
        <v>20</v>
      </c>
      <c r="E358" s="4" t="s">
        <v>37</v>
      </c>
      <c r="F358" s="4">
        <v>6</v>
      </c>
      <c r="G358" s="4">
        <v>365</v>
      </c>
      <c r="H358" s="4">
        <v>7</v>
      </c>
      <c r="I358" s="7">
        <v>46133</v>
      </c>
      <c r="J358" s="7">
        <v>46140</v>
      </c>
      <c r="K358" s="4" t="s">
        <v>81</v>
      </c>
      <c r="L358" s="16">
        <f>F358*G358*(1-H358/100)</f>
        <v>2036.6999999999998</v>
      </c>
      <c r="M358" s="4" t="str" cm="1">
        <f t="array" ref="M358">_xlfn.IFS(L358&gt;=100000, "Excellent", L358&gt;=50000, "Very Good", L358&gt;=20000, "Good", L358&lt;20000, "Average")</f>
        <v>Average</v>
      </c>
    </row>
    <row r="359" spans="1:13" x14ac:dyDescent="0.3">
      <c r="A359" s="9">
        <v>1358</v>
      </c>
      <c r="B359" s="9" t="s">
        <v>39</v>
      </c>
      <c r="C359" s="4" t="s">
        <v>38</v>
      </c>
      <c r="D359" s="4" t="s">
        <v>24</v>
      </c>
      <c r="E359" s="4" t="s">
        <v>7</v>
      </c>
      <c r="F359" s="4">
        <v>7</v>
      </c>
      <c r="G359" s="4">
        <v>6618</v>
      </c>
      <c r="H359" s="4">
        <v>0</v>
      </c>
      <c r="I359" s="7">
        <v>46127</v>
      </c>
      <c r="J359" s="7">
        <v>46129</v>
      </c>
      <c r="K359" s="4" t="s">
        <v>79</v>
      </c>
      <c r="L359" s="16">
        <f>F359*G359*(1-H359/100)</f>
        <v>46326</v>
      </c>
      <c r="M359" s="4" t="str" cm="1">
        <f t="array" ref="M359">_xlfn.IFS(L359&gt;=100000, "Excellent", L359&gt;=50000, "Very Good", L359&gt;=20000, "Good", L359&lt;20000, "Average")</f>
        <v>Good</v>
      </c>
    </row>
    <row r="360" spans="1:13" x14ac:dyDescent="0.3">
      <c r="A360" s="9">
        <v>1359</v>
      </c>
      <c r="B360" s="9" t="s">
        <v>52</v>
      </c>
      <c r="C360" s="4" t="s">
        <v>19</v>
      </c>
      <c r="D360" s="4" t="s">
        <v>34</v>
      </c>
      <c r="E360" s="4" t="s">
        <v>12</v>
      </c>
      <c r="F360" s="4">
        <v>9</v>
      </c>
      <c r="G360" s="4">
        <v>38179</v>
      </c>
      <c r="H360" s="4">
        <v>0</v>
      </c>
      <c r="I360" s="7">
        <v>46096</v>
      </c>
      <c r="J360" s="7">
        <v>46099</v>
      </c>
      <c r="K360" s="4" t="s">
        <v>78</v>
      </c>
      <c r="L360" s="16">
        <f>F360*G360*(1-H360/100)</f>
        <v>343611</v>
      </c>
      <c r="M360" s="4" t="str" cm="1">
        <f t="array" ref="M360">_xlfn.IFS(L360&gt;=100000, "Excellent", L360&gt;=50000, "Very Good", L360&gt;=20000, "Good", L360&lt;20000, "Average")</f>
        <v>Excellent</v>
      </c>
    </row>
    <row r="361" spans="1:13" x14ac:dyDescent="0.3">
      <c r="A361" s="9">
        <v>1360</v>
      </c>
      <c r="B361" s="9" t="s">
        <v>18</v>
      </c>
      <c r="C361" s="4" t="s">
        <v>42</v>
      </c>
      <c r="D361" s="4" t="s">
        <v>24</v>
      </c>
      <c r="E361" s="4" t="s">
        <v>10</v>
      </c>
      <c r="F361" s="4">
        <v>19</v>
      </c>
      <c r="G361" s="4">
        <v>6681</v>
      </c>
      <c r="H361" s="4">
        <v>2</v>
      </c>
      <c r="I361" s="7">
        <v>46146</v>
      </c>
      <c r="J361" s="7">
        <v>46150</v>
      </c>
      <c r="K361" s="4" t="s">
        <v>78</v>
      </c>
      <c r="L361" s="16">
        <f>F361*G361*(1-H361/100)</f>
        <v>124400.22</v>
      </c>
      <c r="M361" s="4" t="str" cm="1">
        <f t="array" ref="M361">_xlfn.IFS(L361&gt;=100000, "Excellent", L361&gt;=50000, "Very Good", L361&gt;=20000, "Good", L361&lt;20000, "Average")</f>
        <v>Excellent</v>
      </c>
    </row>
    <row r="362" spans="1:13" x14ac:dyDescent="0.3">
      <c r="A362" s="9">
        <v>1361</v>
      </c>
      <c r="B362" s="9" t="s">
        <v>41</v>
      </c>
      <c r="C362" s="4" t="s">
        <v>23</v>
      </c>
      <c r="D362" s="4" t="s">
        <v>24</v>
      </c>
      <c r="E362" s="4" t="s">
        <v>10</v>
      </c>
      <c r="F362" s="4">
        <v>2</v>
      </c>
      <c r="G362" s="4">
        <v>1822</v>
      </c>
      <c r="H362" s="4">
        <v>5</v>
      </c>
      <c r="I362" s="7">
        <v>46141</v>
      </c>
      <c r="J362" s="7">
        <v>46145</v>
      </c>
      <c r="K362" s="4" t="s">
        <v>79</v>
      </c>
      <c r="L362" s="16">
        <f>F362*G362*(1-H362/100)</f>
        <v>3461.7999999999997</v>
      </c>
      <c r="M362" s="4" t="str" cm="1">
        <f t="array" ref="M362">_xlfn.IFS(L362&gt;=100000, "Excellent", L362&gt;=50000, "Very Good", L362&gt;=20000, "Good", L362&lt;20000, "Average")</f>
        <v>Average</v>
      </c>
    </row>
    <row r="363" spans="1:13" x14ac:dyDescent="0.3">
      <c r="A363" s="9">
        <v>1362</v>
      </c>
      <c r="B363" s="9" t="s">
        <v>22</v>
      </c>
      <c r="C363" s="4" t="s">
        <v>19</v>
      </c>
      <c r="D363" s="4" t="s">
        <v>24</v>
      </c>
      <c r="E363" s="4" t="s">
        <v>8</v>
      </c>
      <c r="F363" s="4">
        <v>1</v>
      </c>
      <c r="G363" s="4">
        <v>10474</v>
      </c>
      <c r="H363" s="4">
        <v>0</v>
      </c>
      <c r="I363" s="7">
        <v>46094</v>
      </c>
      <c r="J363" s="7">
        <v>46096</v>
      </c>
      <c r="K363" s="4" t="s">
        <v>49</v>
      </c>
      <c r="L363" s="16">
        <f>F363*G363*(1-H363/100)</f>
        <v>10474</v>
      </c>
      <c r="M363" s="4" t="str" cm="1">
        <f t="array" ref="M363">_xlfn.IFS(L363&gt;=100000, "Excellent", L363&gt;=50000, "Very Good", L363&gt;=20000, "Good", L363&lt;20000, "Average")</f>
        <v>Average</v>
      </c>
    </row>
    <row r="364" spans="1:13" x14ac:dyDescent="0.3">
      <c r="A364" s="9">
        <v>1363</v>
      </c>
      <c r="B364" s="9" t="s">
        <v>29</v>
      </c>
      <c r="C364" s="4" t="s">
        <v>27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7">
        <v>46122</v>
      </c>
      <c r="J364" s="7">
        <v>46128</v>
      </c>
      <c r="K364" s="4" t="s">
        <v>78</v>
      </c>
      <c r="L364" s="16">
        <f>F364*G364*(1-H364/100)</f>
        <v>317667</v>
      </c>
      <c r="M364" s="4" t="str" cm="1">
        <f t="array" ref="M364">_xlfn.IFS(L364&gt;=100000, "Excellent", L364&gt;=50000, "Very Good", L364&gt;=20000, "Good", L364&lt;20000, "Average")</f>
        <v>Excellent</v>
      </c>
    </row>
    <row r="365" spans="1:13" x14ac:dyDescent="0.3">
      <c r="A365" s="9">
        <v>1364</v>
      </c>
      <c r="B365" s="9" t="s">
        <v>30</v>
      </c>
      <c r="C365" s="4" t="s">
        <v>26</v>
      </c>
      <c r="D365" s="4" t="s">
        <v>24</v>
      </c>
      <c r="E365" s="4" t="s">
        <v>11</v>
      </c>
      <c r="F365" s="4">
        <v>16</v>
      </c>
      <c r="G365" s="4">
        <v>1744</v>
      </c>
      <c r="H365" s="4">
        <v>15</v>
      </c>
      <c r="I365" s="7">
        <v>46031</v>
      </c>
      <c r="J365" s="7">
        <v>46033</v>
      </c>
      <c r="K365" s="4" t="s">
        <v>81</v>
      </c>
      <c r="L365" s="16">
        <f>F365*G365*(1-H365/100)</f>
        <v>23718.399999999998</v>
      </c>
      <c r="M365" s="4" t="str" cm="1">
        <f t="array" ref="M365">_xlfn.IFS(L365&gt;=100000, "Excellent", L365&gt;=50000, "Very Good", L365&gt;=20000, "Good", L365&lt;20000, "Average")</f>
        <v>Good</v>
      </c>
    </row>
    <row r="366" spans="1:13" x14ac:dyDescent="0.3">
      <c r="A366" s="9">
        <v>1365</v>
      </c>
      <c r="B366" s="9" t="s">
        <v>44</v>
      </c>
      <c r="C366" s="4" t="s">
        <v>33</v>
      </c>
      <c r="D366" s="4" t="s">
        <v>20</v>
      </c>
      <c r="E366" s="4" t="s">
        <v>48</v>
      </c>
      <c r="F366" s="4">
        <v>17</v>
      </c>
      <c r="G366" s="4">
        <v>119</v>
      </c>
      <c r="H366" s="4">
        <v>7</v>
      </c>
      <c r="I366" s="7">
        <v>46070</v>
      </c>
      <c r="J366" s="7">
        <v>46072</v>
      </c>
      <c r="K366" s="4" t="s">
        <v>79</v>
      </c>
      <c r="L366" s="16">
        <f>F366*G366*(1-H366/100)</f>
        <v>1881.3899999999999</v>
      </c>
      <c r="M366" s="4" t="str" cm="1">
        <f t="array" ref="M366">_xlfn.IFS(L366&gt;=100000, "Excellent", L366&gt;=50000, "Very Good", L366&gt;=20000, "Good", L366&lt;20000, "Average")</f>
        <v>Average</v>
      </c>
    </row>
    <row r="367" spans="1:13" x14ac:dyDescent="0.3">
      <c r="A367" s="9">
        <v>1366</v>
      </c>
      <c r="B367" s="9" t="s">
        <v>28</v>
      </c>
      <c r="C367" s="4" t="s">
        <v>23</v>
      </c>
      <c r="D367" s="4" t="s">
        <v>34</v>
      </c>
      <c r="E367" s="4" t="s">
        <v>12</v>
      </c>
      <c r="F367" s="4">
        <v>20</v>
      </c>
      <c r="G367" s="4">
        <v>44312</v>
      </c>
      <c r="H367" s="4">
        <v>10</v>
      </c>
      <c r="I367" s="7">
        <v>46047</v>
      </c>
      <c r="J367" s="7">
        <v>46054</v>
      </c>
      <c r="K367" s="4" t="s">
        <v>49</v>
      </c>
      <c r="L367" s="16">
        <f>F367*G367*(1-H367/100)</f>
        <v>797616</v>
      </c>
      <c r="M367" s="4" t="str" cm="1">
        <f t="array" ref="M367">_xlfn.IFS(L367&gt;=100000, "Excellent", L367&gt;=50000, "Very Good", L367&gt;=20000, "Good", L367&lt;20000, "Average")</f>
        <v>Excellent</v>
      </c>
    </row>
    <row r="368" spans="1:13" x14ac:dyDescent="0.3">
      <c r="A368" s="9">
        <v>1367</v>
      </c>
      <c r="B368" s="9" t="s">
        <v>52</v>
      </c>
      <c r="C368" s="4" t="s">
        <v>27</v>
      </c>
      <c r="D368" s="4" t="s">
        <v>20</v>
      </c>
      <c r="E368" s="4" t="s">
        <v>51</v>
      </c>
      <c r="F368" s="4">
        <v>1</v>
      </c>
      <c r="G368" s="4">
        <v>371</v>
      </c>
      <c r="H368" s="4">
        <v>5</v>
      </c>
      <c r="I368" s="7">
        <v>46158</v>
      </c>
      <c r="J368" s="7">
        <v>46168</v>
      </c>
      <c r="K368" s="4" t="s">
        <v>49</v>
      </c>
      <c r="L368" s="16">
        <f>F368*G368*(1-H368/100)</f>
        <v>352.45</v>
      </c>
      <c r="M368" s="4" t="str" cm="1">
        <f t="array" ref="M368">_xlfn.IFS(L368&gt;=100000, "Excellent", L368&gt;=50000, "Very Good", L368&gt;=20000, "Good", L368&lt;20000, "Average")</f>
        <v>Average</v>
      </c>
    </row>
    <row r="369" spans="1:13" x14ac:dyDescent="0.3">
      <c r="A369" s="9">
        <v>1368</v>
      </c>
      <c r="B369" s="9" t="s">
        <v>53</v>
      </c>
      <c r="C369" s="4" t="s">
        <v>38</v>
      </c>
      <c r="D369" s="4" t="s">
        <v>20</v>
      </c>
      <c r="E369" s="4" t="s">
        <v>36</v>
      </c>
      <c r="F369" s="4">
        <v>9</v>
      </c>
      <c r="G369" s="4">
        <v>115</v>
      </c>
      <c r="H369" s="4">
        <v>0</v>
      </c>
      <c r="I369" s="7">
        <v>46036</v>
      </c>
      <c r="J369" s="7">
        <v>46045</v>
      </c>
      <c r="K369" s="4" t="s">
        <v>80</v>
      </c>
      <c r="L369" s="16">
        <f>F369*G369*(1-H369/100)</f>
        <v>1035</v>
      </c>
      <c r="M369" s="4" t="str" cm="1">
        <f t="array" ref="M369">_xlfn.IFS(L369&gt;=100000, "Excellent", L369&gt;=50000, "Very Good", L369&gt;=20000, "Good", L369&lt;20000, "Average")</f>
        <v>Average</v>
      </c>
    </row>
    <row r="370" spans="1:13" x14ac:dyDescent="0.3">
      <c r="A370" s="9">
        <v>1369</v>
      </c>
      <c r="B370" s="9" t="s">
        <v>54</v>
      </c>
      <c r="C370" s="4" t="s">
        <v>27</v>
      </c>
      <c r="D370" s="4" t="s">
        <v>24</v>
      </c>
      <c r="E370" s="4" t="s">
        <v>7</v>
      </c>
      <c r="F370" s="4">
        <v>19</v>
      </c>
      <c r="G370" s="4">
        <v>5840</v>
      </c>
      <c r="H370" s="4">
        <v>5</v>
      </c>
      <c r="I370" s="7">
        <v>46062</v>
      </c>
      <c r="J370" s="7">
        <v>46067</v>
      </c>
      <c r="K370" s="4" t="s">
        <v>78</v>
      </c>
      <c r="L370" s="16">
        <f>F370*G370*(1-H370/100)</f>
        <v>105412</v>
      </c>
      <c r="M370" s="4" t="str" cm="1">
        <f t="array" ref="M370">_xlfn.IFS(L370&gt;=100000, "Excellent", L370&gt;=50000, "Very Good", L370&gt;=20000, "Good", L370&lt;20000, "Average")</f>
        <v>Excellent</v>
      </c>
    </row>
    <row r="371" spans="1:13" x14ac:dyDescent="0.3">
      <c r="A371" s="9">
        <v>1370</v>
      </c>
      <c r="B371" s="9" t="s">
        <v>56</v>
      </c>
      <c r="C371" s="4" t="s">
        <v>38</v>
      </c>
      <c r="D371" s="4" t="s">
        <v>20</v>
      </c>
      <c r="E371" s="4" t="s">
        <v>51</v>
      </c>
      <c r="F371" s="4">
        <v>13</v>
      </c>
      <c r="G371" s="4">
        <v>337</v>
      </c>
      <c r="H371" s="4">
        <v>7</v>
      </c>
      <c r="I371" s="7">
        <v>46184</v>
      </c>
      <c r="J371" s="7">
        <v>46188</v>
      </c>
      <c r="K371" s="4" t="s">
        <v>78</v>
      </c>
      <c r="L371" s="16">
        <f>F371*G371*(1-H371/100)</f>
        <v>4074.33</v>
      </c>
      <c r="M371" s="4" t="str" cm="1">
        <f t="array" ref="M371">_xlfn.IFS(L371&gt;=100000, "Excellent", L371&gt;=50000, "Very Good", L371&gt;=20000, "Good", L371&lt;20000, "Average")</f>
        <v>Average</v>
      </c>
    </row>
    <row r="372" spans="1:13" x14ac:dyDescent="0.3">
      <c r="A372" s="9">
        <v>1371</v>
      </c>
      <c r="B372" s="9" t="s">
        <v>46</v>
      </c>
      <c r="C372" s="4" t="s">
        <v>38</v>
      </c>
      <c r="D372" s="4" t="s">
        <v>24</v>
      </c>
      <c r="E372" s="4" t="s">
        <v>7</v>
      </c>
      <c r="F372" s="4">
        <v>19</v>
      </c>
      <c r="G372" s="4">
        <v>1087</v>
      </c>
      <c r="H372" s="4">
        <v>15</v>
      </c>
      <c r="I372" s="7">
        <v>46072</v>
      </c>
      <c r="J372" s="7">
        <v>46082</v>
      </c>
      <c r="K372" s="4" t="s">
        <v>79</v>
      </c>
      <c r="L372" s="16">
        <f>F372*G372*(1-H372/100)</f>
        <v>17555.05</v>
      </c>
      <c r="M372" s="4" t="str" cm="1">
        <f t="array" ref="M372">_xlfn.IFS(L372&gt;=100000, "Excellent", L372&gt;=50000, "Very Good", L372&gt;=20000, "Good", L372&lt;20000, "Average")</f>
        <v>Average</v>
      </c>
    </row>
    <row r="373" spans="1:13" x14ac:dyDescent="0.3">
      <c r="A373" s="9">
        <v>1372</v>
      </c>
      <c r="B373" s="9" t="s">
        <v>46</v>
      </c>
      <c r="C373" s="4" t="s">
        <v>23</v>
      </c>
      <c r="D373" s="4" t="s">
        <v>34</v>
      </c>
      <c r="E373" s="4" t="s">
        <v>5</v>
      </c>
      <c r="F373" s="4">
        <v>9</v>
      </c>
      <c r="G373" s="4">
        <v>9551</v>
      </c>
      <c r="H373" s="4">
        <v>10</v>
      </c>
      <c r="I373" s="7">
        <v>46161</v>
      </c>
      <c r="J373" s="7">
        <v>46168</v>
      </c>
      <c r="K373" s="4" t="s">
        <v>78</v>
      </c>
      <c r="L373" s="16">
        <f>F373*G373*(1-H373/100)</f>
        <v>77363.100000000006</v>
      </c>
      <c r="M373" s="4" t="str" cm="1">
        <f t="array" ref="M373">_xlfn.IFS(L373&gt;=100000, "Excellent", L373&gt;=50000, "Very Good", L373&gt;=20000, "Good", L373&lt;20000, "Average")</f>
        <v>Very Good</v>
      </c>
    </row>
    <row r="374" spans="1:13" x14ac:dyDescent="0.3">
      <c r="A374" s="9">
        <v>1373</v>
      </c>
      <c r="B374" s="9" t="s">
        <v>52</v>
      </c>
      <c r="C374" s="4" t="s">
        <v>27</v>
      </c>
      <c r="D374" s="4" t="s">
        <v>34</v>
      </c>
      <c r="E374" s="4" t="s">
        <v>9</v>
      </c>
      <c r="F374" s="4">
        <v>11</v>
      </c>
      <c r="G374" s="4">
        <v>47930</v>
      </c>
      <c r="H374" s="4">
        <v>12</v>
      </c>
      <c r="I374" s="7">
        <v>46191</v>
      </c>
      <c r="J374" s="7">
        <v>46201</v>
      </c>
      <c r="K374" s="4" t="s">
        <v>79</v>
      </c>
      <c r="L374" s="16">
        <f>F374*G374*(1-H374/100)</f>
        <v>463962.4</v>
      </c>
      <c r="M374" s="4" t="str" cm="1">
        <f t="array" ref="M374">_xlfn.IFS(L374&gt;=100000, "Excellent", L374&gt;=50000, "Very Good", L374&gt;=20000, "Good", L374&lt;20000, "Average")</f>
        <v>Excellent</v>
      </c>
    </row>
    <row r="375" spans="1:13" x14ac:dyDescent="0.3">
      <c r="A375" s="9">
        <v>1374</v>
      </c>
      <c r="B375" s="9" t="s">
        <v>54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7">
        <v>46063</v>
      </c>
      <c r="J375" s="7">
        <v>46066</v>
      </c>
      <c r="K375" s="4" t="s">
        <v>81</v>
      </c>
      <c r="L375" s="16">
        <f>F375*G375*(1-H375/100)</f>
        <v>776771.52</v>
      </c>
      <c r="M375" s="4" t="str" cm="1">
        <f t="array" ref="M375">_xlfn.IFS(L375&gt;=100000, "Excellent", L375&gt;=50000, "Very Good", L375&gt;=20000, "Good", L375&lt;20000, "Average")</f>
        <v>Excellent</v>
      </c>
    </row>
    <row r="376" spans="1:13" x14ac:dyDescent="0.3">
      <c r="A376" s="9">
        <v>1375</v>
      </c>
      <c r="B376" s="9" t="s">
        <v>44</v>
      </c>
      <c r="C376" s="4" t="s">
        <v>42</v>
      </c>
      <c r="D376" s="4" t="s">
        <v>34</v>
      </c>
      <c r="E376" s="4" t="s">
        <v>6</v>
      </c>
      <c r="F376" s="4">
        <v>20</v>
      </c>
      <c r="G376" s="4">
        <v>56766</v>
      </c>
      <c r="H376" s="4">
        <v>0</v>
      </c>
      <c r="I376" s="7">
        <v>46052</v>
      </c>
      <c r="J376" s="7">
        <v>46061</v>
      </c>
      <c r="K376" s="4" t="s">
        <v>80</v>
      </c>
      <c r="L376" s="16">
        <f>F376*G376*(1-H376/100)</f>
        <v>1135320</v>
      </c>
      <c r="M376" s="4" t="str" cm="1">
        <f t="array" ref="M376">_xlfn.IFS(L376&gt;=100000, "Excellent", L376&gt;=50000, "Very Good", L376&gt;=20000, "Good", L376&lt;20000, "Average")</f>
        <v>Excellent</v>
      </c>
    </row>
    <row r="377" spans="1:13" x14ac:dyDescent="0.3">
      <c r="A377" s="9">
        <v>1376</v>
      </c>
      <c r="B377" s="9" t="s">
        <v>50</v>
      </c>
      <c r="C377" s="4" t="s">
        <v>31</v>
      </c>
      <c r="D377" s="4" t="s">
        <v>20</v>
      </c>
      <c r="E377" s="4" t="s">
        <v>48</v>
      </c>
      <c r="F377" s="4">
        <v>20</v>
      </c>
      <c r="G377" s="4">
        <v>429</v>
      </c>
      <c r="H377" s="4">
        <v>5</v>
      </c>
      <c r="I377" s="7">
        <v>46178</v>
      </c>
      <c r="J377" s="7">
        <v>46184</v>
      </c>
      <c r="K377" s="4" t="s">
        <v>79</v>
      </c>
      <c r="L377" s="16">
        <f>F377*G377*(1-H377/100)</f>
        <v>8151</v>
      </c>
      <c r="M377" s="4" t="str" cm="1">
        <f t="array" ref="M377">_xlfn.IFS(L377&gt;=100000, "Excellent", L377&gt;=50000, "Very Good", L377&gt;=20000, "Good", L377&lt;20000, "Average")</f>
        <v>Average</v>
      </c>
    </row>
    <row r="378" spans="1:13" x14ac:dyDescent="0.3">
      <c r="A378" s="9">
        <v>1377</v>
      </c>
      <c r="B378" s="9" t="s">
        <v>32</v>
      </c>
      <c r="C378" s="4" t="s">
        <v>38</v>
      </c>
      <c r="D378" s="4" t="s">
        <v>24</v>
      </c>
      <c r="E378" s="4" t="s">
        <v>7</v>
      </c>
      <c r="F378" s="4">
        <v>3</v>
      </c>
      <c r="G378" s="4">
        <v>5480</v>
      </c>
      <c r="H378" s="4">
        <v>12</v>
      </c>
      <c r="I378" s="7">
        <v>46105</v>
      </c>
      <c r="J378" s="7">
        <v>46111</v>
      </c>
      <c r="K378" s="4" t="s">
        <v>80</v>
      </c>
      <c r="L378" s="16">
        <f>F378*G378*(1-H378/100)</f>
        <v>14467.2</v>
      </c>
      <c r="M378" s="4" t="str" cm="1">
        <f t="array" ref="M378">_xlfn.IFS(L378&gt;=100000, "Excellent", L378&gt;=50000, "Very Good", L378&gt;=20000, "Good", L378&lt;20000, "Average")</f>
        <v>Average</v>
      </c>
    </row>
    <row r="379" spans="1:13" x14ac:dyDescent="0.3">
      <c r="A379" s="9">
        <v>1378</v>
      </c>
      <c r="B379" s="9" t="s">
        <v>53</v>
      </c>
      <c r="C379" s="4" t="s">
        <v>26</v>
      </c>
      <c r="D379" s="4" t="s">
        <v>34</v>
      </c>
      <c r="E379" s="4" t="s">
        <v>6</v>
      </c>
      <c r="F379" s="4">
        <v>15</v>
      </c>
      <c r="G379" s="4">
        <v>22693</v>
      </c>
      <c r="H379" s="4">
        <v>12</v>
      </c>
      <c r="I379" s="7">
        <v>46074</v>
      </c>
      <c r="J379" s="7">
        <v>46080</v>
      </c>
      <c r="K379" s="4" t="s">
        <v>81</v>
      </c>
      <c r="L379" s="16">
        <f>F379*G379*(1-H379/100)</f>
        <v>299547.59999999998</v>
      </c>
      <c r="M379" s="4" t="str" cm="1">
        <f t="array" ref="M379">_xlfn.IFS(L379&gt;=100000, "Excellent", L379&gt;=50000, "Very Good", L379&gt;=20000, "Good", L379&lt;20000, "Average")</f>
        <v>Excellent</v>
      </c>
    </row>
    <row r="380" spans="1:13" x14ac:dyDescent="0.3">
      <c r="A380" s="9">
        <v>1379</v>
      </c>
      <c r="B380" s="9" t="s">
        <v>45</v>
      </c>
      <c r="C380" s="4" t="s">
        <v>23</v>
      </c>
      <c r="D380" s="4" t="s">
        <v>20</v>
      </c>
      <c r="E380" s="4" t="s">
        <v>21</v>
      </c>
      <c r="F380" s="4">
        <v>11</v>
      </c>
      <c r="G380" s="4">
        <v>136</v>
      </c>
      <c r="H380" s="4">
        <v>15</v>
      </c>
      <c r="I380" s="7">
        <v>46106</v>
      </c>
      <c r="J380" s="7">
        <v>46107</v>
      </c>
      <c r="K380" s="4" t="s">
        <v>79</v>
      </c>
      <c r="L380" s="16">
        <f>F380*G380*(1-H380/100)</f>
        <v>1271.5999999999999</v>
      </c>
      <c r="M380" s="4" t="str" cm="1">
        <f t="array" ref="M380">_xlfn.IFS(L380&gt;=100000, "Excellent", L380&gt;=50000, "Very Good", L380&gt;=20000, "Good", L380&lt;20000, "Average")</f>
        <v>Average</v>
      </c>
    </row>
    <row r="381" spans="1:13" x14ac:dyDescent="0.3">
      <c r="A381" s="9">
        <v>1380</v>
      </c>
      <c r="B381" s="9" t="s">
        <v>50</v>
      </c>
      <c r="C381" s="4" t="s">
        <v>42</v>
      </c>
      <c r="D381" s="4" t="s">
        <v>20</v>
      </c>
      <c r="E381" s="4" t="s">
        <v>51</v>
      </c>
      <c r="F381" s="4">
        <v>3</v>
      </c>
      <c r="G381" s="4">
        <v>412</v>
      </c>
      <c r="H381" s="4">
        <v>7</v>
      </c>
      <c r="I381" s="7">
        <v>46128</v>
      </c>
      <c r="J381" s="7">
        <v>46138</v>
      </c>
      <c r="K381" s="4" t="s">
        <v>80</v>
      </c>
      <c r="L381" s="16">
        <f>F381*G381*(1-H381/100)</f>
        <v>1149.48</v>
      </c>
      <c r="M381" s="4" t="str" cm="1">
        <f t="array" ref="M381">_xlfn.IFS(L381&gt;=100000, "Excellent", L381&gt;=50000, "Very Good", L381&gt;=20000, "Good", L381&lt;20000, "Average")</f>
        <v>Average</v>
      </c>
    </row>
    <row r="382" spans="1:13" x14ac:dyDescent="0.3">
      <c r="A382" s="9">
        <v>1381</v>
      </c>
      <c r="B382" s="9" t="s">
        <v>53</v>
      </c>
      <c r="C382" s="4" t="s">
        <v>33</v>
      </c>
      <c r="D382" s="4" t="s">
        <v>24</v>
      </c>
      <c r="E382" s="4" t="s">
        <v>8</v>
      </c>
      <c r="F382" s="4">
        <v>5</v>
      </c>
      <c r="G382" s="4">
        <v>7484</v>
      </c>
      <c r="H382" s="4">
        <v>2</v>
      </c>
      <c r="I382" s="7">
        <v>46089</v>
      </c>
      <c r="J382" s="7">
        <v>46093</v>
      </c>
      <c r="K382" s="4" t="s">
        <v>79</v>
      </c>
      <c r="L382" s="16">
        <f>F382*G382*(1-H382/100)</f>
        <v>36671.599999999999</v>
      </c>
      <c r="M382" s="4" t="str" cm="1">
        <f t="array" ref="M382">_xlfn.IFS(L382&gt;=100000, "Excellent", L382&gt;=50000, "Very Good", L382&gt;=20000, "Good", L382&lt;20000, "Average")</f>
        <v>Good</v>
      </c>
    </row>
    <row r="383" spans="1:13" x14ac:dyDescent="0.3">
      <c r="A383" s="9">
        <v>1382</v>
      </c>
      <c r="B383" s="9" t="s">
        <v>47</v>
      </c>
      <c r="C383" s="4" t="s">
        <v>33</v>
      </c>
      <c r="D383" s="4" t="s">
        <v>34</v>
      </c>
      <c r="E383" s="4" t="s">
        <v>9</v>
      </c>
      <c r="F383" s="4">
        <v>11</v>
      </c>
      <c r="G383" s="4">
        <v>36198</v>
      </c>
      <c r="H383" s="4">
        <v>0</v>
      </c>
      <c r="I383" s="7">
        <v>46130</v>
      </c>
      <c r="J383" s="7">
        <v>46134</v>
      </c>
      <c r="K383" s="4" t="s">
        <v>78</v>
      </c>
      <c r="L383" s="16">
        <f>F383*G383*(1-H383/100)</f>
        <v>398178</v>
      </c>
      <c r="M383" s="4" t="str" cm="1">
        <f t="array" ref="M383">_xlfn.IFS(L383&gt;=100000, "Excellent", L383&gt;=50000, "Very Good", L383&gt;=20000, "Good", L383&lt;20000, "Average")</f>
        <v>Excellent</v>
      </c>
    </row>
    <row r="384" spans="1:13" x14ac:dyDescent="0.3">
      <c r="A384" s="9">
        <v>1383</v>
      </c>
      <c r="B384" s="9" t="s">
        <v>32</v>
      </c>
      <c r="C384" s="4" t="s">
        <v>19</v>
      </c>
      <c r="D384" s="4" t="s">
        <v>20</v>
      </c>
      <c r="E384" s="4" t="s">
        <v>51</v>
      </c>
      <c r="F384" s="4">
        <v>14</v>
      </c>
      <c r="G384" s="4">
        <v>334</v>
      </c>
      <c r="H384" s="4">
        <v>10</v>
      </c>
      <c r="I384" s="7">
        <v>46196</v>
      </c>
      <c r="J384" s="7">
        <v>46203</v>
      </c>
      <c r="K384" s="4" t="s">
        <v>78</v>
      </c>
      <c r="L384" s="16">
        <f>F384*G384*(1-H384/100)</f>
        <v>4208.4000000000005</v>
      </c>
      <c r="M384" s="4" t="str" cm="1">
        <f t="array" ref="M384">_xlfn.IFS(L384&gt;=100000, "Excellent", L384&gt;=50000, "Very Good", L384&gt;=20000, "Good", L384&lt;20000, "Average")</f>
        <v>Average</v>
      </c>
    </row>
    <row r="385" spans="1:13" x14ac:dyDescent="0.3">
      <c r="A385" s="9">
        <v>1384</v>
      </c>
      <c r="B385" s="9" t="s">
        <v>56</v>
      </c>
      <c r="C385" s="4" t="s">
        <v>19</v>
      </c>
      <c r="D385" s="4" t="s">
        <v>34</v>
      </c>
      <c r="E385" s="4" t="s">
        <v>5</v>
      </c>
      <c r="F385" s="4">
        <v>15</v>
      </c>
      <c r="G385" s="4">
        <v>38116</v>
      </c>
      <c r="H385" s="4">
        <v>0</v>
      </c>
      <c r="I385" s="7">
        <v>46074</v>
      </c>
      <c r="J385" s="7">
        <v>46078</v>
      </c>
      <c r="K385" s="4" t="s">
        <v>49</v>
      </c>
      <c r="L385" s="16">
        <f>F385*G385*(1-H385/100)</f>
        <v>571740</v>
      </c>
      <c r="M385" s="4" t="str" cm="1">
        <f t="array" ref="M385">_xlfn.IFS(L385&gt;=100000, "Excellent", L385&gt;=50000, "Very Good", L385&gt;=20000, "Good", L385&lt;20000, "Average")</f>
        <v>Excellent</v>
      </c>
    </row>
    <row r="386" spans="1:13" x14ac:dyDescent="0.3">
      <c r="A386" s="9">
        <v>1385</v>
      </c>
      <c r="B386" s="9" t="s">
        <v>28</v>
      </c>
      <c r="C386" s="4" t="s">
        <v>33</v>
      </c>
      <c r="D386" s="4" t="s">
        <v>34</v>
      </c>
      <c r="E386" s="4" t="s">
        <v>5</v>
      </c>
      <c r="F386" s="4">
        <v>12</v>
      </c>
      <c r="G386" s="4">
        <v>61360</v>
      </c>
      <c r="H386" s="4">
        <v>10</v>
      </c>
      <c r="I386" s="7">
        <v>46048</v>
      </c>
      <c r="J386" s="7">
        <v>46053</v>
      </c>
      <c r="K386" s="4" t="s">
        <v>81</v>
      </c>
      <c r="L386" s="16">
        <f>F386*G386*(1-H386/100)</f>
        <v>662688</v>
      </c>
      <c r="M386" s="4" t="str" cm="1">
        <f t="array" ref="M386">_xlfn.IFS(L386&gt;=100000, "Excellent", L386&gt;=50000, "Very Good", L386&gt;=20000, "Good", L386&lt;20000, "Average")</f>
        <v>Excellent</v>
      </c>
    </row>
    <row r="387" spans="1:13" x14ac:dyDescent="0.3">
      <c r="A387" s="9">
        <v>1386</v>
      </c>
      <c r="B387" s="9" t="s">
        <v>29</v>
      </c>
      <c r="C387" s="4" t="s">
        <v>31</v>
      </c>
      <c r="D387" s="4" t="s">
        <v>24</v>
      </c>
      <c r="E387" s="4" t="s">
        <v>8</v>
      </c>
      <c r="F387" s="4">
        <v>9</v>
      </c>
      <c r="G387" s="4">
        <v>7509</v>
      </c>
      <c r="H387" s="4">
        <v>5</v>
      </c>
      <c r="I387" s="7">
        <v>46162</v>
      </c>
      <c r="J387" s="7">
        <v>46171</v>
      </c>
      <c r="K387" s="4" t="s">
        <v>81</v>
      </c>
      <c r="L387" s="16">
        <f>F387*G387*(1-H387/100)</f>
        <v>64201.95</v>
      </c>
      <c r="M387" s="4" t="str" cm="1">
        <f t="array" ref="M387">_xlfn.IFS(L387&gt;=100000, "Excellent", L387&gt;=50000, "Very Good", L387&gt;=20000, "Good", L387&lt;20000, "Average")</f>
        <v>Very Good</v>
      </c>
    </row>
    <row r="388" spans="1:13" x14ac:dyDescent="0.3">
      <c r="A388" s="9">
        <v>1387</v>
      </c>
      <c r="B388" s="9" t="s">
        <v>52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7">
        <v>46102</v>
      </c>
      <c r="J388" s="7">
        <v>46112</v>
      </c>
      <c r="K388" s="4" t="s">
        <v>80</v>
      </c>
      <c r="L388" s="16">
        <f>F388*G388*(1-H388/100)</f>
        <v>590581.75</v>
      </c>
      <c r="M388" s="4" t="str" cm="1">
        <f t="array" ref="M388">_xlfn.IFS(L388&gt;=100000, "Excellent", L388&gt;=50000, "Very Good", L388&gt;=20000, "Good", L388&lt;20000, "Average")</f>
        <v>Excellent</v>
      </c>
    </row>
    <row r="389" spans="1:13" x14ac:dyDescent="0.3">
      <c r="A389" s="9">
        <v>1388</v>
      </c>
      <c r="B389" s="9" t="s">
        <v>53</v>
      </c>
      <c r="C389" s="4" t="s">
        <v>31</v>
      </c>
      <c r="D389" s="4" t="s">
        <v>24</v>
      </c>
      <c r="E389" s="4" t="s">
        <v>8</v>
      </c>
      <c r="F389" s="4">
        <v>12</v>
      </c>
      <c r="G389" s="4">
        <v>11662</v>
      </c>
      <c r="H389" s="4">
        <v>12</v>
      </c>
      <c r="I389" s="7">
        <v>46094</v>
      </c>
      <c r="J389" s="7">
        <v>46096</v>
      </c>
      <c r="K389" s="4" t="s">
        <v>79</v>
      </c>
      <c r="L389" s="16">
        <f>F389*G389*(1-H389/100)</f>
        <v>123150.72</v>
      </c>
      <c r="M389" s="4" t="str" cm="1">
        <f t="array" ref="M389">_xlfn.IFS(L389&gt;=100000, "Excellent", L389&gt;=50000, "Very Good", L389&gt;=20000, "Good", L389&lt;20000, "Average")</f>
        <v>Excellent</v>
      </c>
    </row>
    <row r="390" spans="1:13" x14ac:dyDescent="0.3">
      <c r="A390" s="9">
        <v>1389</v>
      </c>
      <c r="B390" s="9" t="s">
        <v>32</v>
      </c>
      <c r="C390" s="4" t="s">
        <v>19</v>
      </c>
      <c r="D390" s="4" t="s">
        <v>34</v>
      </c>
      <c r="E390" s="4" t="s">
        <v>40</v>
      </c>
      <c r="F390" s="4">
        <v>3</v>
      </c>
      <c r="G390" s="4">
        <v>56380</v>
      </c>
      <c r="H390" s="4">
        <v>5</v>
      </c>
      <c r="I390" s="7">
        <v>46044</v>
      </c>
      <c r="J390" s="7">
        <v>46048</v>
      </c>
      <c r="K390" s="4" t="s">
        <v>81</v>
      </c>
      <c r="L390" s="16">
        <f>F390*G390*(1-H390/100)</f>
        <v>160683</v>
      </c>
      <c r="M390" s="4" t="str" cm="1">
        <f t="array" ref="M390">_xlfn.IFS(L390&gt;=100000, "Excellent", L390&gt;=50000, "Very Good", L390&gt;=20000, "Good", L390&lt;20000, "Average")</f>
        <v>Excellent</v>
      </c>
    </row>
    <row r="391" spans="1:13" x14ac:dyDescent="0.3">
      <c r="A391" s="9">
        <v>1390</v>
      </c>
      <c r="B391" s="9" t="s">
        <v>55</v>
      </c>
      <c r="C391" s="4" t="s">
        <v>42</v>
      </c>
      <c r="D391" s="4" t="s">
        <v>24</v>
      </c>
      <c r="E391" s="4" t="s">
        <v>7</v>
      </c>
      <c r="F391" s="4">
        <v>9</v>
      </c>
      <c r="G391" s="4">
        <v>7670</v>
      </c>
      <c r="H391" s="4">
        <v>0</v>
      </c>
      <c r="I391" s="7">
        <v>46076</v>
      </c>
      <c r="J391" s="7">
        <v>46081</v>
      </c>
      <c r="K391" s="4" t="s">
        <v>81</v>
      </c>
      <c r="L391" s="16">
        <f>F391*G391*(1-H391/100)</f>
        <v>69030</v>
      </c>
      <c r="M391" s="4" t="str" cm="1">
        <f t="array" ref="M391">_xlfn.IFS(L391&gt;=100000, "Excellent", L391&gt;=50000, "Very Good", L391&gt;=20000, "Good", L391&lt;20000, "Average")</f>
        <v>Very Good</v>
      </c>
    </row>
    <row r="392" spans="1:13" x14ac:dyDescent="0.3">
      <c r="A392" s="9">
        <v>1391</v>
      </c>
      <c r="B392" s="9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7">
        <v>46100</v>
      </c>
      <c r="J392" s="7">
        <v>46103</v>
      </c>
      <c r="K392" s="4" t="s">
        <v>80</v>
      </c>
      <c r="L392" s="16">
        <f>F392*G392*(1-H392/100)</f>
        <v>310032.5</v>
      </c>
      <c r="M392" s="4" t="str" cm="1">
        <f t="array" ref="M392">_xlfn.IFS(L392&gt;=100000, "Excellent", L392&gt;=50000, "Very Good", L392&gt;=20000, "Good", L392&lt;20000, "Average")</f>
        <v>Excellent</v>
      </c>
    </row>
    <row r="393" spans="1:13" x14ac:dyDescent="0.3">
      <c r="A393" s="9">
        <v>1392</v>
      </c>
      <c r="B393" s="9" t="s">
        <v>49</v>
      </c>
      <c r="C393" s="4" t="s">
        <v>42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7">
        <v>46124</v>
      </c>
      <c r="J393" s="7">
        <v>46125</v>
      </c>
      <c r="K393" s="4" t="s">
        <v>49</v>
      </c>
      <c r="L393" s="16">
        <f>F393*G393*(1-H393/100)</f>
        <v>295202.05</v>
      </c>
      <c r="M393" s="4" t="str" cm="1">
        <f t="array" ref="M393">_xlfn.IFS(L393&gt;=100000, "Excellent", L393&gt;=50000, "Very Good", L393&gt;=20000, "Good", L393&lt;20000, "Average")</f>
        <v>Excellent</v>
      </c>
    </row>
    <row r="394" spans="1:13" x14ac:dyDescent="0.3">
      <c r="A394" s="9">
        <v>1393</v>
      </c>
      <c r="B394" s="9" t="s">
        <v>30</v>
      </c>
      <c r="C394" s="4" t="s">
        <v>27</v>
      </c>
      <c r="D394" s="4" t="s">
        <v>34</v>
      </c>
      <c r="E394" s="4" t="s">
        <v>6</v>
      </c>
      <c r="F394" s="4">
        <v>17</v>
      </c>
      <c r="G394" s="4">
        <v>30351</v>
      </c>
      <c r="H394" s="4">
        <v>15</v>
      </c>
      <c r="I394" s="7">
        <v>46047</v>
      </c>
      <c r="J394" s="7">
        <v>46051</v>
      </c>
      <c r="K394" s="4" t="s">
        <v>81</v>
      </c>
      <c r="L394" s="16">
        <f>F394*G394*(1-H394/100)</f>
        <v>438571.95</v>
      </c>
      <c r="M394" s="4" t="str" cm="1">
        <f t="array" ref="M394">_xlfn.IFS(L394&gt;=100000, "Excellent", L394&gt;=50000, "Very Good", L394&gt;=20000, "Good", L394&lt;20000, "Average")</f>
        <v>Excellent</v>
      </c>
    </row>
    <row r="395" spans="1:13" x14ac:dyDescent="0.3">
      <c r="A395" s="9">
        <v>1394</v>
      </c>
      <c r="B395" s="9" t="s">
        <v>52</v>
      </c>
      <c r="C395" s="4" t="s">
        <v>19</v>
      </c>
      <c r="D395" s="4" t="s">
        <v>20</v>
      </c>
      <c r="E395" s="4" t="s">
        <v>21</v>
      </c>
      <c r="F395" s="4">
        <v>10</v>
      </c>
      <c r="G395" s="4">
        <v>138</v>
      </c>
      <c r="H395" s="4">
        <v>2</v>
      </c>
      <c r="I395" s="7">
        <v>46056</v>
      </c>
      <c r="J395" s="7">
        <v>46057</v>
      </c>
      <c r="K395" s="4" t="s">
        <v>78</v>
      </c>
      <c r="L395" s="16">
        <f>F395*G395*(1-H395/100)</f>
        <v>1352.3999999999999</v>
      </c>
      <c r="M395" s="4" t="str" cm="1">
        <f t="array" ref="M395">_xlfn.IFS(L395&gt;=100000, "Excellent", L395&gt;=50000, "Very Good", L395&gt;=20000, "Good", L395&lt;20000, "Average")</f>
        <v>Average</v>
      </c>
    </row>
    <row r="396" spans="1:13" x14ac:dyDescent="0.3">
      <c r="A396" s="9">
        <v>1395</v>
      </c>
      <c r="B396" s="9" t="s">
        <v>52</v>
      </c>
      <c r="C396" s="4" t="s">
        <v>33</v>
      </c>
      <c r="D396" s="4" t="s">
        <v>24</v>
      </c>
      <c r="E396" s="4" t="s">
        <v>43</v>
      </c>
      <c r="F396" s="4">
        <v>18</v>
      </c>
      <c r="G396" s="4">
        <v>10402</v>
      </c>
      <c r="H396" s="4">
        <v>15</v>
      </c>
      <c r="I396" s="7">
        <v>46062</v>
      </c>
      <c r="J396" s="7">
        <v>46067</v>
      </c>
      <c r="K396" s="4" t="s">
        <v>49</v>
      </c>
      <c r="L396" s="16">
        <f>F396*G396*(1-H396/100)</f>
        <v>159150.6</v>
      </c>
      <c r="M396" s="4" t="str" cm="1">
        <f t="array" ref="M396">_xlfn.IFS(L396&gt;=100000, "Excellent", L396&gt;=50000, "Very Good", L396&gt;=20000, "Good", L396&lt;20000, "Average")</f>
        <v>Excellent</v>
      </c>
    </row>
    <row r="397" spans="1:13" x14ac:dyDescent="0.3">
      <c r="A397" s="9">
        <v>1396</v>
      </c>
      <c r="B397" s="9" t="s">
        <v>25</v>
      </c>
      <c r="C397" s="4" t="s">
        <v>38</v>
      </c>
      <c r="D397" s="4" t="s">
        <v>20</v>
      </c>
      <c r="E397" s="4" t="s">
        <v>51</v>
      </c>
      <c r="F397" s="4">
        <v>8</v>
      </c>
      <c r="G397" s="4">
        <v>54</v>
      </c>
      <c r="H397" s="4">
        <v>15</v>
      </c>
      <c r="I397" s="7">
        <v>46031</v>
      </c>
      <c r="J397" s="7">
        <v>46035</v>
      </c>
      <c r="K397" s="4" t="s">
        <v>78</v>
      </c>
      <c r="L397" s="16">
        <f>F397*G397*(1-H397/100)</f>
        <v>367.2</v>
      </c>
      <c r="M397" s="4" t="str" cm="1">
        <f t="array" ref="M397">_xlfn.IFS(L397&gt;=100000, "Excellent", L397&gt;=50000, "Very Good", L397&gt;=20000, "Good", L397&lt;20000, "Average")</f>
        <v>Average</v>
      </c>
    </row>
    <row r="398" spans="1:13" x14ac:dyDescent="0.3">
      <c r="A398" s="9">
        <v>1397</v>
      </c>
      <c r="B398" s="9" t="s">
        <v>25</v>
      </c>
      <c r="C398" s="4" t="s">
        <v>33</v>
      </c>
      <c r="D398" s="4" t="s">
        <v>24</v>
      </c>
      <c r="E398" s="4" t="s">
        <v>10</v>
      </c>
      <c r="F398" s="4">
        <v>1</v>
      </c>
      <c r="G398" s="4">
        <v>8948</v>
      </c>
      <c r="H398" s="4">
        <v>5</v>
      </c>
      <c r="I398" s="7">
        <v>46194</v>
      </c>
      <c r="J398" s="7">
        <v>46201</v>
      </c>
      <c r="K398" s="4" t="s">
        <v>81</v>
      </c>
      <c r="L398" s="16">
        <f>F398*G398*(1-H398/100)</f>
        <v>8500.6</v>
      </c>
      <c r="M398" s="4" t="str" cm="1">
        <f t="array" ref="M398">_xlfn.IFS(L398&gt;=100000, "Excellent", L398&gt;=50000, "Very Good", L398&gt;=20000, "Good", L398&lt;20000, "Average")</f>
        <v>Average</v>
      </c>
    </row>
    <row r="399" spans="1:13" x14ac:dyDescent="0.3">
      <c r="A399" s="9">
        <v>1398</v>
      </c>
      <c r="B399" s="9" t="s">
        <v>55</v>
      </c>
      <c r="C399" s="4" t="s">
        <v>42</v>
      </c>
      <c r="D399" s="4" t="s">
        <v>34</v>
      </c>
      <c r="E399" s="4" t="s">
        <v>5</v>
      </c>
      <c r="F399" s="4">
        <v>12</v>
      </c>
      <c r="G399" s="4">
        <v>10668</v>
      </c>
      <c r="H399" s="4">
        <v>0</v>
      </c>
      <c r="I399" s="7">
        <v>46170</v>
      </c>
      <c r="J399" s="7">
        <v>46176</v>
      </c>
      <c r="K399" s="4" t="s">
        <v>78</v>
      </c>
      <c r="L399" s="16">
        <f>F399*G399*(1-H399/100)</f>
        <v>128016</v>
      </c>
      <c r="M399" s="4" t="str" cm="1">
        <f t="array" ref="M399">_xlfn.IFS(L399&gt;=100000, "Excellent", L399&gt;=50000, "Very Good", L399&gt;=20000, "Good", L399&lt;20000, "Average")</f>
        <v>Excellent</v>
      </c>
    </row>
    <row r="400" spans="1:13" x14ac:dyDescent="0.3">
      <c r="A400" s="9">
        <v>1399</v>
      </c>
      <c r="B400" s="9" t="s">
        <v>46</v>
      </c>
      <c r="C400" s="4" t="s">
        <v>31</v>
      </c>
      <c r="D400" s="4" t="s">
        <v>20</v>
      </c>
      <c r="E400" s="4" t="s">
        <v>21</v>
      </c>
      <c r="F400" s="4">
        <v>15</v>
      </c>
      <c r="G400" s="4">
        <v>87</v>
      </c>
      <c r="H400" s="4">
        <v>15</v>
      </c>
      <c r="I400" s="7">
        <v>46089</v>
      </c>
      <c r="J400" s="7">
        <v>46093</v>
      </c>
      <c r="K400" s="4" t="s">
        <v>79</v>
      </c>
      <c r="L400" s="16">
        <f>F400*G400*(1-H400/100)</f>
        <v>1109.25</v>
      </c>
      <c r="M400" s="4" t="str" cm="1">
        <f t="array" ref="M400">_xlfn.IFS(L400&gt;=100000, "Excellent", L400&gt;=50000, "Very Good", L400&gt;=20000, "Good", L400&lt;20000, "Average")</f>
        <v>Average</v>
      </c>
    </row>
    <row r="401" spans="1:13" x14ac:dyDescent="0.3">
      <c r="A401" s="9">
        <v>1400</v>
      </c>
      <c r="B401" s="9" t="s">
        <v>39</v>
      </c>
      <c r="C401" s="4" t="s">
        <v>26</v>
      </c>
      <c r="D401" s="4" t="s">
        <v>34</v>
      </c>
      <c r="E401" s="4" t="s">
        <v>35</v>
      </c>
      <c r="F401" s="4">
        <v>13</v>
      </c>
      <c r="G401" s="4">
        <v>52411</v>
      </c>
      <c r="H401" s="4">
        <v>15</v>
      </c>
      <c r="I401" s="7">
        <v>46090</v>
      </c>
      <c r="J401" s="7">
        <v>46092</v>
      </c>
      <c r="K401" s="4" t="s">
        <v>79</v>
      </c>
      <c r="L401" s="16">
        <f>F401*G401*(1-H401/100)</f>
        <v>579141.54999999993</v>
      </c>
      <c r="M401" s="4" t="str" cm="1">
        <f t="array" ref="M401">_xlfn.IFS(L401&gt;=100000, "Excellent", L401&gt;=50000, "Very Good", L401&gt;=20000, "Good", L401&lt;20000, "Average")</f>
        <v>Excellent</v>
      </c>
    </row>
  </sheetData>
  <sortState xmlns:xlrd2="http://schemas.microsoft.com/office/spreadsheetml/2017/richdata2" ref="A2:M401">
    <sortCondition ref="A2:A40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436C-242C-495C-98B5-14A4AC4C9BA4}">
  <dimension ref="A1:L401"/>
  <sheetViews>
    <sheetView workbookViewId="0">
      <pane ySplit="1" topLeftCell="A2" activePane="bottomLeft" state="frozen"/>
      <selection pane="bottomLeft" sqref="A1:L1"/>
    </sheetView>
  </sheetViews>
  <sheetFormatPr defaultRowHeight="14.4" x14ac:dyDescent="0.3"/>
  <cols>
    <col min="1" max="1" width="8.5546875" bestFit="1" customWidth="1"/>
    <col min="2" max="2" width="9.10937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.33203125" bestFit="1" customWidth="1"/>
    <col min="7" max="7" width="9.6640625" bestFit="1" customWidth="1"/>
    <col min="8" max="8" width="10.77734375" bestFit="1" customWidth="1"/>
    <col min="9" max="9" width="10.6640625" bestFit="1" customWidth="1"/>
    <col min="10" max="10" width="12.6640625" bestFit="1" customWidth="1"/>
    <col min="11" max="11" width="11" bestFit="1" customWidth="1"/>
    <col min="12" max="12" width="17.77734375" bestFit="1" customWidth="1"/>
  </cols>
  <sheetData>
    <row r="1" spans="1:12" x14ac:dyDescent="0.3">
      <c r="A1" s="11" t="s">
        <v>0</v>
      </c>
      <c r="B1" s="11" t="s">
        <v>13</v>
      </c>
      <c r="C1" s="10" t="s">
        <v>14</v>
      </c>
      <c r="D1" s="10" t="s">
        <v>15</v>
      </c>
      <c r="E1" s="10" t="s">
        <v>1</v>
      </c>
      <c r="F1" s="10" t="s">
        <v>4</v>
      </c>
      <c r="G1" s="10" t="s">
        <v>16</v>
      </c>
      <c r="H1" s="10" t="s">
        <v>17</v>
      </c>
      <c r="I1" s="10" t="s">
        <v>2</v>
      </c>
      <c r="J1" s="10" t="s">
        <v>3</v>
      </c>
      <c r="K1" s="13" t="s">
        <v>77</v>
      </c>
      <c r="L1" s="8" t="s">
        <v>67</v>
      </c>
    </row>
    <row r="2" spans="1:12" x14ac:dyDescent="0.3">
      <c r="A2" s="9">
        <v>1001</v>
      </c>
      <c r="B2" s="9" t="s">
        <v>18</v>
      </c>
      <c r="C2" s="4" t="s">
        <v>19</v>
      </c>
      <c r="D2" s="4" t="s">
        <v>20</v>
      </c>
      <c r="E2" s="4" t="s">
        <v>21</v>
      </c>
      <c r="F2" s="4">
        <v>3</v>
      </c>
      <c r="G2" s="4">
        <v>222</v>
      </c>
      <c r="H2" s="4">
        <v>15</v>
      </c>
      <c r="I2" s="7">
        <v>46081</v>
      </c>
      <c r="J2" s="7">
        <v>46083</v>
      </c>
      <c r="K2" s="4" t="s">
        <v>78</v>
      </c>
      <c r="L2" s="4" t="str">
        <f>_xlfn.CONCAT(B2, "-", E2)</f>
        <v>Ritesh-Notebook</v>
      </c>
    </row>
    <row r="3" spans="1:12" x14ac:dyDescent="0.3">
      <c r="A3" s="9">
        <v>1002</v>
      </c>
      <c r="B3" s="9" t="s">
        <v>22</v>
      </c>
      <c r="C3" s="4" t="s">
        <v>23</v>
      </c>
      <c r="D3" s="4" t="s">
        <v>24</v>
      </c>
      <c r="E3" s="4" t="s">
        <v>7</v>
      </c>
      <c r="F3" s="4">
        <v>7</v>
      </c>
      <c r="G3" s="4">
        <v>8448</v>
      </c>
      <c r="H3" s="4">
        <v>12</v>
      </c>
      <c r="I3" s="7">
        <v>46174</v>
      </c>
      <c r="J3" s="7">
        <v>46179</v>
      </c>
      <c r="K3" s="4" t="s">
        <v>79</v>
      </c>
      <c r="L3" s="4" t="str">
        <f t="shared" ref="L3:L66" si="0">_xlfn.CONCAT(B3, "-", E3)</f>
        <v>Pooja-Desk</v>
      </c>
    </row>
    <row r="4" spans="1:12" x14ac:dyDescent="0.3">
      <c r="A4" s="9">
        <v>1003</v>
      </c>
      <c r="B4" s="9" t="s">
        <v>25</v>
      </c>
      <c r="C4" s="4" t="s">
        <v>26</v>
      </c>
      <c r="D4" s="4" t="s">
        <v>24</v>
      </c>
      <c r="E4" s="4" t="s">
        <v>10</v>
      </c>
      <c r="F4" s="4">
        <v>20</v>
      </c>
      <c r="G4" s="4">
        <v>2123</v>
      </c>
      <c r="H4" s="4">
        <v>15</v>
      </c>
      <c r="I4" s="7">
        <v>46183</v>
      </c>
      <c r="J4" s="7">
        <v>46192</v>
      </c>
      <c r="K4" s="4" t="s">
        <v>80</v>
      </c>
      <c r="L4" s="4" t="str">
        <f t="shared" si="0"/>
        <v>Meera-Table</v>
      </c>
    </row>
    <row r="5" spans="1:12" x14ac:dyDescent="0.3">
      <c r="A5" s="9">
        <v>1004</v>
      </c>
      <c r="B5" s="9" t="s">
        <v>22</v>
      </c>
      <c r="C5" s="4" t="s">
        <v>27</v>
      </c>
      <c r="D5" s="4" t="s">
        <v>24</v>
      </c>
      <c r="E5" s="4" t="s">
        <v>10</v>
      </c>
      <c r="F5" s="4">
        <v>16</v>
      </c>
      <c r="G5" s="4">
        <v>11739</v>
      </c>
      <c r="H5" s="4">
        <v>12</v>
      </c>
      <c r="I5" s="7">
        <v>46034</v>
      </c>
      <c r="J5" s="7">
        <v>46040</v>
      </c>
      <c r="K5" s="4" t="s">
        <v>79</v>
      </c>
      <c r="L5" s="4" t="str">
        <f t="shared" si="0"/>
        <v>Pooja-Table</v>
      </c>
    </row>
    <row r="6" spans="1:12" x14ac:dyDescent="0.3">
      <c r="A6" s="9">
        <v>1005</v>
      </c>
      <c r="B6" s="9" t="s">
        <v>28</v>
      </c>
      <c r="C6" s="4" t="s">
        <v>23</v>
      </c>
      <c r="D6" s="4" t="s">
        <v>20</v>
      </c>
      <c r="E6" s="4" t="s">
        <v>21</v>
      </c>
      <c r="F6" s="4">
        <v>18</v>
      </c>
      <c r="G6" s="4">
        <v>70</v>
      </c>
      <c r="H6" s="4">
        <v>0</v>
      </c>
      <c r="I6" s="7">
        <v>46171</v>
      </c>
      <c r="J6" s="7">
        <v>46179</v>
      </c>
      <c r="K6" s="4" t="s">
        <v>80</v>
      </c>
      <c r="L6" s="4" t="str">
        <f t="shared" si="0"/>
        <v>Vikram-Notebook</v>
      </c>
    </row>
    <row r="7" spans="1:12" x14ac:dyDescent="0.3">
      <c r="A7" s="9">
        <v>1006</v>
      </c>
      <c r="B7" s="9" t="s">
        <v>29</v>
      </c>
      <c r="C7" s="4" t="s">
        <v>27</v>
      </c>
      <c r="D7" s="4" t="s">
        <v>24</v>
      </c>
      <c r="E7" s="4" t="s">
        <v>8</v>
      </c>
      <c r="F7" s="4">
        <v>3</v>
      </c>
      <c r="G7" s="4">
        <v>2714</v>
      </c>
      <c r="H7" s="4">
        <v>5</v>
      </c>
      <c r="I7" s="7">
        <v>46055</v>
      </c>
      <c r="J7" s="7">
        <v>46062</v>
      </c>
      <c r="K7" s="4" t="s">
        <v>49</v>
      </c>
      <c r="L7" s="4" t="str">
        <f t="shared" si="0"/>
        <v>Arjun-Chair</v>
      </c>
    </row>
    <row r="8" spans="1:12" x14ac:dyDescent="0.3">
      <c r="A8" s="9">
        <v>1007</v>
      </c>
      <c r="B8" s="9" t="s">
        <v>25</v>
      </c>
      <c r="C8" s="4" t="s">
        <v>26</v>
      </c>
      <c r="D8" s="4" t="s">
        <v>20</v>
      </c>
      <c r="E8" s="4" t="s">
        <v>21</v>
      </c>
      <c r="F8" s="4">
        <v>19</v>
      </c>
      <c r="G8" s="4">
        <v>149</v>
      </c>
      <c r="H8" s="4">
        <v>7</v>
      </c>
      <c r="I8" s="7">
        <v>46162</v>
      </c>
      <c r="J8" s="7">
        <v>46168</v>
      </c>
      <c r="K8" s="4" t="s">
        <v>80</v>
      </c>
      <c r="L8" s="4" t="str">
        <f t="shared" si="0"/>
        <v>Meera-Notebook</v>
      </c>
    </row>
    <row r="9" spans="1:12" x14ac:dyDescent="0.3">
      <c r="A9" s="9">
        <v>1008</v>
      </c>
      <c r="B9" s="9" t="s">
        <v>30</v>
      </c>
      <c r="C9" s="4" t="s">
        <v>31</v>
      </c>
      <c r="D9" s="4" t="s">
        <v>24</v>
      </c>
      <c r="E9" s="4" t="s">
        <v>8</v>
      </c>
      <c r="F9" s="4">
        <v>1</v>
      </c>
      <c r="G9" s="4">
        <v>1134</v>
      </c>
      <c r="H9" s="4">
        <v>0</v>
      </c>
      <c r="I9" s="7">
        <v>46033</v>
      </c>
      <c r="J9" s="7">
        <v>46041</v>
      </c>
      <c r="K9" s="4" t="s">
        <v>80</v>
      </c>
      <c r="L9" s="4" t="str">
        <f t="shared" si="0"/>
        <v>Neha-Chair</v>
      </c>
    </row>
    <row r="10" spans="1:12" x14ac:dyDescent="0.3">
      <c r="A10" s="9">
        <v>1009</v>
      </c>
      <c r="B10" s="9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7">
        <v>46183</v>
      </c>
      <c r="J10" s="7">
        <v>46193</v>
      </c>
      <c r="K10" s="4" t="s">
        <v>80</v>
      </c>
      <c r="L10" s="4" t="str">
        <f t="shared" si="0"/>
        <v>Asha-Printer</v>
      </c>
    </row>
    <row r="11" spans="1:12" x14ac:dyDescent="0.3">
      <c r="A11" s="9">
        <v>1010</v>
      </c>
      <c r="B11" s="9" t="s">
        <v>18</v>
      </c>
      <c r="C11" s="4" t="s">
        <v>23</v>
      </c>
      <c r="D11" s="4" t="s">
        <v>20</v>
      </c>
      <c r="E11" s="4" t="s">
        <v>36</v>
      </c>
      <c r="F11" s="4">
        <v>14</v>
      </c>
      <c r="G11" s="4">
        <v>470</v>
      </c>
      <c r="H11" s="4">
        <v>5</v>
      </c>
      <c r="I11" s="7">
        <v>46062</v>
      </c>
      <c r="J11" s="7">
        <v>46068</v>
      </c>
      <c r="K11" s="4" t="s">
        <v>78</v>
      </c>
      <c r="L11" s="4" t="str">
        <f t="shared" si="0"/>
        <v>Ritesh-Stapler</v>
      </c>
    </row>
    <row r="12" spans="1:12" x14ac:dyDescent="0.3">
      <c r="A12" s="9">
        <v>1011</v>
      </c>
      <c r="B12" s="9" t="s">
        <v>18</v>
      </c>
      <c r="C12" s="4" t="s">
        <v>23</v>
      </c>
      <c r="D12" s="4" t="s">
        <v>20</v>
      </c>
      <c r="E12" s="4" t="s">
        <v>37</v>
      </c>
      <c r="F12" s="4">
        <v>14</v>
      </c>
      <c r="G12" s="4">
        <v>88</v>
      </c>
      <c r="H12" s="4">
        <v>12</v>
      </c>
      <c r="I12" s="7">
        <v>46161</v>
      </c>
      <c r="J12" s="7">
        <v>46163</v>
      </c>
      <c r="K12" s="4" t="s">
        <v>78</v>
      </c>
      <c r="L12" s="4" t="str">
        <f t="shared" si="0"/>
        <v>Ritesh-Pen Pack</v>
      </c>
    </row>
    <row r="13" spans="1:12" x14ac:dyDescent="0.3">
      <c r="A13" s="9">
        <v>1012</v>
      </c>
      <c r="B13" s="9" t="s">
        <v>28</v>
      </c>
      <c r="C13" s="4" t="s">
        <v>38</v>
      </c>
      <c r="D13" s="4" t="s">
        <v>34</v>
      </c>
      <c r="E13" s="4" t="s">
        <v>5</v>
      </c>
      <c r="F13" s="4">
        <v>3</v>
      </c>
      <c r="G13" s="4">
        <v>64615</v>
      </c>
      <c r="H13" s="4">
        <v>10</v>
      </c>
      <c r="I13" s="7">
        <v>46086</v>
      </c>
      <c r="J13" s="7">
        <v>46095</v>
      </c>
      <c r="K13" s="4" t="s">
        <v>49</v>
      </c>
      <c r="L13" s="4" t="str">
        <f t="shared" si="0"/>
        <v>Vikram-Keyboard</v>
      </c>
    </row>
    <row r="14" spans="1:12" x14ac:dyDescent="0.3">
      <c r="A14" s="9">
        <v>1013</v>
      </c>
      <c r="B14" s="9" t="s">
        <v>22</v>
      </c>
      <c r="C14" s="4" t="s">
        <v>31</v>
      </c>
      <c r="D14" s="4" t="s">
        <v>20</v>
      </c>
      <c r="E14" s="4" t="s">
        <v>36</v>
      </c>
      <c r="F14" s="4">
        <v>17</v>
      </c>
      <c r="G14" s="4">
        <v>459</v>
      </c>
      <c r="H14" s="4">
        <v>12</v>
      </c>
      <c r="I14" s="7">
        <v>46095</v>
      </c>
      <c r="J14" s="7">
        <v>46105</v>
      </c>
      <c r="K14" s="4" t="s">
        <v>49</v>
      </c>
      <c r="L14" s="4" t="str">
        <f t="shared" si="0"/>
        <v>Pooja-Stapler</v>
      </c>
    </row>
    <row r="15" spans="1:12" x14ac:dyDescent="0.3">
      <c r="A15" s="9">
        <v>1014</v>
      </c>
      <c r="B15" s="9" t="s">
        <v>39</v>
      </c>
      <c r="C15" s="4" t="s">
        <v>23</v>
      </c>
      <c r="D15" s="4" t="s">
        <v>34</v>
      </c>
      <c r="E15" s="4" t="s">
        <v>40</v>
      </c>
      <c r="F15" s="4">
        <v>19</v>
      </c>
      <c r="G15" s="4">
        <v>53683</v>
      </c>
      <c r="H15" s="4">
        <v>12</v>
      </c>
      <c r="I15" s="7">
        <v>46129</v>
      </c>
      <c r="J15" s="7">
        <v>46134</v>
      </c>
      <c r="K15" s="4" t="s">
        <v>49</v>
      </c>
      <c r="L15" s="4" t="str">
        <f t="shared" si="0"/>
        <v>Deepak-Headset</v>
      </c>
    </row>
    <row r="16" spans="1:12" x14ac:dyDescent="0.3">
      <c r="A16" s="9">
        <v>1015</v>
      </c>
      <c r="B16" s="9" t="s">
        <v>41</v>
      </c>
      <c r="C16" s="4" t="s">
        <v>42</v>
      </c>
      <c r="D16" s="4" t="s">
        <v>24</v>
      </c>
      <c r="E16" s="4" t="s">
        <v>43</v>
      </c>
      <c r="F16" s="4">
        <v>11</v>
      </c>
      <c r="G16" s="4">
        <v>14511</v>
      </c>
      <c r="H16" s="4">
        <v>2</v>
      </c>
      <c r="I16" s="7">
        <v>46175</v>
      </c>
      <c r="J16" s="7">
        <v>46185</v>
      </c>
      <c r="K16" s="4" t="s">
        <v>79</v>
      </c>
      <c r="L16" s="4" t="str">
        <f t="shared" si="0"/>
        <v>Nisha-Bookshelf</v>
      </c>
    </row>
    <row r="17" spans="1:12" x14ac:dyDescent="0.3">
      <c r="A17" s="9">
        <v>1016</v>
      </c>
      <c r="B17" s="9" t="s">
        <v>32</v>
      </c>
      <c r="C17" s="4" t="s">
        <v>33</v>
      </c>
      <c r="D17" s="4" t="s">
        <v>34</v>
      </c>
      <c r="E17" s="4" t="s">
        <v>6</v>
      </c>
      <c r="F17" s="4">
        <v>16</v>
      </c>
      <c r="G17" s="4">
        <v>30234</v>
      </c>
      <c r="H17" s="4">
        <v>15</v>
      </c>
      <c r="I17" s="7">
        <v>46137</v>
      </c>
      <c r="J17" s="7">
        <v>46140</v>
      </c>
      <c r="K17" s="4" t="s">
        <v>80</v>
      </c>
      <c r="L17" s="4" t="str">
        <f t="shared" si="0"/>
        <v>Asha-Monitor</v>
      </c>
    </row>
    <row r="18" spans="1:12" x14ac:dyDescent="0.3">
      <c r="A18" s="9">
        <v>1017</v>
      </c>
      <c r="B18" s="9" t="s">
        <v>44</v>
      </c>
      <c r="C18" s="4" t="s">
        <v>38</v>
      </c>
      <c r="D18" s="4" t="s">
        <v>20</v>
      </c>
      <c r="E18" s="4" t="s">
        <v>36</v>
      </c>
      <c r="F18" s="4">
        <v>8</v>
      </c>
      <c r="G18" s="4">
        <v>179</v>
      </c>
      <c r="H18" s="4">
        <v>15</v>
      </c>
      <c r="I18" s="7">
        <v>46082</v>
      </c>
      <c r="J18" s="7">
        <v>46084</v>
      </c>
      <c r="K18" s="4" t="s">
        <v>78</v>
      </c>
      <c r="L18" s="4" t="str">
        <f t="shared" si="0"/>
        <v>Kiran-Stapler</v>
      </c>
    </row>
    <row r="19" spans="1:12" x14ac:dyDescent="0.3">
      <c r="A19" s="9">
        <v>1018</v>
      </c>
      <c r="B19" s="9" t="s">
        <v>45</v>
      </c>
      <c r="C19" s="4" t="s">
        <v>27</v>
      </c>
      <c r="D19" s="4" t="s">
        <v>20</v>
      </c>
      <c r="E19" s="4" t="s">
        <v>21</v>
      </c>
      <c r="F19" s="4">
        <v>20</v>
      </c>
      <c r="G19" s="4">
        <v>301</v>
      </c>
      <c r="H19" s="4">
        <v>0</v>
      </c>
      <c r="I19" s="7">
        <v>46089</v>
      </c>
      <c r="J19" s="7">
        <v>46094</v>
      </c>
      <c r="K19" s="4" t="s">
        <v>49</v>
      </c>
      <c r="L19" s="4" t="str">
        <f t="shared" si="0"/>
        <v>Yash-Notebook</v>
      </c>
    </row>
    <row r="20" spans="1:12" x14ac:dyDescent="0.3">
      <c r="A20" s="9">
        <v>1019</v>
      </c>
      <c r="B20" s="9" t="s">
        <v>18</v>
      </c>
      <c r="C20" s="4" t="s">
        <v>42</v>
      </c>
      <c r="D20" s="4" t="s">
        <v>34</v>
      </c>
      <c r="E20" s="4" t="s">
        <v>40</v>
      </c>
      <c r="F20" s="4">
        <v>18</v>
      </c>
      <c r="G20" s="4">
        <v>45652</v>
      </c>
      <c r="H20" s="4">
        <v>10</v>
      </c>
      <c r="I20" s="7">
        <v>46023</v>
      </c>
      <c r="J20" s="7">
        <v>46030</v>
      </c>
      <c r="K20" s="4" t="s">
        <v>79</v>
      </c>
      <c r="L20" s="4" t="str">
        <f t="shared" si="0"/>
        <v>Ritesh-Headset</v>
      </c>
    </row>
    <row r="21" spans="1:12" x14ac:dyDescent="0.3">
      <c r="A21" s="9">
        <v>1020</v>
      </c>
      <c r="B21" s="9" t="s">
        <v>44</v>
      </c>
      <c r="C21" s="4" t="s">
        <v>19</v>
      </c>
      <c r="D21" s="4" t="s">
        <v>24</v>
      </c>
      <c r="E21" s="4" t="s">
        <v>7</v>
      </c>
      <c r="F21" s="4">
        <v>5</v>
      </c>
      <c r="G21" s="4">
        <v>4582</v>
      </c>
      <c r="H21" s="4">
        <v>5</v>
      </c>
      <c r="I21" s="7">
        <v>46078</v>
      </c>
      <c r="J21" s="7">
        <v>46083</v>
      </c>
      <c r="K21" s="4" t="s">
        <v>78</v>
      </c>
      <c r="L21" s="4" t="str">
        <f t="shared" si="0"/>
        <v>Kiran-Desk</v>
      </c>
    </row>
    <row r="22" spans="1:12" x14ac:dyDescent="0.3">
      <c r="A22" s="9">
        <v>1021</v>
      </c>
      <c r="B22" s="9" t="s">
        <v>46</v>
      </c>
      <c r="C22" s="4" t="s">
        <v>42</v>
      </c>
      <c r="D22" s="4" t="s">
        <v>20</v>
      </c>
      <c r="E22" s="4" t="s">
        <v>21</v>
      </c>
      <c r="F22" s="4">
        <v>3</v>
      </c>
      <c r="G22" s="4">
        <v>484</v>
      </c>
      <c r="H22" s="4">
        <v>2</v>
      </c>
      <c r="I22" s="7">
        <v>46144</v>
      </c>
      <c r="J22" s="7">
        <v>46148</v>
      </c>
      <c r="K22" s="4" t="s">
        <v>80</v>
      </c>
      <c r="L22" s="4" t="str">
        <f t="shared" si="0"/>
        <v>Nitin-Notebook</v>
      </c>
    </row>
    <row r="23" spans="1:12" x14ac:dyDescent="0.3">
      <c r="A23" s="9">
        <v>1022</v>
      </c>
      <c r="B23" s="9" t="s">
        <v>28</v>
      </c>
      <c r="C23" s="4" t="s">
        <v>23</v>
      </c>
      <c r="D23" s="4" t="s">
        <v>34</v>
      </c>
      <c r="E23" s="4" t="s">
        <v>6</v>
      </c>
      <c r="F23" s="4">
        <v>15</v>
      </c>
      <c r="G23" s="4">
        <v>11596</v>
      </c>
      <c r="H23" s="4">
        <v>0</v>
      </c>
      <c r="I23" s="7">
        <v>46117</v>
      </c>
      <c r="J23" s="7">
        <v>46121</v>
      </c>
      <c r="K23" s="4" t="s">
        <v>49</v>
      </c>
      <c r="L23" s="4" t="str">
        <f t="shared" si="0"/>
        <v>Vikram-Monitor</v>
      </c>
    </row>
    <row r="24" spans="1:12" x14ac:dyDescent="0.3">
      <c r="A24" s="9">
        <v>1023</v>
      </c>
      <c r="B24" s="9" t="s">
        <v>39</v>
      </c>
      <c r="C24" s="4" t="s">
        <v>19</v>
      </c>
      <c r="D24" s="4" t="s">
        <v>24</v>
      </c>
      <c r="E24" s="4" t="s">
        <v>43</v>
      </c>
      <c r="F24" s="4">
        <v>15</v>
      </c>
      <c r="G24" s="4">
        <v>3506</v>
      </c>
      <c r="H24" s="4">
        <v>2</v>
      </c>
      <c r="I24" s="7">
        <v>46193</v>
      </c>
      <c r="J24" s="7">
        <v>46194</v>
      </c>
      <c r="K24" s="4" t="s">
        <v>49</v>
      </c>
      <c r="L24" s="4" t="str">
        <f t="shared" si="0"/>
        <v>Deepak-Bookshelf</v>
      </c>
    </row>
    <row r="25" spans="1:12" x14ac:dyDescent="0.3">
      <c r="A25" s="9">
        <v>1024</v>
      </c>
      <c r="B25" s="9" t="s">
        <v>32</v>
      </c>
      <c r="C25" s="4" t="s">
        <v>38</v>
      </c>
      <c r="D25" s="4" t="s">
        <v>34</v>
      </c>
      <c r="E25" s="4" t="s">
        <v>40</v>
      </c>
      <c r="F25" s="4">
        <v>12</v>
      </c>
      <c r="G25" s="4">
        <v>1682</v>
      </c>
      <c r="H25" s="4">
        <v>5</v>
      </c>
      <c r="I25" s="7">
        <v>46161</v>
      </c>
      <c r="J25" s="7">
        <v>46165</v>
      </c>
      <c r="K25" s="4" t="s">
        <v>78</v>
      </c>
      <c r="L25" s="4" t="str">
        <f t="shared" si="0"/>
        <v>Asha-Headset</v>
      </c>
    </row>
    <row r="26" spans="1:12" x14ac:dyDescent="0.3">
      <c r="A26" s="9">
        <v>1025</v>
      </c>
      <c r="B26" s="9" t="s">
        <v>25</v>
      </c>
      <c r="C26" s="4" t="s">
        <v>19</v>
      </c>
      <c r="D26" s="4" t="s">
        <v>24</v>
      </c>
      <c r="E26" s="4" t="s">
        <v>7</v>
      </c>
      <c r="F26" s="4">
        <v>18</v>
      </c>
      <c r="G26" s="4">
        <v>7924</v>
      </c>
      <c r="H26" s="4">
        <v>0</v>
      </c>
      <c r="I26" s="7">
        <v>46175</v>
      </c>
      <c r="J26" s="7">
        <v>46181</v>
      </c>
      <c r="K26" s="4" t="s">
        <v>78</v>
      </c>
      <c r="L26" s="4" t="str">
        <f t="shared" si="0"/>
        <v>Meera-Desk</v>
      </c>
    </row>
    <row r="27" spans="1:12" x14ac:dyDescent="0.3">
      <c r="A27" s="9">
        <v>1026</v>
      </c>
      <c r="B27" s="9" t="s">
        <v>47</v>
      </c>
      <c r="C27" s="4" t="s">
        <v>31</v>
      </c>
      <c r="D27" s="4" t="s">
        <v>20</v>
      </c>
      <c r="E27" s="4" t="s">
        <v>48</v>
      </c>
      <c r="F27" s="4">
        <v>17</v>
      </c>
      <c r="G27" s="4">
        <v>323</v>
      </c>
      <c r="H27" s="4">
        <v>10</v>
      </c>
      <c r="I27" s="7">
        <v>46039</v>
      </c>
      <c r="J27" s="7">
        <v>46040</v>
      </c>
      <c r="K27" s="4" t="s">
        <v>49</v>
      </c>
      <c r="L27" s="4" t="str">
        <f t="shared" si="0"/>
        <v>Ajay-Marker</v>
      </c>
    </row>
    <row r="28" spans="1:12" x14ac:dyDescent="0.3">
      <c r="A28" s="9">
        <v>1027</v>
      </c>
      <c r="B28" s="9" t="s">
        <v>49</v>
      </c>
      <c r="C28" s="4" t="s">
        <v>42</v>
      </c>
      <c r="D28" s="4" t="s">
        <v>20</v>
      </c>
      <c r="E28" s="4" t="s">
        <v>48</v>
      </c>
      <c r="F28" s="4">
        <v>4</v>
      </c>
      <c r="G28" s="4">
        <v>264</v>
      </c>
      <c r="H28" s="4">
        <v>0</v>
      </c>
      <c r="I28" s="7">
        <v>46155</v>
      </c>
      <c r="J28" s="7">
        <v>46161</v>
      </c>
      <c r="K28" s="4" t="s">
        <v>81</v>
      </c>
      <c r="L28" s="4" t="str">
        <f t="shared" si="0"/>
        <v>Priya-Marker</v>
      </c>
    </row>
    <row r="29" spans="1:12" x14ac:dyDescent="0.3">
      <c r="A29" s="9">
        <v>1028</v>
      </c>
      <c r="B29" s="9" t="s">
        <v>45</v>
      </c>
      <c r="C29" s="4" t="s">
        <v>26</v>
      </c>
      <c r="D29" s="4" t="s">
        <v>20</v>
      </c>
      <c r="E29" s="4" t="s">
        <v>36</v>
      </c>
      <c r="F29" s="4">
        <v>13</v>
      </c>
      <c r="G29" s="4">
        <v>433</v>
      </c>
      <c r="H29" s="4">
        <v>2</v>
      </c>
      <c r="I29" s="7">
        <v>46116</v>
      </c>
      <c r="J29" s="7">
        <v>46121</v>
      </c>
      <c r="K29" s="4" t="s">
        <v>80</v>
      </c>
      <c r="L29" s="4" t="str">
        <f t="shared" si="0"/>
        <v>Yash-Stapler</v>
      </c>
    </row>
    <row r="30" spans="1:12" x14ac:dyDescent="0.3">
      <c r="A30" s="9">
        <v>1029</v>
      </c>
      <c r="B30" s="9" t="s">
        <v>30</v>
      </c>
      <c r="C30" s="4" t="s">
        <v>27</v>
      </c>
      <c r="D30" s="4" t="s">
        <v>20</v>
      </c>
      <c r="E30" s="4" t="s">
        <v>36</v>
      </c>
      <c r="F30" s="4">
        <v>18</v>
      </c>
      <c r="G30" s="4">
        <v>443</v>
      </c>
      <c r="H30" s="4">
        <v>5</v>
      </c>
      <c r="I30" s="7">
        <v>46046</v>
      </c>
      <c r="J30" s="7">
        <v>46054</v>
      </c>
      <c r="K30" s="4" t="s">
        <v>80</v>
      </c>
      <c r="L30" s="4" t="str">
        <f t="shared" si="0"/>
        <v>Neha-Stapler</v>
      </c>
    </row>
    <row r="31" spans="1:12" x14ac:dyDescent="0.3">
      <c r="A31" s="9">
        <v>1030</v>
      </c>
      <c r="B31" s="9" t="s">
        <v>50</v>
      </c>
      <c r="C31" s="4" t="s">
        <v>19</v>
      </c>
      <c r="D31" s="4" t="s">
        <v>20</v>
      </c>
      <c r="E31" s="4" t="s">
        <v>51</v>
      </c>
      <c r="F31" s="4">
        <v>13</v>
      </c>
      <c r="G31" s="4">
        <v>336</v>
      </c>
      <c r="H31" s="4">
        <v>10</v>
      </c>
      <c r="I31" s="7">
        <v>46098</v>
      </c>
      <c r="J31" s="7">
        <v>46108</v>
      </c>
      <c r="K31" s="4" t="s">
        <v>78</v>
      </c>
      <c r="L31" s="4" t="str">
        <f t="shared" si="0"/>
        <v>Komal-Diary</v>
      </c>
    </row>
    <row r="32" spans="1:12" x14ac:dyDescent="0.3">
      <c r="A32" s="9">
        <v>1031</v>
      </c>
      <c r="B32" s="9" t="s">
        <v>52</v>
      </c>
      <c r="C32" s="4" t="s">
        <v>31</v>
      </c>
      <c r="D32" s="4" t="s">
        <v>20</v>
      </c>
      <c r="E32" s="4" t="s">
        <v>51</v>
      </c>
      <c r="F32" s="4">
        <v>2</v>
      </c>
      <c r="G32" s="4">
        <v>184</v>
      </c>
      <c r="H32" s="4">
        <v>5</v>
      </c>
      <c r="I32" s="7">
        <v>46089</v>
      </c>
      <c r="J32" s="7">
        <v>46093</v>
      </c>
      <c r="K32" s="4" t="s">
        <v>79</v>
      </c>
      <c r="L32" s="4" t="str">
        <f t="shared" si="0"/>
        <v>Manoj-Diary</v>
      </c>
    </row>
    <row r="33" spans="1:12" x14ac:dyDescent="0.3">
      <c r="A33" s="9">
        <v>1032</v>
      </c>
      <c r="B33" s="9" t="s">
        <v>52</v>
      </c>
      <c r="C33" s="4" t="s">
        <v>42</v>
      </c>
      <c r="D33" s="4" t="s">
        <v>34</v>
      </c>
      <c r="E33" s="4" t="s">
        <v>5</v>
      </c>
      <c r="F33" s="4">
        <v>20</v>
      </c>
      <c r="G33" s="4">
        <v>11305</v>
      </c>
      <c r="H33" s="4">
        <v>2</v>
      </c>
      <c r="I33" s="7">
        <v>46163</v>
      </c>
      <c r="J33" s="7">
        <v>46165</v>
      </c>
      <c r="K33" s="4" t="s">
        <v>49</v>
      </c>
      <c r="L33" s="4" t="str">
        <f t="shared" si="0"/>
        <v>Manoj-Keyboard</v>
      </c>
    </row>
    <row r="34" spans="1:12" x14ac:dyDescent="0.3">
      <c r="A34" s="9">
        <v>1033</v>
      </c>
      <c r="B34" s="9" t="s">
        <v>18</v>
      </c>
      <c r="C34" s="4" t="s">
        <v>42</v>
      </c>
      <c r="D34" s="4" t="s">
        <v>24</v>
      </c>
      <c r="E34" s="4" t="s">
        <v>7</v>
      </c>
      <c r="F34" s="4">
        <v>9</v>
      </c>
      <c r="G34" s="4">
        <v>4895</v>
      </c>
      <c r="H34" s="4">
        <v>2</v>
      </c>
      <c r="I34" s="7">
        <v>46082</v>
      </c>
      <c r="J34" s="7">
        <v>46084</v>
      </c>
      <c r="K34" s="4" t="s">
        <v>49</v>
      </c>
      <c r="L34" s="4" t="str">
        <f t="shared" si="0"/>
        <v>Ritesh-Desk</v>
      </c>
    </row>
    <row r="35" spans="1:12" x14ac:dyDescent="0.3">
      <c r="A35" s="9">
        <v>1034</v>
      </c>
      <c r="B35" s="9" t="s">
        <v>53</v>
      </c>
      <c r="C35" s="4" t="s">
        <v>33</v>
      </c>
      <c r="D35" s="4" t="s">
        <v>24</v>
      </c>
      <c r="E35" s="4" t="s">
        <v>8</v>
      </c>
      <c r="F35" s="4">
        <v>17</v>
      </c>
      <c r="G35" s="4">
        <v>5104</v>
      </c>
      <c r="H35" s="4">
        <v>12</v>
      </c>
      <c r="I35" s="7">
        <v>46052</v>
      </c>
      <c r="J35" s="7">
        <v>46061</v>
      </c>
      <c r="K35" s="4" t="s">
        <v>81</v>
      </c>
      <c r="L35" s="4" t="str">
        <f t="shared" si="0"/>
        <v>Sneha-Chair</v>
      </c>
    </row>
    <row r="36" spans="1:12" x14ac:dyDescent="0.3">
      <c r="A36" s="9">
        <v>1035</v>
      </c>
      <c r="B36" s="9" t="s">
        <v>47</v>
      </c>
      <c r="C36" s="4" t="s">
        <v>42</v>
      </c>
      <c r="D36" s="4" t="s">
        <v>24</v>
      </c>
      <c r="E36" s="4" t="s">
        <v>11</v>
      </c>
      <c r="F36" s="4">
        <v>3</v>
      </c>
      <c r="G36" s="4">
        <v>9149</v>
      </c>
      <c r="H36" s="4">
        <v>0</v>
      </c>
      <c r="I36" s="7">
        <v>46031</v>
      </c>
      <c r="J36" s="7">
        <v>46034</v>
      </c>
      <c r="K36" s="4" t="s">
        <v>80</v>
      </c>
      <c r="L36" s="4" t="str">
        <f t="shared" si="0"/>
        <v>Ajay-Cabinet</v>
      </c>
    </row>
    <row r="37" spans="1:12" x14ac:dyDescent="0.3">
      <c r="A37" s="9">
        <v>1036</v>
      </c>
      <c r="B37" s="9" t="s">
        <v>18</v>
      </c>
      <c r="C37" s="4" t="s">
        <v>27</v>
      </c>
      <c r="D37" s="4" t="s">
        <v>20</v>
      </c>
      <c r="E37" s="4" t="s">
        <v>36</v>
      </c>
      <c r="F37" s="4">
        <v>20</v>
      </c>
      <c r="G37" s="4">
        <v>161</v>
      </c>
      <c r="H37" s="4">
        <v>7</v>
      </c>
      <c r="I37" s="7">
        <v>46071</v>
      </c>
      <c r="J37" s="7">
        <v>46077</v>
      </c>
      <c r="K37" s="4" t="s">
        <v>80</v>
      </c>
      <c r="L37" s="4" t="str">
        <f t="shared" si="0"/>
        <v>Ritesh-Stapler</v>
      </c>
    </row>
    <row r="38" spans="1:12" x14ac:dyDescent="0.3">
      <c r="A38" s="9">
        <v>1037</v>
      </c>
      <c r="B38" s="9" t="s">
        <v>44</v>
      </c>
      <c r="C38" s="4" t="s">
        <v>42</v>
      </c>
      <c r="D38" s="4" t="s">
        <v>24</v>
      </c>
      <c r="E38" s="4" t="s">
        <v>11</v>
      </c>
      <c r="F38" s="4">
        <v>6</v>
      </c>
      <c r="G38" s="4">
        <v>14385</v>
      </c>
      <c r="H38" s="4">
        <v>12</v>
      </c>
      <c r="I38" s="7">
        <v>46033</v>
      </c>
      <c r="J38" s="7">
        <v>46043</v>
      </c>
      <c r="K38" s="4" t="s">
        <v>80</v>
      </c>
      <c r="L38" s="4" t="str">
        <f t="shared" si="0"/>
        <v>Kiran-Cabinet</v>
      </c>
    </row>
    <row r="39" spans="1:12" x14ac:dyDescent="0.3">
      <c r="A39" s="9">
        <v>1038</v>
      </c>
      <c r="B39" s="9" t="s">
        <v>53</v>
      </c>
      <c r="C39" s="4" t="s">
        <v>23</v>
      </c>
      <c r="D39" s="4" t="s">
        <v>20</v>
      </c>
      <c r="E39" s="4" t="s">
        <v>36</v>
      </c>
      <c r="F39" s="4">
        <v>17</v>
      </c>
      <c r="G39" s="4">
        <v>223</v>
      </c>
      <c r="H39" s="4">
        <v>7</v>
      </c>
      <c r="I39" s="7">
        <v>46030</v>
      </c>
      <c r="J39" s="7">
        <v>46031</v>
      </c>
      <c r="K39" s="4" t="s">
        <v>81</v>
      </c>
      <c r="L39" s="4" t="str">
        <f t="shared" si="0"/>
        <v>Sneha-Stapler</v>
      </c>
    </row>
    <row r="40" spans="1:12" x14ac:dyDescent="0.3">
      <c r="A40" s="9">
        <v>1039</v>
      </c>
      <c r="B40" s="9" t="s">
        <v>46</v>
      </c>
      <c r="C40" s="4" t="s">
        <v>38</v>
      </c>
      <c r="D40" s="4" t="s">
        <v>34</v>
      </c>
      <c r="E40" s="4" t="s">
        <v>6</v>
      </c>
      <c r="F40" s="4">
        <v>5</v>
      </c>
      <c r="G40" s="4">
        <v>60236</v>
      </c>
      <c r="H40" s="4">
        <v>10</v>
      </c>
      <c r="I40" s="7">
        <v>46107</v>
      </c>
      <c r="J40" s="7">
        <v>46110</v>
      </c>
      <c r="K40" s="4" t="s">
        <v>79</v>
      </c>
      <c r="L40" s="4" t="str">
        <f t="shared" si="0"/>
        <v>Nitin-Monitor</v>
      </c>
    </row>
    <row r="41" spans="1:12" x14ac:dyDescent="0.3">
      <c r="A41" s="9">
        <v>1040</v>
      </c>
      <c r="B41" s="9" t="s">
        <v>47</v>
      </c>
      <c r="C41" s="4" t="s">
        <v>38</v>
      </c>
      <c r="D41" s="4" t="s">
        <v>24</v>
      </c>
      <c r="E41" s="4" t="s">
        <v>8</v>
      </c>
      <c r="F41" s="4">
        <v>10</v>
      </c>
      <c r="G41" s="4">
        <v>7531</v>
      </c>
      <c r="H41" s="4">
        <v>2</v>
      </c>
      <c r="I41" s="7">
        <v>46171</v>
      </c>
      <c r="J41" s="7">
        <v>46178</v>
      </c>
      <c r="K41" s="4" t="s">
        <v>80</v>
      </c>
      <c r="L41" s="4" t="str">
        <f t="shared" si="0"/>
        <v>Ajay-Chair</v>
      </c>
    </row>
    <row r="42" spans="1:12" x14ac:dyDescent="0.3">
      <c r="A42" s="9">
        <v>1041</v>
      </c>
      <c r="B42" s="9" t="s">
        <v>52</v>
      </c>
      <c r="C42" s="4" t="s">
        <v>38</v>
      </c>
      <c r="D42" s="4" t="s">
        <v>20</v>
      </c>
      <c r="E42" s="4" t="s">
        <v>48</v>
      </c>
      <c r="F42" s="4">
        <v>9</v>
      </c>
      <c r="G42" s="4">
        <v>71</v>
      </c>
      <c r="H42" s="4">
        <v>7</v>
      </c>
      <c r="I42" s="7">
        <v>46185</v>
      </c>
      <c r="J42" s="7">
        <v>46188</v>
      </c>
      <c r="K42" s="4" t="s">
        <v>78</v>
      </c>
      <c r="L42" s="4" t="str">
        <f t="shared" si="0"/>
        <v>Manoj-Marker</v>
      </c>
    </row>
    <row r="43" spans="1:12" x14ac:dyDescent="0.3">
      <c r="A43" s="9">
        <v>1042</v>
      </c>
      <c r="B43" s="9" t="s">
        <v>44</v>
      </c>
      <c r="C43" s="4" t="s">
        <v>33</v>
      </c>
      <c r="D43" s="4" t="s">
        <v>20</v>
      </c>
      <c r="E43" s="4" t="s">
        <v>51</v>
      </c>
      <c r="F43" s="4">
        <v>16</v>
      </c>
      <c r="G43" s="4">
        <v>232</v>
      </c>
      <c r="H43" s="4">
        <v>0</v>
      </c>
      <c r="I43" s="7">
        <v>46081</v>
      </c>
      <c r="J43" s="7">
        <v>46088</v>
      </c>
      <c r="K43" s="4" t="s">
        <v>49</v>
      </c>
      <c r="L43" s="4" t="str">
        <f t="shared" si="0"/>
        <v>Kiran-Diary</v>
      </c>
    </row>
    <row r="44" spans="1:12" x14ac:dyDescent="0.3">
      <c r="A44" s="9">
        <v>1043</v>
      </c>
      <c r="B44" s="9" t="s">
        <v>47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7">
        <v>46091</v>
      </c>
      <c r="J44" s="7">
        <v>46098</v>
      </c>
      <c r="K44" s="4" t="s">
        <v>49</v>
      </c>
      <c r="L44" s="4" t="str">
        <f t="shared" si="0"/>
        <v>Ajay-Printer</v>
      </c>
    </row>
    <row r="45" spans="1:12" x14ac:dyDescent="0.3">
      <c r="A45" s="9">
        <v>1044</v>
      </c>
      <c r="B45" s="9" t="s">
        <v>46</v>
      </c>
      <c r="C45" s="4" t="s">
        <v>38</v>
      </c>
      <c r="D45" s="4" t="s">
        <v>24</v>
      </c>
      <c r="E45" s="4" t="s">
        <v>7</v>
      </c>
      <c r="F45" s="4">
        <v>4</v>
      </c>
      <c r="G45" s="4">
        <v>14731</v>
      </c>
      <c r="H45" s="4">
        <v>2</v>
      </c>
      <c r="I45" s="7">
        <v>46173</v>
      </c>
      <c r="J45" s="7">
        <v>46176</v>
      </c>
      <c r="K45" s="4" t="s">
        <v>79</v>
      </c>
      <c r="L45" s="4" t="str">
        <f t="shared" si="0"/>
        <v>Nitin-Desk</v>
      </c>
    </row>
    <row r="46" spans="1:12" x14ac:dyDescent="0.3">
      <c r="A46" s="9">
        <v>1045</v>
      </c>
      <c r="B46" s="9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7">
        <v>46038</v>
      </c>
      <c r="J46" s="7">
        <v>46039</v>
      </c>
      <c r="K46" s="4" t="s">
        <v>49</v>
      </c>
      <c r="L46" s="4" t="str">
        <f t="shared" si="0"/>
        <v>Asha-Printer</v>
      </c>
    </row>
    <row r="47" spans="1:12" x14ac:dyDescent="0.3">
      <c r="A47" s="9">
        <v>1046</v>
      </c>
      <c r="B47" s="9" t="s">
        <v>54</v>
      </c>
      <c r="C47" s="4" t="s">
        <v>38</v>
      </c>
      <c r="D47" s="4" t="s">
        <v>34</v>
      </c>
      <c r="E47" s="4" t="s">
        <v>6</v>
      </c>
      <c r="F47" s="4">
        <v>3</v>
      </c>
      <c r="G47" s="4">
        <v>19443</v>
      </c>
      <c r="H47" s="4">
        <v>10</v>
      </c>
      <c r="I47" s="7">
        <v>46153</v>
      </c>
      <c r="J47" s="7">
        <v>46158</v>
      </c>
      <c r="K47" s="4" t="s">
        <v>49</v>
      </c>
      <c r="L47" s="4" t="str">
        <f t="shared" si="0"/>
        <v>Sara-Monitor</v>
      </c>
    </row>
    <row r="48" spans="1:12" x14ac:dyDescent="0.3">
      <c r="A48" s="9">
        <v>1047</v>
      </c>
      <c r="B48" s="9" t="s">
        <v>55</v>
      </c>
      <c r="C48" s="4" t="s">
        <v>38</v>
      </c>
      <c r="D48" s="4" t="s">
        <v>24</v>
      </c>
      <c r="E48" s="4" t="s">
        <v>11</v>
      </c>
      <c r="F48" s="4">
        <v>11</v>
      </c>
      <c r="G48" s="4">
        <v>9976</v>
      </c>
      <c r="H48" s="4">
        <v>12</v>
      </c>
      <c r="I48" s="7">
        <v>46200</v>
      </c>
      <c r="J48" s="7">
        <v>46209</v>
      </c>
      <c r="K48" s="4" t="s">
        <v>78</v>
      </c>
      <c r="L48" s="4" t="str">
        <f t="shared" si="0"/>
        <v>Rohan-Cabinet</v>
      </c>
    </row>
    <row r="49" spans="1:12" x14ac:dyDescent="0.3">
      <c r="A49" s="9">
        <v>1048</v>
      </c>
      <c r="B49" s="9" t="s">
        <v>56</v>
      </c>
      <c r="C49" s="4" t="s">
        <v>27</v>
      </c>
      <c r="D49" s="4" t="s">
        <v>34</v>
      </c>
      <c r="E49" s="4" t="s">
        <v>9</v>
      </c>
      <c r="F49" s="4">
        <v>14</v>
      </c>
      <c r="G49" s="4">
        <v>11762</v>
      </c>
      <c r="H49" s="4">
        <v>7</v>
      </c>
      <c r="I49" s="7">
        <v>46180</v>
      </c>
      <c r="J49" s="7">
        <v>46186</v>
      </c>
      <c r="K49" s="4" t="s">
        <v>80</v>
      </c>
      <c r="L49" s="4" t="str">
        <f t="shared" si="0"/>
        <v>Anita-Laptop</v>
      </c>
    </row>
    <row r="50" spans="1:12" x14ac:dyDescent="0.3">
      <c r="A50" s="9">
        <v>1049</v>
      </c>
      <c r="B50" s="9" t="s">
        <v>50</v>
      </c>
      <c r="C50" s="4" t="s">
        <v>27</v>
      </c>
      <c r="D50" s="4" t="s">
        <v>34</v>
      </c>
      <c r="E50" s="4" t="s">
        <v>6</v>
      </c>
      <c r="F50" s="4">
        <v>2</v>
      </c>
      <c r="G50" s="4">
        <v>40789</v>
      </c>
      <c r="H50" s="4">
        <v>0</v>
      </c>
      <c r="I50" s="7">
        <v>46102</v>
      </c>
      <c r="J50" s="7">
        <v>46108</v>
      </c>
      <c r="K50" s="4" t="s">
        <v>80</v>
      </c>
      <c r="L50" s="4" t="str">
        <f t="shared" si="0"/>
        <v>Komal-Monitor</v>
      </c>
    </row>
    <row r="51" spans="1:12" x14ac:dyDescent="0.3">
      <c r="A51" s="9">
        <v>1050</v>
      </c>
      <c r="B51" s="9" t="s">
        <v>32</v>
      </c>
      <c r="C51" s="4" t="s">
        <v>27</v>
      </c>
      <c r="D51" s="4" t="s">
        <v>20</v>
      </c>
      <c r="E51" s="4" t="s">
        <v>51</v>
      </c>
      <c r="F51" s="4">
        <v>12</v>
      </c>
      <c r="G51" s="4">
        <v>360</v>
      </c>
      <c r="H51" s="4">
        <v>5</v>
      </c>
      <c r="I51" s="7">
        <v>46127</v>
      </c>
      <c r="J51" s="7">
        <v>46137</v>
      </c>
      <c r="K51" s="4" t="s">
        <v>49</v>
      </c>
      <c r="L51" s="4" t="str">
        <f t="shared" si="0"/>
        <v>Asha-Diary</v>
      </c>
    </row>
    <row r="52" spans="1:12" x14ac:dyDescent="0.3">
      <c r="A52" s="9">
        <v>1051</v>
      </c>
      <c r="B52" s="9" t="s">
        <v>55</v>
      </c>
      <c r="C52" s="4" t="s">
        <v>23</v>
      </c>
      <c r="D52" s="4" t="s">
        <v>20</v>
      </c>
      <c r="E52" s="4" t="s">
        <v>36</v>
      </c>
      <c r="F52" s="4">
        <v>12</v>
      </c>
      <c r="G52" s="4">
        <v>47</v>
      </c>
      <c r="H52" s="4">
        <v>2</v>
      </c>
      <c r="I52" s="7">
        <v>46037</v>
      </c>
      <c r="J52" s="7">
        <v>46045</v>
      </c>
      <c r="K52" s="4" t="s">
        <v>78</v>
      </c>
      <c r="L52" s="4" t="str">
        <f t="shared" si="0"/>
        <v>Rohan-Stapler</v>
      </c>
    </row>
    <row r="53" spans="1:12" x14ac:dyDescent="0.3">
      <c r="A53" s="9">
        <v>1052</v>
      </c>
      <c r="B53" s="9" t="s">
        <v>53</v>
      </c>
      <c r="C53" s="4" t="s">
        <v>19</v>
      </c>
      <c r="D53" s="4" t="s">
        <v>20</v>
      </c>
      <c r="E53" s="4" t="s">
        <v>21</v>
      </c>
      <c r="F53" s="4">
        <v>17</v>
      </c>
      <c r="G53" s="4">
        <v>172</v>
      </c>
      <c r="H53" s="4">
        <v>10</v>
      </c>
      <c r="I53" s="7">
        <v>46159</v>
      </c>
      <c r="J53" s="7">
        <v>46165</v>
      </c>
      <c r="K53" s="4" t="s">
        <v>79</v>
      </c>
      <c r="L53" s="4" t="str">
        <f t="shared" si="0"/>
        <v>Sneha-Notebook</v>
      </c>
    </row>
    <row r="54" spans="1:12" x14ac:dyDescent="0.3">
      <c r="A54" s="9">
        <v>1053</v>
      </c>
      <c r="B54" s="9" t="s">
        <v>22</v>
      </c>
      <c r="C54" s="4" t="s">
        <v>33</v>
      </c>
      <c r="D54" s="4" t="s">
        <v>24</v>
      </c>
      <c r="E54" s="4" t="s">
        <v>8</v>
      </c>
      <c r="F54" s="4">
        <v>1</v>
      </c>
      <c r="G54" s="4">
        <v>9749</v>
      </c>
      <c r="H54" s="4">
        <v>15</v>
      </c>
      <c r="I54" s="7">
        <v>46064</v>
      </c>
      <c r="J54" s="7">
        <v>46070</v>
      </c>
      <c r="K54" s="4" t="s">
        <v>80</v>
      </c>
      <c r="L54" s="4" t="str">
        <f t="shared" si="0"/>
        <v>Pooja-Chair</v>
      </c>
    </row>
    <row r="55" spans="1:12" x14ac:dyDescent="0.3">
      <c r="A55" s="9">
        <v>1054</v>
      </c>
      <c r="B55" s="9" t="s">
        <v>28</v>
      </c>
      <c r="C55" s="4" t="s">
        <v>27</v>
      </c>
      <c r="D55" s="4" t="s">
        <v>24</v>
      </c>
      <c r="E55" s="4" t="s">
        <v>10</v>
      </c>
      <c r="F55" s="4">
        <v>8</v>
      </c>
      <c r="G55" s="4">
        <v>9798</v>
      </c>
      <c r="H55" s="4">
        <v>12</v>
      </c>
      <c r="I55" s="7">
        <v>46200</v>
      </c>
      <c r="J55" s="7">
        <v>46201</v>
      </c>
      <c r="K55" s="4" t="s">
        <v>81</v>
      </c>
      <c r="L55" s="4" t="str">
        <f t="shared" si="0"/>
        <v>Vikram-Table</v>
      </c>
    </row>
    <row r="56" spans="1:12" x14ac:dyDescent="0.3">
      <c r="A56" s="9">
        <v>1055</v>
      </c>
      <c r="B56" s="9" t="s">
        <v>46</v>
      </c>
      <c r="C56" s="4" t="s">
        <v>19</v>
      </c>
      <c r="D56" s="4" t="s">
        <v>20</v>
      </c>
      <c r="E56" s="4" t="s">
        <v>37</v>
      </c>
      <c r="F56" s="4">
        <v>18</v>
      </c>
      <c r="G56" s="4">
        <v>185</v>
      </c>
      <c r="H56" s="4">
        <v>15</v>
      </c>
      <c r="I56" s="7">
        <v>46077</v>
      </c>
      <c r="J56" s="7">
        <v>46078</v>
      </c>
      <c r="K56" s="4" t="s">
        <v>78</v>
      </c>
      <c r="L56" s="4" t="str">
        <f t="shared" si="0"/>
        <v>Nitin-Pen Pack</v>
      </c>
    </row>
    <row r="57" spans="1:12" x14ac:dyDescent="0.3">
      <c r="A57" s="9">
        <v>1056</v>
      </c>
      <c r="B57" s="9" t="s">
        <v>18</v>
      </c>
      <c r="C57" s="4" t="s">
        <v>26</v>
      </c>
      <c r="D57" s="4" t="s">
        <v>24</v>
      </c>
      <c r="E57" s="4" t="s">
        <v>7</v>
      </c>
      <c r="F57" s="4">
        <v>3</v>
      </c>
      <c r="G57" s="4">
        <v>9771</v>
      </c>
      <c r="H57" s="4">
        <v>5</v>
      </c>
      <c r="I57" s="7">
        <v>46133</v>
      </c>
      <c r="J57" s="7">
        <v>46139</v>
      </c>
      <c r="K57" s="4" t="s">
        <v>80</v>
      </c>
      <c r="L57" s="4" t="str">
        <f t="shared" si="0"/>
        <v>Ritesh-Desk</v>
      </c>
    </row>
    <row r="58" spans="1:12" x14ac:dyDescent="0.3">
      <c r="A58" s="9">
        <v>1057</v>
      </c>
      <c r="B58" s="9" t="s">
        <v>56</v>
      </c>
      <c r="C58" s="4" t="s">
        <v>26</v>
      </c>
      <c r="D58" s="4" t="s">
        <v>24</v>
      </c>
      <c r="E58" s="4" t="s">
        <v>8</v>
      </c>
      <c r="F58" s="4">
        <v>2</v>
      </c>
      <c r="G58" s="4">
        <v>9531</v>
      </c>
      <c r="H58" s="4">
        <v>15</v>
      </c>
      <c r="I58" s="7">
        <v>46067</v>
      </c>
      <c r="J58" s="7">
        <v>46076</v>
      </c>
      <c r="K58" s="4" t="s">
        <v>81</v>
      </c>
      <c r="L58" s="4" t="str">
        <f t="shared" si="0"/>
        <v>Anita-Chair</v>
      </c>
    </row>
    <row r="59" spans="1:12" x14ac:dyDescent="0.3">
      <c r="A59" s="9">
        <v>1058</v>
      </c>
      <c r="B59" s="9" t="s">
        <v>50</v>
      </c>
      <c r="C59" s="4" t="s">
        <v>38</v>
      </c>
      <c r="D59" s="4" t="s">
        <v>24</v>
      </c>
      <c r="E59" s="4" t="s">
        <v>8</v>
      </c>
      <c r="F59" s="4">
        <v>10</v>
      </c>
      <c r="G59" s="4">
        <v>5532</v>
      </c>
      <c r="H59" s="4">
        <v>7</v>
      </c>
      <c r="I59" s="7">
        <v>46074</v>
      </c>
      <c r="J59" s="7">
        <v>46084</v>
      </c>
      <c r="K59" s="4" t="s">
        <v>80</v>
      </c>
      <c r="L59" s="4" t="str">
        <f t="shared" si="0"/>
        <v>Komal-Chair</v>
      </c>
    </row>
    <row r="60" spans="1:12" x14ac:dyDescent="0.3">
      <c r="A60" s="9">
        <v>1059</v>
      </c>
      <c r="B60" s="9" t="s">
        <v>52</v>
      </c>
      <c r="C60" s="4" t="s">
        <v>27</v>
      </c>
      <c r="D60" s="4" t="s">
        <v>20</v>
      </c>
      <c r="E60" s="4" t="s">
        <v>48</v>
      </c>
      <c r="F60" s="4">
        <v>20</v>
      </c>
      <c r="G60" s="4">
        <v>112</v>
      </c>
      <c r="H60" s="4">
        <v>10</v>
      </c>
      <c r="I60" s="7">
        <v>46113</v>
      </c>
      <c r="J60" s="7">
        <v>46122</v>
      </c>
      <c r="K60" s="4" t="s">
        <v>81</v>
      </c>
      <c r="L60" s="4" t="str">
        <f t="shared" si="0"/>
        <v>Manoj-Marker</v>
      </c>
    </row>
    <row r="61" spans="1:12" x14ac:dyDescent="0.3">
      <c r="A61" s="9">
        <v>1060</v>
      </c>
      <c r="B61" s="9" t="s">
        <v>47</v>
      </c>
      <c r="C61" s="4" t="s">
        <v>19</v>
      </c>
      <c r="D61" s="4" t="s">
        <v>24</v>
      </c>
      <c r="E61" s="4" t="s">
        <v>43</v>
      </c>
      <c r="F61" s="4">
        <v>9</v>
      </c>
      <c r="G61" s="4">
        <v>9727</v>
      </c>
      <c r="H61" s="4">
        <v>2</v>
      </c>
      <c r="I61" s="7">
        <v>46024</v>
      </c>
      <c r="J61" s="7">
        <v>46030</v>
      </c>
      <c r="K61" s="4" t="s">
        <v>79</v>
      </c>
      <c r="L61" s="4" t="str">
        <f t="shared" si="0"/>
        <v>Ajay-Bookshelf</v>
      </c>
    </row>
    <row r="62" spans="1:12" x14ac:dyDescent="0.3">
      <c r="A62" s="9">
        <v>1061</v>
      </c>
      <c r="B62" s="9" t="s">
        <v>54</v>
      </c>
      <c r="C62" s="4" t="s">
        <v>19</v>
      </c>
      <c r="D62" s="4" t="s">
        <v>34</v>
      </c>
      <c r="E62" s="4" t="s">
        <v>40</v>
      </c>
      <c r="F62" s="4">
        <v>16</v>
      </c>
      <c r="G62" s="4">
        <v>59084</v>
      </c>
      <c r="H62" s="4">
        <v>0</v>
      </c>
      <c r="I62" s="7">
        <v>46060</v>
      </c>
      <c r="J62" s="7">
        <v>46069</v>
      </c>
      <c r="K62" s="4" t="s">
        <v>79</v>
      </c>
      <c r="L62" s="4" t="str">
        <f t="shared" si="0"/>
        <v>Sara-Headset</v>
      </c>
    </row>
    <row r="63" spans="1:12" x14ac:dyDescent="0.3">
      <c r="A63" s="9">
        <v>1062</v>
      </c>
      <c r="B63" s="9" t="s">
        <v>39</v>
      </c>
      <c r="C63" s="4" t="s">
        <v>42</v>
      </c>
      <c r="D63" s="4" t="s">
        <v>24</v>
      </c>
      <c r="E63" s="4" t="s">
        <v>10</v>
      </c>
      <c r="F63" s="4">
        <v>8</v>
      </c>
      <c r="G63" s="4">
        <v>8360</v>
      </c>
      <c r="H63" s="4">
        <v>2</v>
      </c>
      <c r="I63" s="7">
        <v>46190</v>
      </c>
      <c r="J63" s="7">
        <v>46200</v>
      </c>
      <c r="K63" s="4" t="s">
        <v>81</v>
      </c>
      <c r="L63" s="4" t="str">
        <f t="shared" si="0"/>
        <v>Deepak-Table</v>
      </c>
    </row>
    <row r="64" spans="1:12" x14ac:dyDescent="0.3">
      <c r="A64" s="9">
        <v>1063</v>
      </c>
      <c r="B64" s="9" t="s">
        <v>52</v>
      </c>
      <c r="C64" s="4" t="s">
        <v>26</v>
      </c>
      <c r="D64" s="4" t="s">
        <v>34</v>
      </c>
      <c r="E64" s="4" t="s">
        <v>6</v>
      </c>
      <c r="F64" s="4">
        <v>7</v>
      </c>
      <c r="G64" s="4">
        <v>66744</v>
      </c>
      <c r="H64" s="4">
        <v>7</v>
      </c>
      <c r="I64" s="7">
        <v>46148</v>
      </c>
      <c r="J64" s="7">
        <v>46155</v>
      </c>
      <c r="K64" s="4" t="s">
        <v>78</v>
      </c>
      <c r="L64" s="4" t="str">
        <f t="shared" si="0"/>
        <v>Manoj-Monitor</v>
      </c>
    </row>
    <row r="65" spans="1:12" x14ac:dyDescent="0.3">
      <c r="A65" s="9">
        <v>1064</v>
      </c>
      <c r="B65" s="9" t="s">
        <v>28</v>
      </c>
      <c r="C65" s="4" t="s">
        <v>23</v>
      </c>
      <c r="D65" s="4" t="s">
        <v>20</v>
      </c>
      <c r="E65" s="4" t="s">
        <v>48</v>
      </c>
      <c r="F65" s="4">
        <v>20</v>
      </c>
      <c r="G65" s="4">
        <v>191</v>
      </c>
      <c r="H65" s="4">
        <v>7</v>
      </c>
      <c r="I65" s="7">
        <v>46185</v>
      </c>
      <c r="J65" s="7">
        <v>46195</v>
      </c>
      <c r="K65" s="4" t="s">
        <v>49</v>
      </c>
      <c r="L65" s="4" t="str">
        <f t="shared" si="0"/>
        <v>Vikram-Marker</v>
      </c>
    </row>
    <row r="66" spans="1:12" x14ac:dyDescent="0.3">
      <c r="A66" s="9">
        <v>1065</v>
      </c>
      <c r="B66" s="9" t="s">
        <v>41</v>
      </c>
      <c r="C66" s="4" t="s">
        <v>42</v>
      </c>
      <c r="D66" s="4" t="s">
        <v>24</v>
      </c>
      <c r="E66" s="4" t="s">
        <v>43</v>
      </c>
      <c r="F66" s="4">
        <v>1</v>
      </c>
      <c r="G66" s="4">
        <v>7730</v>
      </c>
      <c r="H66" s="4">
        <v>5</v>
      </c>
      <c r="I66" s="7">
        <v>46192</v>
      </c>
      <c r="J66" s="7">
        <v>46195</v>
      </c>
      <c r="K66" s="4" t="s">
        <v>81</v>
      </c>
      <c r="L66" s="4" t="str">
        <f t="shared" si="0"/>
        <v>Nisha-Bookshelf</v>
      </c>
    </row>
    <row r="67" spans="1:12" x14ac:dyDescent="0.3">
      <c r="A67" s="9">
        <v>1066</v>
      </c>
      <c r="B67" s="9" t="s">
        <v>45</v>
      </c>
      <c r="C67" s="4" t="s">
        <v>27</v>
      </c>
      <c r="D67" s="4" t="s">
        <v>24</v>
      </c>
      <c r="E67" s="4" t="s">
        <v>43</v>
      </c>
      <c r="F67" s="4">
        <v>15</v>
      </c>
      <c r="G67" s="4">
        <v>11987</v>
      </c>
      <c r="H67" s="4">
        <v>5</v>
      </c>
      <c r="I67" s="7">
        <v>46082</v>
      </c>
      <c r="J67" s="7">
        <v>46083</v>
      </c>
      <c r="K67" s="4" t="s">
        <v>78</v>
      </c>
      <c r="L67" s="4" t="str">
        <f t="shared" ref="L67:L130" si="1">_xlfn.CONCAT(B67, "-", E67)</f>
        <v>Yash-Bookshelf</v>
      </c>
    </row>
    <row r="68" spans="1:12" x14ac:dyDescent="0.3">
      <c r="A68" s="9">
        <v>1067</v>
      </c>
      <c r="B68" s="9" t="s">
        <v>32</v>
      </c>
      <c r="C68" s="4" t="s">
        <v>42</v>
      </c>
      <c r="D68" s="4" t="s">
        <v>24</v>
      </c>
      <c r="E68" s="4" t="s">
        <v>11</v>
      </c>
      <c r="F68" s="4">
        <v>14</v>
      </c>
      <c r="G68" s="4">
        <v>10869</v>
      </c>
      <c r="H68" s="4">
        <v>0</v>
      </c>
      <c r="I68" s="7">
        <v>46058</v>
      </c>
      <c r="J68" s="7">
        <v>46062</v>
      </c>
      <c r="K68" s="4" t="s">
        <v>49</v>
      </c>
      <c r="L68" s="4" t="str">
        <f t="shared" si="1"/>
        <v>Asha-Cabinet</v>
      </c>
    </row>
    <row r="69" spans="1:12" x14ac:dyDescent="0.3">
      <c r="A69" s="9">
        <v>1068</v>
      </c>
      <c r="B69" s="9" t="s">
        <v>50</v>
      </c>
      <c r="C69" s="4" t="s">
        <v>42</v>
      </c>
      <c r="D69" s="4" t="s">
        <v>34</v>
      </c>
      <c r="E69" s="4" t="s">
        <v>9</v>
      </c>
      <c r="F69" s="4">
        <v>15</v>
      </c>
      <c r="G69" s="4">
        <v>14534</v>
      </c>
      <c r="H69" s="4">
        <v>5</v>
      </c>
      <c r="I69" s="7">
        <v>46196</v>
      </c>
      <c r="J69" s="7">
        <v>46199</v>
      </c>
      <c r="K69" s="4" t="s">
        <v>49</v>
      </c>
      <c r="L69" s="4" t="str">
        <f t="shared" si="1"/>
        <v>Komal-Laptop</v>
      </c>
    </row>
    <row r="70" spans="1:12" x14ac:dyDescent="0.3">
      <c r="A70" s="9">
        <v>1069</v>
      </c>
      <c r="B70" s="9" t="s">
        <v>50</v>
      </c>
      <c r="C70" s="4" t="s">
        <v>31</v>
      </c>
      <c r="D70" s="4" t="s">
        <v>24</v>
      </c>
      <c r="E70" s="4" t="s">
        <v>8</v>
      </c>
      <c r="F70" s="4">
        <v>9</v>
      </c>
      <c r="G70" s="4">
        <v>4415</v>
      </c>
      <c r="H70" s="4">
        <v>5</v>
      </c>
      <c r="I70" s="7">
        <v>46039</v>
      </c>
      <c r="J70" s="7">
        <v>46046</v>
      </c>
      <c r="K70" s="4" t="s">
        <v>78</v>
      </c>
      <c r="L70" s="4" t="str">
        <f t="shared" si="1"/>
        <v>Komal-Chair</v>
      </c>
    </row>
    <row r="71" spans="1:12" x14ac:dyDescent="0.3">
      <c r="A71" s="9">
        <v>1070</v>
      </c>
      <c r="B71" s="9" t="s">
        <v>50</v>
      </c>
      <c r="C71" s="4" t="s">
        <v>42</v>
      </c>
      <c r="D71" s="4" t="s">
        <v>20</v>
      </c>
      <c r="E71" s="4" t="s">
        <v>36</v>
      </c>
      <c r="F71" s="4">
        <v>10</v>
      </c>
      <c r="G71" s="4">
        <v>233</v>
      </c>
      <c r="H71" s="4">
        <v>7</v>
      </c>
      <c r="I71" s="7">
        <v>46076</v>
      </c>
      <c r="J71" s="7">
        <v>46077</v>
      </c>
      <c r="K71" s="4" t="s">
        <v>49</v>
      </c>
      <c r="L71" s="4" t="str">
        <f t="shared" si="1"/>
        <v>Komal-Stapler</v>
      </c>
    </row>
    <row r="72" spans="1:12" x14ac:dyDescent="0.3">
      <c r="A72" s="9">
        <v>1071</v>
      </c>
      <c r="B72" s="9" t="s">
        <v>56</v>
      </c>
      <c r="C72" s="4" t="s">
        <v>26</v>
      </c>
      <c r="D72" s="4" t="s">
        <v>34</v>
      </c>
      <c r="E72" s="4" t="s">
        <v>12</v>
      </c>
      <c r="F72" s="4">
        <v>18</v>
      </c>
      <c r="G72" s="4">
        <v>32197</v>
      </c>
      <c r="H72" s="4">
        <v>5</v>
      </c>
      <c r="I72" s="7">
        <v>46129</v>
      </c>
      <c r="J72" s="7">
        <v>46137</v>
      </c>
      <c r="K72" s="4" t="s">
        <v>79</v>
      </c>
      <c r="L72" s="4" t="str">
        <f t="shared" si="1"/>
        <v>Anita-Mouse</v>
      </c>
    </row>
    <row r="73" spans="1:12" x14ac:dyDescent="0.3">
      <c r="A73" s="9">
        <v>1072</v>
      </c>
      <c r="B73" s="9" t="s">
        <v>22</v>
      </c>
      <c r="C73" s="4" t="s">
        <v>27</v>
      </c>
      <c r="D73" s="4" t="s">
        <v>34</v>
      </c>
      <c r="E73" s="4" t="s">
        <v>12</v>
      </c>
      <c r="F73" s="4">
        <v>20</v>
      </c>
      <c r="G73" s="4">
        <v>58779</v>
      </c>
      <c r="H73" s="4">
        <v>0</v>
      </c>
      <c r="I73" s="7">
        <v>46035</v>
      </c>
      <c r="J73" s="7">
        <v>46036</v>
      </c>
      <c r="K73" s="4" t="s">
        <v>80</v>
      </c>
      <c r="L73" s="4" t="str">
        <f t="shared" si="1"/>
        <v>Pooja-Mouse</v>
      </c>
    </row>
    <row r="74" spans="1:12" x14ac:dyDescent="0.3">
      <c r="A74" s="9">
        <v>1073</v>
      </c>
      <c r="B74" s="9" t="s">
        <v>55</v>
      </c>
      <c r="C74" s="4" t="s">
        <v>23</v>
      </c>
      <c r="D74" s="4" t="s">
        <v>24</v>
      </c>
      <c r="E74" s="4" t="s">
        <v>11</v>
      </c>
      <c r="F74" s="4">
        <v>4</v>
      </c>
      <c r="G74" s="4">
        <v>2453</v>
      </c>
      <c r="H74" s="4">
        <v>7</v>
      </c>
      <c r="I74" s="7">
        <v>46126</v>
      </c>
      <c r="J74" s="7">
        <v>46129</v>
      </c>
      <c r="K74" s="4" t="s">
        <v>81</v>
      </c>
      <c r="L74" s="4" t="str">
        <f t="shared" si="1"/>
        <v>Rohan-Cabinet</v>
      </c>
    </row>
    <row r="75" spans="1:12" x14ac:dyDescent="0.3">
      <c r="A75" s="9">
        <v>1074</v>
      </c>
      <c r="B75" s="9" t="s">
        <v>28</v>
      </c>
      <c r="C75" s="4" t="s">
        <v>31</v>
      </c>
      <c r="D75" s="4" t="s">
        <v>20</v>
      </c>
      <c r="E75" s="4" t="s">
        <v>48</v>
      </c>
      <c r="F75" s="4">
        <v>11</v>
      </c>
      <c r="G75" s="4">
        <v>390</v>
      </c>
      <c r="H75" s="4">
        <v>15</v>
      </c>
      <c r="I75" s="7">
        <v>46114</v>
      </c>
      <c r="J75" s="7">
        <v>46123</v>
      </c>
      <c r="K75" s="4" t="s">
        <v>49</v>
      </c>
      <c r="L75" s="4" t="str">
        <f t="shared" si="1"/>
        <v>Vikram-Marker</v>
      </c>
    </row>
    <row r="76" spans="1:12" x14ac:dyDescent="0.3">
      <c r="A76" s="9">
        <v>1075</v>
      </c>
      <c r="B76" s="9" t="s">
        <v>41</v>
      </c>
      <c r="C76" s="4" t="s">
        <v>42</v>
      </c>
      <c r="D76" s="4" t="s">
        <v>34</v>
      </c>
      <c r="E76" s="4" t="s">
        <v>12</v>
      </c>
      <c r="F76" s="4">
        <v>4</v>
      </c>
      <c r="G76" s="4">
        <v>64773</v>
      </c>
      <c r="H76" s="4">
        <v>10</v>
      </c>
      <c r="I76" s="7">
        <v>46185</v>
      </c>
      <c r="J76" s="7">
        <v>46186</v>
      </c>
      <c r="K76" s="4" t="s">
        <v>81</v>
      </c>
      <c r="L76" s="4" t="str">
        <f t="shared" si="1"/>
        <v>Nisha-Mouse</v>
      </c>
    </row>
    <row r="77" spans="1:12" x14ac:dyDescent="0.3">
      <c r="A77" s="9">
        <v>1076</v>
      </c>
      <c r="B77" s="9" t="s">
        <v>49</v>
      </c>
      <c r="C77" s="4" t="s">
        <v>23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7">
        <v>46045</v>
      </c>
      <c r="J77" s="7">
        <v>46055</v>
      </c>
      <c r="K77" s="4" t="s">
        <v>49</v>
      </c>
      <c r="L77" s="4" t="str">
        <f t="shared" si="1"/>
        <v>Priya-Printer</v>
      </c>
    </row>
    <row r="78" spans="1:12" x14ac:dyDescent="0.3">
      <c r="A78" s="9">
        <v>1077</v>
      </c>
      <c r="B78" s="9" t="s">
        <v>53</v>
      </c>
      <c r="C78" s="4" t="s">
        <v>27</v>
      </c>
      <c r="D78" s="4" t="s">
        <v>20</v>
      </c>
      <c r="E78" s="4" t="s">
        <v>21</v>
      </c>
      <c r="F78" s="4">
        <v>1</v>
      </c>
      <c r="G78" s="4">
        <v>123</v>
      </c>
      <c r="H78" s="4">
        <v>10</v>
      </c>
      <c r="I78" s="7">
        <v>46113</v>
      </c>
      <c r="J78" s="7">
        <v>46121</v>
      </c>
      <c r="K78" s="4" t="s">
        <v>81</v>
      </c>
      <c r="L78" s="4" t="str">
        <f t="shared" si="1"/>
        <v>Sneha-Notebook</v>
      </c>
    </row>
    <row r="79" spans="1:12" x14ac:dyDescent="0.3">
      <c r="A79" s="9">
        <v>1078</v>
      </c>
      <c r="B79" s="9" t="s">
        <v>50</v>
      </c>
      <c r="C79" s="4" t="s">
        <v>23</v>
      </c>
      <c r="D79" s="4" t="s">
        <v>34</v>
      </c>
      <c r="E79" s="4" t="s">
        <v>5</v>
      </c>
      <c r="F79" s="4">
        <v>11</v>
      </c>
      <c r="G79" s="4">
        <v>24278</v>
      </c>
      <c r="H79" s="4">
        <v>12</v>
      </c>
      <c r="I79" s="7">
        <v>46084</v>
      </c>
      <c r="J79" s="7">
        <v>46090</v>
      </c>
      <c r="K79" s="4" t="s">
        <v>49</v>
      </c>
      <c r="L79" s="4" t="str">
        <f t="shared" si="1"/>
        <v>Komal-Keyboard</v>
      </c>
    </row>
    <row r="80" spans="1:12" x14ac:dyDescent="0.3">
      <c r="A80" s="9">
        <v>1079</v>
      </c>
      <c r="B80" s="9" t="s">
        <v>28</v>
      </c>
      <c r="C80" s="4" t="s">
        <v>38</v>
      </c>
      <c r="D80" s="4" t="s">
        <v>34</v>
      </c>
      <c r="E80" s="4" t="s">
        <v>40</v>
      </c>
      <c r="F80" s="4">
        <v>19</v>
      </c>
      <c r="G80" s="4">
        <v>48956</v>
      </c>
      <c r="H80" s="4">
        <v>12</v>
      </c>
      <c r="I80" s="7">
        <v>46170</v>
      </c>
      <c r="J80" s="7">
        <v>46177</v>
      </c>
      <c r="K80" s="4" t="s">
        <v>81</v>
      </c>
      <c r="L80" s="4" t="str">
        <f t="shared" si="1"/>
        <v>Vikram-Headset</v>
      </c>
    </row>
    <row r="81" spans="1:12" x14ac:dyDescent="0.3">
      <c r="A81" s="9">
        <v>1080</v>
      </c>
      <c r="B81" s="9" t="s">
        <v>25</v>
      </c>
      <c r="C81" s="4" t="s">
        <v>26</v>
      </c>
      <c r="D81" s="4" t="s">
        <v>34</v>
      </c>
      <c r="E81" s="4" t="s">
        <v>40</v>
      </c>
      <c r="F81" s="4">
        <v>12</v>
      </c>
      <c r="G81" s="4">
        <v>54161</v>
      </c>
      <c r="H81" s="4">
        <v>15</v>
      </c>
      <c r="I81" s="7">
        <v>46133</v>
      </c>
      <c r="J81" s="7">
        <v>46143</v>
      </c>
      <c r="K81" s="4" t="s">
        <v>80</v>
      </c>
      <c r="L81" s="4" t="str">
        <f t="shared" si="1"/>
        <v>Meera-Headset</v>
      </c>
    </row>
    <row r="82" spans="1:12" x14ac:dyDescent="0.3">
      <c r="A82" s="9">
        <v>1081</v>
      </c>
      <c r="B82" s="9" t="s">
        <v>45</v>
      </c>
      <c r="C82" s="4" t="s">
        <v>19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7">
        <v>46058</v>
      </c>
      <c r="J82" s="7">
        <v>46060</v>
      </c>
      <c r="K82" s="4" t="s">
        <v>81</v>
      </c>
      <c r="L82" s="4" t="str">
        <f t="shared" si="1"/>
        <v>Yash-Printer</v>
      </c>
    </row>
    <row r="83" spans="1:12" x14ac:dyDescent="0.3">
      <c r="A83" s="9">
        <v>1082</v>
      </c>
      <c r="B83" s="9" t="s">
        <v>25</v>
      </c>
      <c r="C83" s="4" t="s">
        <v>19</v>
      </c>
      <c r="D83" s="4" t="s">
        <v>20</v>
      </c>
      <c r="E83" s="4" t="s">
        <v>21</v>
      </c>
      <c r="F83" s="4">
        <v>7</v>
      </c>
      <c r="G83" s="4">
        <v>133</v>
      </c>
      <c r="H83" s="4">
        <v>10</v>
      </c>
      <c r="I83" s="7">
        <v>46075</v>
      </c>
      <c r="J83" s="7">
        <v>46085</v>
      </c>
      <c r="K83" s="4" t="s">
        <v>81</v>
      </c>
      <c r="L83" s="4" t="str">
        <f t="shared" si="1"/>
        <v>Meera-Notebook</v>
      </c>
    </row>
    <row r="84" spans="1:12" x14ac:dyDescent="0.3">
      <c r="A84" s="9">
        <v>1083</v>
      </c>
      <c r="B84" s="9" t="s">
        <v>53</v>
      </c>
      <c r="C84" s="4" t="s">
        <v>33</v>
      </c>
      <c r="D84" s="4" t="s">
        <v>20</v>
      </c>
      <c r="E84" s="4" t="s">
        <v>51</v>
      </c>
      <c r="F84" s="4">
        <v>4</v>
      </c>
      <c r="G84" s="4">
        <v>397</v>
      </c>
      <c r="H84" s="4">
        <v>7</v>
      </c>
      <c r="I84" s="7">
        <v>46185</v>
      </c>
      <c r="J84" s="7">
        <v>46193</v>
      </c>
      <c r="K84" s="4" t="s">
        <v>78</v>
      </c>
      <c r="L84" s="4" t="str">
        <f t="shared" si="1"/>
        <v>Sneha-Diary</v>
      </c>
    </row>
    <row r="85" spans="1:12" x14ac:dyDescent="0.3">
      <c r="A85" s="9">
        <v>1084</v>
      </c>
      <c r="B85" s="9" t="s">
        <v>47</v>
      </c>
      <c r="C85" s="4" t="s">
        <v>31</v>
      </c>
      <c r="D85" s="4" t="s">
        <v>24</v>
      </c>
      <c r="E85" s="4" t="s">
        <v>8</v>
      </c>
      <c r="F85" s="4">
        <v>4</v>
      </c>
      <c r="G85" s="4">
        <v>6901</v>
      </c>
      <c r="H85" s="4">
        <v>10</v>
      </c>
      <c r="I85" s="7">
        <v>46047</v>
      </c>
      <c r="J85" s="7">
        <v>46057</v>
      </c>
      <c r="K85" s="4" t="s">
        <v>79</v>
      </c>
      <c r="L85" s="4" t="str">
        <f t="shared" si="1"/>
        <v>Ajay-Chair</v>
      </c>
    </row>
    <row r="86" spans="1:12" x14ac:dyDescent="0.3">
      <c r="A86" s="9">
        <v>1085</v>
      </c>
      <c r="B86" s="9" t="s">
        <v>32</v>
      </c>
      <c r="C86" s="4" t="s">
        <v>38</v>
      </c>
      <c r="D86" s="4" t="s">
        <v>34</v>
      </c>
      <c r="E86" s="4" t="s">
        <v>9</v>
      </c>
      <c r="F86" s="4">
        <v>19</v>
      </c>
      <c r="G86" s="4">
        <v>45307</v>
      </c>
      <c r="H86" s="4">
        <v>12</v>
      </c>
      <c r="I86" s="7">
        <v>46146</v>
      </c>
      <c r="J86" s="7">
        <v>46150</v>
      </c>
      <c r="K86" s="4" t="s">
        <v>80</v>
      </c>
      <c r="L86" s="4" t="str">
        <f t="shared" si="1"/>
        <v>Asha-Laptop</v>
      </c>
    </row>
    <row r="87" spans="1:12" x14ac:dyDescent="0.3">
      <c r="A87" s="9">
        <v>1086</v>
      </c>
      <c r="B87" s="9" t="s">
        <v>32</v>
      </c>
      <c r="C87" s="4" t="s">
        <v>19</v>
      </c>
      <c r="D87" s="4" t="s">
        <v>20</v>
      </c>
      <c r="E87" s="4" t="s">
        <v>51</v>
      </c>
      <c r="F87" s="4">
        <v>15</v>
      </c>
      <c r="G87" s="4">
        <v>40</v>
      </c>
      <c r="H87" s="4">
        <v>10</v>
      </c>
      <c r="I87" s="7">
        <v>46045</v>
      </c>
      <c r="J87" s="7">
        <v>46049</v>
      </c>
      <c r="K87" s="4" t="s">
        <v>80</v>
      </c>
      <c r="L87" s="4" t="str">
        <f t="shared" si="1"/>
        <v>Asha-Diary</v>
      </c>
    </row>
    <row r="88" spans="1:12" x14ac:dyDescent="0.3">
      <c r="A88" s="9">
        <v>1087</v>
      </c>
      <c r="B88" s="9" t="s">
        <v>18</v>
      </c>
      <c r="C88" s="4" t="s">
        <v>31</v>
      </c>
      <c r="D88" s="4" t="s">
        <v>20</v>
      </c>
      <c r="E88" s="4" t="s">
        <v>37</v>
      </c>
      <c r="F88" s="4">
        <v>13</v>
      </c>
      <c r="G88" s="4">
        <v>387</v>
      </c>
      <c r="H88" s="4">
        <v>7</v>
      </c>
      <c r="I88" s="7">
        <v>46171</v>
      </c>
      <c r="J88" s="7">
        <v>46176</v>
      </c>
      <c r="K88" s="4" t="s">
        <v>80</v>
      </c>
      <c r="L88" s="4" t="str">
        <f t="shared" si="1"/>
        <v>Ritesh-Pen Pack</v>
      </c>
    </row>
    <row r="89" spans="1:12" x14ac:dyDescent="0.3">
      <c r="A89" s="9">
        <v>1088</v>
      </c>
      <c r="B89" s="9" t="s">
        <v>39</v>
      </c>
      <c r="C89" s="4" t="s">
        <v>33</v>
      </c>
      <c r="D89" s="4" t="s">
        <v>34</v>
      </c>
      <c r="E89" s="4" t="s">
        <v>40</v>
      </c>
      <c r="F89" s="4">
        <v>20</v>
      </c>
      <c r="G89" s="4">
        <v>41165</v>
      </c>
      <c r="H89" s="4">
        <v>0</v>
      </c>
      <c r="I89" s="7">
        <v>46068</v>
      </c>
      <c r="J89" s="7">
        <v>46069</v>
      </c>
      <c r="K89" s="4" t="s">
        <v>79</v>
      </c>
      <c r="L89" s="4" t="str">
        <f t="shared" si="1"/>
        <v>Deepak-Headset</v>
      </c>
    </row>
    <row r="90" spans="1:12" x14ac:dyDescent="0.3">
      <c r="A90" s="9">
        <v>1089</v>
      </c>
      <c r="B90" s="9" t="s">
        <v>44</v>
      </c>
      <c r="C90" s="4" t="s">
        <v>19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7">
        <v>46066</v>
      </c>
      <c r="J90" s="7">
        <v>46071</v>
      </c>
      <c r="K90" s="4" t="s">
        <v>80</v>
      </c>
      <c r="L90" s="4" t="str">
        <f t="shared" si="1"/>
        <v>Kiran-Printer</v>
      </c>
    </row>
    <row r="91" spans="1:12" x14ac:dyDescent="0.3">
      <c r="A91" s="9">
        <v>1090</v>
      </c>
      <c r="B91" s="9" t="s">
        <v>47</v>
      </c>
      <c r="C91" s="4" t="s">
        <v>31</v>
      </c>
      <c r="D91" s="4" t="s">
        <v>34</v>
      </c>
      <c r="E91" s="4" t="s">
        <v>6</v>
      </c>
      <c r="F91" s="4">
        <v>19</v>
      </c>
      <c r="G91" s="4">
        <v>66139</v>
      </c>
      <c r="H91" s="4">
        <v>5</v>
      </c>
      <c r="I91" s="7">
        <v>46088</v>
      </c>
      <c r="J91" s="7">
        <v>46095</v>
      </c>
      <c r="K91" s="4" t="s">
        <v>80</v>
      </c>
      <c r="L91" s="4" t="str">
        <f t="shared" si="1"/>
        <v>Ajay-Monitor</v>
      </c>
    </row>
    <row r="92" spans="1:12" x14ac:dyDescent="0.3">
      <c r="A92" s="9">
        <v>1091</v>
      </c>
      <c r="B92" s="9" t="s">
        <v>53</v>
      </c>
      <c r="C92" s="4" t="s">
        <v>23</v>
      </c>
      <c r="D92" s="4" t="s">
        <v>20</v>
      </c>
      <c r="E92" s="4" t="s">
        <v>51</v>
      </c>
      <c r="F92" s="4">
        <v>2</v>
      </c>
      <c r="G92" s="4">
        <v>305</v>
      </c>
      <c r="H92" s="4">
        <v>0</v>
      </c>
      <c r="I92" s="7">
        <v>46136</v>
      </c>
      <c r="J92" s="7">
        <v>46144</v>
      </c>
      <c r="K92" s="4" t="s">
        <v>78</v>
      </c>
      <c r="L92" s="4" t="str">
        <f t="shared" si="1"/>
        <v>Sneha-Diary</v>
      </c>
    </row>
    <row r="93" spans="1:12" x14ac:dyDescent="0.3">
      <c r="A93" s="9">
        <v>1092</v>
      </c>
      <c r="B93" s="9" t="s">
        <v>25</v>
      </c>
      <c r="C93" s="4" t="s">
        <v>26</v>
      </c>
      <c r="D93" s="4" t="s">
        <v>34</v>
      </c>
      <c r="E93" s="4" t="s">
        <v>40</v>
      </c>
      <c r="F93" s="4">
        <v>9</v>
      </c>
      <c r="G93" s="4">
        <v>23438</v>
      </c>
      <c r="H93" s="4">
        <v>2</v>
      </c>
      <c r="I93" s="7">
        <v>46049</v>
      </c>
      <c r="J93" s="7">
        <v>46055</v>
      </c>
      <c r="K93" s="4" t="s">
        <v>49</v>
      </c>
      <c r="L93" s="4" t="str">
        <f t="shared" si="1"/>
        <v>Meera-Headset</v>
      </c>
    </row>
    <row r="94" spans="1:12" x14ac:dyDescent="0.3">
      <c r="A94" s="9">
        <v>1093</v>
      </c>
      <c r="B94" s="9" t="s">
        <v>45</v>
      </c>
      <c r="C94" s="4" t="s">
        <v>27</v>
      </c>
      <c r="D94" s="4" t="s">
        <v>24</v>
      </c>
      <c r="E94" s="4" t="s">
        <v>10</v>
      </c>
      <c r="F94" s="4">
        <v>6</v>
      </c>
      <c r="G94" s="4">
        <v>8224</v>
      </c>
      <c r="H94" s="4">
        <v>15</v>
      </c>
      <c r="I94" s="7">
        <v>46175</v>
      </c>
      <c r="J94" s="7">
        <v>46185</v>
      </c>
      <c r="K94" s="4" t="s">
        <v>81</v>
      </c>
      <c r="L94" s="4" t="str">
        <f t="shared" si="1"/>
        <v>Yash-Table</v>
      </c>
    </row>
    <row r="95" spans="1:12" x14ac:dyDescent="0.3">
      <c r="A95" s="9">
        <v>1094</v>
      </c>
      <c r="B95" s="9" t="s">
        <v>45</v>
      </c>
      <c r="C95" s="4" t="s">
        <v>42</v>
      </c>
      <c r="D95" s="4" t="s">
        <v>34</v>
      </c>
      <c r="E95" s="4" t="s">
        <v>12</v>
      </c>
      <c r="F95" s="4">
        <v>4</v>
      </c>
      <c r="G95" s="4">
        <v>7073</v>
      </c>
      <c r="H95" s="4">
        <v>0</v>
      </c>
      <c r="I95" s="7">
        <v>46101</v>
      </c>
      <c r="J95" s="7">
        <v>46105</v>
      </c>
      <c r="K95" s="4" t="s">
        <v>49</v>
      </c>
      <c r="L95" s="4" t="str">
        <f t="shared" si="1"/>
        <v>Yash-Mouse</v>
      </c>
    </row>
    <row r="96" spans="1:12" x14ac:dyDescent="0.3">
      <c r="A96" s="9">
        <v>1095</v>
      </c>
      <c r="B96" s="9" t="s">
        <v>45</v>
      </c>
      <c r="C96" s="4" t="s">
        <v>27</v>
      </c>
      <c r="D96" s="4" t="s">
        <v>34</v>
      </c>
      <c r="E96" s="4" t="s">
        <v>40</v>
      </c>
      <c r="F96" s="4">
        <v>18</v>
      </c>
      <c r="G96" s="4">
        <v>587</v>
      </c>
      <c r="H96" s="4">
        <v>2</v>
      </c>
      <c r="I96" s="7">
        <v>46167</v>
      </c>
      <c r="J96" s="7">
        <v>46171</v>
      </c>
      <c r="K96" s="4" t="s">
        <v>79</v>
      </c>
      <c r="L96" s="4" t="str">
        <f t="shared" si="1"/>
        <v>Yash-Headset</v>
      </c>
    </row>
    <row r="97" spans="1:12" x14ac:dyDescent="0.3">
      <c r="A97" s="9">
        <v>1096</v>
      </c>
      <c r="B97" s="9" t="s">
        <v>47</v>
      </c>
      <c r="C97" s="4" t="s">
        <v>23</v>
      </c>
      <c r="D97" s="4" t="s">
        <v>24</v>
      </c>
      <c r="E97" s="4" t="s">
        <v>10</v>
      </c>
      <c r="F97" s="4">
        <v>15</v>
      </c>
      <c r="G97" s="4">
        <v>14724</v>
      </c>
      <c r="H97" s="4">
        <v>15</v>
      </c>
      <c r="I97" s="7">
        <v>46054</v>
      </c>
      <c r="J97" s="7">
        <v>46061</v>
      </c>
      <c r="K97" s="4" t="s">
        <v>79</v>
      </c>
      <c r="L97" s="4" t="str">
        <f t="shared" si="1"/>
        <v>Ajay-Table</v>
      </c>
    </row>
    <row r="98" spans="1:12" x14ac:dyDescent="0.3">
      <c r="A98" s="9">
        <v>1097</v>
      </c>
      <c r="B98" s="9" t="s">
        <v>50</v>
      </c>
      <c r="C98" s="4" t="s">
        <v>26</v>
      </c>
      <c r="D98" s="4" t="s">
        <v>34</v>
      </c>
      <c r="E98" s="4" t="s">
        <v>12</v>
      </c>
      <c r="F98" s="4">
        <v>10</v>
      </c>
      <c r="G98" s="4">
        <v>28980</v>
      </c>
      <c r="H98" s="4">
        <v>10</v>
      </c>
      <c r="I98" s="7">
        <v>46089</v>
      </c>
      <c r="J98" s="7">
        <v>46094</v>
      </c>
      <c r="K98" s="4" t="s">
        <v>80</v>
      </c>
      <c r="L98" s="4" t="str">
        <f t="shared" si="1"/>
        <v>Komal-Mouse</v>
      </c>
    </row>
    <row r="99" spans="1:12" x14ac:dyDescent="0.3">
      <c r="A99" s="9">
        <v>1098</v>
      </c>
      <c r="B99" s="9" t="s">
        <v>28</v>
      </c>
      <c r="C99" s="4" t="s">
        <v>27</v>
      </c>
      <c r="D99" s="4" t="s">
        <v>20</v>
      </c>
      <c r="E99" s="4" t="s">
        <v>51</v>
      </c>
      <c r="F99" s="4">
        <v>17</v>
      </c>
      <c r="G99" s="4">
        <v>345</v>
      </c>
      <c r="H99" s="4">
        <v>2</v>
      </c>
      <c r="I99" s="7">
        <v>46126</v>
      </c>
      <c r="J99" s="7">
        <v>46127</v>
      </c>
      <c r="K99" s="4" t="s">
        <v>81</v>
      </c>
      <c r="L99" s="4" t="str">
        <f t="shared" si="1"/>
        <v>Vikram-Diary</v>
      </c>
    </row>
    <row r="100" spans="1:12" x14ac:dyDescent="0.3">
      <c r="A100" s="9">
        <v>1099</v>
      </c>
      <c r="B100" s="9" t="s">
        <v>28</v>
      </c>
      <c r="C100" s="4" t="s">
        <v>31</v>
      </c>
      <c r="D100" s="4" t="s">
        <v>24</v>
      </c>
      <c r="E100" s="4" t="s">
        <v>7</v>
      </c>
      <c r="F100" s="4">
        <v>1</v>
      </c>
      <c r="G100" s="4">
        <v>5165</v>
      </c>
      <c r="H100" s="4">
        <v>2</v>
      </c>
      <c r="I100" s="7">
        <v>46058</v>
      </c>
      <c r="J100" s="7">
        <v>46060</v>
      </c>
      <c r="K100" s="4" t="s">
        <v>78</v>
      </c>
      <c r="L100" s="4" t="str">
        <f t="shared" si="1"/>
        <v>Vikram-Desk</v>
      </c>
    </row>
    <row r="101" spans="1:12" x14ac:dyDescent="0.3">
      <c r="A101" s="9">
        <v>1100</v>
      </c>
      <c r="B101" s="9" t="s">
        <v>18</v>
      </c>
      <c r="C101" s="4" t="s">
        <v>31</v>
      </c>
      <c r="D101" s="4" t="s">
        <v>20</v>
      </c>
      <c r="E101" s="4" t="s">
        <v>21</v>
      </c>
      <c r="F101" s="4">
        <v>11</v>
      </c>
      <c r="G101" s="4">
        <v>296</v>
      </c>
      <c r="H101" s="4">
        <v>10</v>
      </c>
      <c r="I101" s="7">
        <v>46027</v>
      </c>
      <c r="J101" s="7">
        <v>46031</v>
      </c>
      <c r="K101" s="4" t="s">
        <v>81</v>
      </c>
      <c r="L101" s="4" t="str">
        <f t="shared" si="1"/>
        <v>Ritesh-Notebook</v>
      </c>
    </row>
    <row r="102" spans="1:12" x14ac:dyDescent="0.3">
      <c r="A102" s="9">
        <v>1101</v>
      </c>
      <c r="B102" s="9" t="s">
        <v>29</v>
      </c>
      <c r="C102" s="4" t="s">
        <v>26</v>
      </c>
      <c r="D102" s="4" t="s">
        <v>34</v>
      </c>
      <c r="E102" s="4" t="s">
        <v>12</v>
      </c>
      <c r="F102" s="4">
        <v>9</v>
      </c>
      <c r="G102" s="4">
        <v>37361</v>
      </c>
      <c r="H102" s="4">
        <v>10</v>
      </c>
      <c r="I102" s="7">
        <v>46141</v>
      </c>
      <c r="J102" s="7">
        <v>46142</v>
      </c>
      <c r="K102" s="4" t="s">
        <v>80</v>
      </c>
      <c r="L102" s="4" t="str">
        <f t="shared" si="1"/>
        <v>Arjun-Mouse</v>
      </c>
    </row>
    <row r="103" spans="1:12" x14ac:dyDescent="0.3">
      <c r="A103" s="9">
        <v>1102</v>
      </c>
      <c r="B103" s="9" t="s">
        <v>52</v>
      </c>
      <c r="C103" s="4" t="s">
        <v>27</v>
      </c>
      <c r="D103" s="4" t="s">
        <v>34</v>
      </c>
      <c r="E103" s="4" t="s">
        <v>6</v>
      </c>
      <c r="F103" s="4">
        <v>12</v>
      </c>
      <c r="G103" s="4">
        <v>63402</v>
      </c>
      <c r="H103" s="4">
        <v>7</v>
      </c>
      <c r="I103" s="7">
        <v>46106</v>
      </c>
      <c r="J103" s="7">
        <v>46113</v>
      </c>
      <c r="K103" s="4" t="s">
        <v>81</v>
      </c>
      <c r="L103" s="4" t="str">
        <f t="shared" si="1"/>
        <v>Manoj-Monitor</v>
      </c>
    </row>
    <row r="104" spans="1:12" x14ac:dyDescent="0.3">
      <c r="A104" s="9">
        <v>1103</v>
      </c>
      <c r="B104" s="9" t="s">
        <v>22</v>
      </c>
      <c r="C104" s="4" t="s">
        <v>19</v>
      </c>
      <c r="D104" s="4" t="s">
        <v>24</v>
      </c>
      <c r="E104" s="4" t="s">
        <v>10</v>
      </c>
      <c r="F104" s="4">
        <v>7</v>
      </c>
      <c r="G104" s="4">
        <v>11925</v>
      </c>
      <c r="H104" s="4">
        <v>5</v>
      </c>
      <c r="I104" s="7">
        <v>46040</v>
      </c>
      <c r="J104" s="7">
        <v>46041</v>
      </c>
      <c r="K104" s="4" t="s">
        <v>49</v>
      </c>
      <c r="L104" s="4" t="str">
        <f t="shared" si="1"/>
        <v>Pooja-Table</v>
      </c>
    </row>
    <row r="105" spans="1:12" x14ac:dyDescent="0.3">
      <c r="A105" s="9">
        <v>1104</v>
      </c>
      <c r="B105" s="9" t="s">
        <v>22</v>
      </c>
      <c r="C105" s="4" t="s">
        <v>42</v>
      </c>
      <c r="D105" s="4" t="s">
        <v>24</v>
      </c>
      <c r="E105" s="4" t="s">
        <v>7</v>
      </c>
      <c r="F105" s="4">
        <v>10</v>
      </c>
      <c r="G105" s="4">
        <v>12848</v>
      </c>
      <c r="H105" s="4">
        <v>15</v>
      </c>
      <c r="I105" s="7">
        <v>46060</v>
      </c>
      <c r="J105" s="7">
        <v>46064</v>
      </c>
      <c r="K105" s="4" t="s">
        <v>49</v>
      </c>
      <c r="L105" s="4" t="str">
        <f t="shared" si="1"/>
        <v>Pooja-Desk</v>
      </c>
    </row>
    <row r="106" spans="1:12" x14ac:dyDescent="0.3">
      <c r="A106" s="9">
        <v>1105</v>
      </c>
      <c r="B106" s="9" t="s">
        <v>56</v>
      </c>
      <c r="C106" s="4" t="s">
        <v>27</v>
      </c>
      <c r="D106" s="4" t="s">
        <v>20</v>
      </c>
      <c r="E106" s="4" t="s">
        <v>48</v>
      </c>
      <c r="F106" s="4">
        <v>2</v>
      </c>
      <c r="G106" s="4">
        <v>493</v>
      </c>
      <c r="H106" s="4">
        <v>12</v>
      </c>
      <c r="I106" s="7">
        <v>46057</v>
      </c>
      <c r="J106" s="7">
        <v>46066</v>
      </c>
      <c r="K106" s="4" t="s">
        <v>81</v>
      </c>
      <c r="L106" s="4" t="str">
        <f t="shared" si="1"/>
        <v>Anita-Marker</v>
      </c>
    </row>
    <row r="107" spans="1:12" x14ac:dyDescent="0.3">
      <c r="A107" s="9">
        <v>1106</v>
      </c>
      <c r="B107" s="9" t="s">
        <v>29</v>
      </c>
      <c r="C107" s="4" t="s">
        <v>42</v>
      </c>
      <c r="D107" s="4" t="s">
        <v>24</v>
      </c>
      <c r="E107" s="4" t="s">
        <v>10</v>
      </c>
      <c r="F107" s="4">
        <v>20</v>
      </c>
      <c r="G107" s="4">
        <v>2141</v>
      </c>
      <c r="H107" s="4">
        <v>2</v>
      </c>
      <c r="I107" s="7">
        <v>46091</v>
      </c>
      <c r="J107" s="7">
        <v>46097</v>
      </c>
      <c r="K107" s="4" t="s">
        <v>49</v>
      </c>
      <c r="L107" s="4" t="str">
        <f t="shared" si="1"/>
        <v>Arjun-Table</v>
      </c>
    </row>
    <row r="108" spans="1:12" x14ac:dyDescent="0.3">
      <c r="A108" s="9">
        <v>1107</v>
      </c>
      <c r="B108" s="9" t="s">
        <v>50</v>
      </c>
      <c r="C108" s="4" t="s">
        <v>23</v>
      </c>
      <c r="D108" s="4" t="s">
        <v>34</v>
      </c>
      <c r="E108" s="4" t="s">
        <v>9</v>
      </c>
      <c r="F108" s="4">
        <v>4</v>
      </c>
      <c r="G108" s="4">
        <v>14291</v>
      </c>
      <c r="H108" s="4">
        <v>2</v>
      </c>
      <c r="I108" s="7">
        <v>46076</v>
      </c>
      <c r="J108" s="7">
        <v>46078</v>
      </c>
      <c r="K108" s="4" t="s">
        <v>78</v>
      </c>
      <c r="L108" s="4" t="str">
        <f t="shared" si="1"/>
        <v>Komal-Laptop</v>
      </c>
    </row>
    <row r="109" spans="1:12" x14ac:dyDescent="0.3">
      <c r="A109" s="9">
        <v>1108</v>
      </c>
      <c r="B109" s="9" t="s">
        <v>41</v>
      </c>
      <c r="C109" s="4" t="s">
        <v>33</v>
      </c>
      <c r="D109" s="4" t="s">
        <v>24</v>
      </c>
      <c r="E109" s="4" t="s">
        <v>8</v>
      </c>
      <c r="F109" s="4">
        <v>15</v>
      </c>
      <c r="G109" s="4">
        <v>13843</v>
      </c>
      <c r="H109" s="4">
        <v>7</v>
      </c>
      <c r="I109" s="7">
        <v>46119</v>
      </c>
      <c r="J109" s="7">
        <v>46127</v>
      </c>
      <c r="K109" s="4" t="s">
        <v>79</v>
      </c>
      <c r="L109" s="4" t="str">
        <f t="shared" si="1"/>
        <v>Nisha-Chair</v>
      </c>
    </row>
    <row r="110" spans="1:12" x14ac:dyDescent="0.3">
      <c r="A110" s="9">
        <v>1109</v>
      </c>
      <c r="B110" s="9" t="s">
        <v>25</v>
      </c>
      <c r="C110" s="4" t="s">
        <v>31</v>
      </c>
      <c r="D110" s="4" t="s">
        <v>24</v>
      </c>
      <c r="E110" s="4" t="s">
        <v>43</v>
      </c>
      <c r="F110" s="4">
        <v>19</v>
      </c>
      <c r="G110" s="4">
        <v>6512</v>
      </c>
      <c r="H110" s="4">
        <v>10</v>
      </c>
      <c r="I110" s="7">
        <v>46033</v>
      </c>
      <c r="J110" s="7">
        <v>46037</v>
      </c>
      <c r="K110" s="4" t="s">
        <v>79</v>
      </c>
      <c r="L110" s="4" t="str">
        <f t="shared" si="1"/>
        <v>Meera-Bookshelf</v>
      </c>
    </row>
    <row r="111" spans="1:12" x14ac:dyDescent="0.3">
      <c r="A111" s="9">
        <v>1110</v>
      </c>
      <c r="B111" s="9" t="s">
        <v>47</v>
      </c>
      <c r="C111" s="4" t="s">
        <v>38</v>
      </c>
      <c r="D111" s="4" t="s">
        <v>24</v>
      </c>
      <c r="E111" s="4" t="s">
        <v>10</v>
      </c>
      <c r="F111" s="4">
        <v>14</v>
      </c>
      <c r="G111" s="4">
        <v>6793</v>
      </c>
      <c r="H111" s="4">
        <v>7</v>
      </c>
      <c r="I111" s="7">
        <v>46077</v>
      </c>
      <c r="J111" s="7">
        <v>46082</v>
      </c>
      <c r="K111" s="4" t="s">
        <v>49</v>
      </c>
      <c r="L111" s="4" t="str">
        <f t="shared" si="1"/>
        <v>Ajay-Table</v>
      </c>
    </row>
    <row r="112" spans="1:12" x14ac:dyDescent="0.3">
      <c r="A112" s="9">
        <v>1111</v>
      </c>
      <c r="B112" s="9" t="s">
        <v>45</v>
      </c>
      <c r="C112" s="4" t="s">
        <v>23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7">
        <v>46133</v>
      </c>
      <c r="J112" s="7">
        <v>46141</v>
      </c>
      <c r="K112" s="4" t="s">
        <v>49</v>
      </c>
      <c r="L112" s="4" t="str">
        <f t="shared" si="1"/>
        <v>Yash-Printer</v>
      </c>
    </row>
    <row r="113" spans="1:12" x14ac:dyDescent="0.3">
      <c r="A113" s="9">
        <v>1112</v>
      </c>
      <c r="B113" s="9" t="s">
        <v>25</v>
      </c>
      <c r="C113" s="4" t="s">
        <v>42</v>
      </c>
      <c r="D113" s="4" t="s">
        <v>24</v>
      </c>
      <c r="E113" s="4" t="s">
        <v>43</v>
      </c>
      <c r="F113" s="4">
        <v>7</v>
      </c>
      <c r="G113" s="4">
        <v>1959</v>
      </c>
      <c r="H113" s="4">
        <v>15</v>
      </c>
      <c r="I113" s="7">
        <v>46090</v>
      </c>
      <c r="J113" s="7">
        <v>46100</v>
      </c>
      <c r="K113" s="4" t="s">
        <v>78</v>
      </c>
      <c r="L113" s="4" t="str">
        <f t="shared" si="1"/>
        <v>Meera-Bookshelf</v>
      </c>
    </row>
    <row r="114" spans="1:12" x14ac:dyDescent="0.3">
      <c r="A114" s="9">
        <v>1113</v>
      </c>
      <c r="B114" s="9" t="s">
        <v>28</v>
      </c>
      <c r="C114" s="4" t="s">
        <v>42</v>
      </c>
      <c r="D114" s="4" t="s">
        <v>24</v>
      </c>
      <c r="E114" s="4" t="s">
        <v>11</v>
      </c>
      <c r="F114" s="4">
        <v>13</v>
      </c>
      <c r="G114" s="4">
        <v>6719</v>
      </c>
      <c r="H114" s="4">
        <v>15</v>
      </c>
      <c r="I114" s="7">
        <v>46076</v>
      </c>
      <c r="J114" s="7">
        <v>46081</v>
      </c>
      <c r="K114" s="4" t="s">
        <v>80</v>
      </c>
      <c r="L114" s="4" t="str">
        <f t="shared" si="1"/>
        <v>Vikram-Cabinet</v>
      </c>
    </row>
    <row r="115" spans="1:12" x14ac:dyDescent="0.3">
      <c r="A115" s="9">
        <v>1114</v>
      </c>
      <c r="B115" s="9" t="s">
        <v>22</v>
      </c>
      <c r="C115" s="4" t="s">
        <v>27</v>
      </c>
      <c r="D115" s="4" t="s">
        <v>20</v>
      </c>
      <c r="E115" s="4" t="s">
        <v>48</v>
      </c>
      <c r="F115" s="4">
        <v>13</v>
      </c>
      <c r="G115" s="4">
        <v>32</v>
      </c>
      <c r="H115" s="4">
        <v>15</v>
      </c>
      <c r="I115" s="7">
        <v>46066</v>
      </c>
      <c r="J115" s="7">
        <v>46069</v>
      </c>
      <c r="K115" s="4" t="s">
        <v>78</v>
      </c>
      <c r="L115" s="4" t="str">
        <f t="shared" si="1"/>
        <v>Pooja-Marker</v>
      </c>
    </row>
    <row r="116" spans="1:12" x14ac:dyDescent="0.3">
      <c r="A116" s="9">
        <v>1115</v>
      </c>
      <c r="B116" s="9" t="s">
        <v>56</v>
      </c>
      <c r="C116" s="4" t="s">
        <v>42</v>
      </c>
      <c r="D116" s="4" t="s">
        <v>20</v>
      </c>
      <c r="E116" s="4" t="s">
        <v>48</v>
      </c>
      <c r="F116" s="4">
        <v>9</v>
      </c>
      <c r="G116" s="4">
        <v>303</v>
      </c>
      <c r="H116" s="4">
        <v>10</v>
      </c>
      <c r="I116" s="7">
        <v>46149</v>
      </c>
      <c r="J116" s="7">
        <v>46157</v>
      </c>
      <c r="K116" s="4" t="s">
        <v>49</v>
      </c>
      <c r="L116" s="4" t="str">
        <f t="shared" si="1"/>
        <v>Anita-Marker</v>
      </c>
    </row>
    <row r="117" spans="1:12" x14ac:dyDescent="0.3">
      <c r="A117" s="9">
        <v>1116</v>
      </c>
      <c r="B117" s="9" t="s">
        <v>22</v>
      </c>
      <c r="C117" s="4" t="s">
        <v>27</v>
      </c>
      <c r="D117" s="4" t="s">
        <v>24</v>
      </c>
      <c r="E117" s="4" t="s">
        <v>11</v>
      </c>
      <c r="F117" s="4">
        <v>2</v>
      </c>
      <c r="G117" s="4">
        <v>12692</v>
      </c>
      <c r="H117" s="4">
        <v>15</v>
      </c>
      <c r="I117" s="7">
        <v>46049</v>
      </c>
      <c r="J117" s="7">
        <v>46051</v>
      </c>
      <c r="K117" s="4" t="s">
        <v>78</v>
      </c>
      <c r="L117" s="4" t="str">
        <f t="shared" si="1"/>
        <v>Pooja-Cabinet</v>
      </c>
    </row>
    <row r="118" spans="1:12" x14ac:dyDescent="0.3">
      <c r="A118" s="9">
        <v>1117</v>
      </c>
      <c r="B118" s="9" t="s">
        <v>53</v>
      </c>
      <c r="C118" s="4" t="s">
        <v>42</v>
      </c>
      <c r="D118" s="4" t="s">
        <v>34</v>
      </c>
      <c r="E118" s="4" t="s">
        <v>5</v>
      </c>
      <c r="F118" s="4">
        <v>16</v>
      </c>
      <c r="G118" s="4">
        <v>33162</v>
      </c>
      <c r="H118" s="4">
        <v>7</v>
      </c>
      <c r="I118" s="7">
        <v>46147</v>
      </c>
      <c r="J118" s="7">
        <v>46155</v>
      </c>
      <c r="K118" s="4" t="s">
        <v>49</v>
      </c>
      <c r="L118" s="4" t="str">
        <f t="shared" si="1"/>
        <v>Sneha-Keyboard</v>
      </c>
    </row>
    <row r="119" spans="1:12" x14ac:dyDescent="0.3">
      <c r="A119" s="9">
        <v>1118</v>
      </c>
      <c r="B119" s="9" t="s">
        <v>25</v>
      </c>
      <c r="C119" s="4" t="s">
        <v>26</v>
      </c>
      <c r="D119" s="4" t="s">
        <v>24</v>
      </c>
      <c r="E119" s="4" t="s">
        <v>10</v>
      </c>
      <c r="F119" s="4">
        <v>18</v>
      </c>
      <c r="G119" s="4">
        <v>9118</v>
      </c>
      <c r="H119" s="4">
        <v>5</v>
      </c>
      <c r="I119" s="7">
        <v>46178</v>
      </c>
      <c r="J119" s="7">
        <v>46187</v>
      </c>
      <c r="K119" s="4" t="s">
        <v>49</v>
      </c>
      <c r="L119" s="4" t="str">
        <f t="shared" si="1"/>
        <v>Meera-Table</v>
      </c>
    </row>
    <row r="120" spans="1:12" x14ac:dyDescent="0.3">
      <c r="A120" s="9">
        <v>1119</v>
      </c>
      <c r="B120" s="9" t="s">
        <v>30</v>
      </c>
      <c r="C120" s="4" t="s">
        <v>42</v>
      </c>
      <c r="D120" s="4" t="s">
        <v>24</v>
      </c>
      <c r="E120" s="4" t="s">
        <v>8</v>
      </c>
      <c r="F120" s="4">
        <v>2</v>
      </c>
      <c r="G120" s="4">
        <v>3706</v>
      </c>
      <c r="H120" s="4">
        <v>5</v>
      </c>
      <c r="I120" s="7">
        <v>46184</v>
      </c>
      <c r="J120" s="7">
        <v>46192</v>
      </c>
      <c r="K120" s="4" t="s">
        <v>81</v>
      </c>
      <c r="L120" s="4" t="str">
        <f t="shared" si="1"/>
        <v>Neha-Chair</v>
      </c>
    </row>
    <row r="121" spans="1:12" x14ac:dyDescent="0.3">
      <c r="A121" s="9">
        <v>1120</v>
      </c>
      <c r="B121" s="9" t="s">
        <v>32</v>
      </c>
      <c r="C121" s="4" t="s">
        <v>38</v>
      </c>
      <c r="D121" s="4" t="s">
        <v>20</v>
      </c>
      <c r="E121" s="4" t="s">
        <v>36</v>
      </c>
      <c r="F121" s="4">
        <v>10</v>
      </c>
      <c r="G121" s="4">
        <v>438</v>
      </c>
      <c r="H121" s="4">
        <v>10</v>
      </c>
      <c r="I121" s="7">
        <v>46061</v>
      </c>
      <c r="J121" s="7">
        <v>46065</v>
      </c>
      <c r="K121" s="4" t="s">
        <v>81</v>
      </c>
      <c r="L121" s="4" t="str">
        <f t="shared" si="1"/>
        <v>Asha-Stapler</v>
      </c>
    </row>
    <row r="122" spans="1:12" x14ac:dyDescent="0.3">
      <c r="A122" s="9">
        <v>1121</v>
      </c>
      <c r="B122" s="9" t="s">
        <v>49</v>
      </c>
      <c r="C122" s="4" t="s">
        <v>19</v>
      </c>
      <c r="D122" s="4" t="s">
        <v>34</v>
      </c>
      <c r="E122" s="4" t="s">
        <v>5</v>
      </c>
      <c r="F122" s="4">
        <v>4</v>
      </c>
      <c r="G122" s="4">
        <v>55809</v>
      </c>
      <c r="H122" s="4">
        <v>2</v>
      </c>
      <c r="I122" s="7">
        <v>46103</v>
      </c>
      <c r="J122" s="7">
        <v>46108</v>
      </c>
      <c r="K122" s="4" t="s">
        <v>49</v>
      </c>
      <c r="L122" s="4" t="str">
        <f t="shared" si="1"/>
        <v>Priya-Keyboard</v>
      </c>
    </row>
    <row r="123" spans="1:12" x14ac:dyDescent="0.3">
      <c r="A123" s="9">
        <v>1122</v>
      </c>
      <c r="B123" s="9" t="s">
        <v>39</v>
      </c>
      <c r="C123" s="4" t="s">
        <v>26</v>
      </c>
      <c r="D123" s="4" t="s">
        <v>34</v>
      </c>
      <c r="E123" s="4" t="s">
        <v>5</v>
      </c>
      <c r="F123" s="4">
        <v>14</v>
      </c>
      <c r="G123" s="4">
        <v>49990</v>
      </c>
      <c r="H123" s="4">
        <v>10</v>
      </c>
      <c r="I123" s="7">
        <v>46132</v>
      </c>
      <c r="J123" s="7">
        <v>46135</v>
      </c>
      <c r="K123" s="4" t="s">
        <v>49</v>
      </c>
      <c r="L123" s="4" t="str">
        <f t="shared" si="1"/>
        <v>Deepak-Keyboard</v>
      </c>
    </row>
    <row r="124" spans="1:12" x14ac:dyDescent="0.3">
      <c r="A124" s="9">
        <v>1123</v>
      </c>
      <c r="B124" s="9" t="s">
        <v>32</v>
      </c>
      <c r="C124" s="4" t="s">
        <v>31</v>
      </c>
      <c r="D124" s="4" t="s">
        <v>34</v>
      </c>
      <c r="E124" s="4" t="s">
        <v>6</v>
      </c>
      <c r="F124" s="4">
        <v>16</v>
      </c>
      <c r="G124" s="4">
        <v>1332</v>
      </c>
      <c r="H124" s="4">
        <v>7</v>
      </c>
      <c r="I124" s="7">
        <v>46107</v>
      </c>
      <c r="J124" s="7">
        <v>46109</v>
      </c>
      <c r="K124" s="4" t="s">
        <v>49</v>
      </c>
      <c r="L124" s="4" t="str">
        <f t="shared" si="1"/>
        <v>Asha-Monitor</v>
      </c>
    </row>
    <row r="125" spans="1:12" x14ac:dyDescent="0.3">
      <c r="A125" s="9">
        <v>1124</v>
      </c>
      <c r="B125" s="9" t="s">
        <v>29</v>
      </c>
      <c r="C125" s="4" t="s">
        <v>38</v>
      </c>
      <c r="D125" s="4" t="s">
        <v>24</v>
      </c>
      <c r="E125" s="4" t="s">
        <v>11</v>
      </c>
      <c r="F125" s="4">
        <v>4</v>
      </c>
      <c r="G125" s="4">
        <v>14195</v>
      </c>
      <c r="H125" s="4">
        <v>15</v>
      </c>
      <c r="I125" s="7">
        <v>46182</v>
      </c>
      <c r="J125" s="7">
        <v>46189</v>
      </c>
      <c r="K125" s="4" t="s">
        <v>81</v>
      </c>
      <c r="L125" s="4" t="str">
        <f t="shared" si="1"/>
        <v>Arjun-Cabinet</v>
      </c>
    </row>
    <row r="126" spans="1:12" x14ac:dyDescent="0.3">
      <c r="A126" s="9">
        <v>1125</v>
      </c>
      <c r="B126" s="9" t="s">
        <v>47</v>
      </c>
      <c r="C126" s="4" t="s">
        <v>33</v>
      </c>
      <c r="D126" s="4" t="s">
        <v>20</v>
      </c>
      <c r="E126" s="4" t="s">
        <v>21</v>
      </c>
      <c r="F126" s="4">
        <v>6</v>
      </c>
      <c r="G126" s="4">
        <v>30</v>
      </c>
      <c r="H126" s="4">
        <v>2</v>
      </c>
      <c r="I126" s="7">
        <v>46133</v>
      </c>
      <c r="J126" s="7">
        <v>46138</v>
      </c>
      <c r="K126" s="4" t="s">
        <v>80</v>
      </c>
      <c r="L126" s="4" t="str">
        <f t="shared" si="1"/>
        <v>Ajay-Notebook</v>
      </c>
    </row>
    <row r="127" spans="1:12" x14ac:dyDescent="0.3">
      <c r="A127" s="9">
        <v>1126</v>
      </c>
      <c r="B127" s="9" t="s">
        <v>44</v>
      </c>
      <c r="C127" s="4" t="s">
        <v>26</v>
      </c>
      <c r="D127" s="4" t="s">
        <v>34</v>
      </c>
      <c r="E127" s="4" t="s">
        <v>5</v>
      </c>
      <c r="F127" s="4">
        <v>17</v>
      </c>
      <c r="G127" s="4">
        <v>19390</v>
      </c>
      <c r="H127" s="4">
        <v>12</v>
      </c>
      <c r="I127" s="7">
        <v>46201</v>
      </c>
      <c r="J127" s="7">
        <v>46206</v>
      </c>
      <c r="K127" s="4" t="s">
        <v>49</v>
      </c>
      <c r="L127" s="4" t="str">
        <f t="shared" si="1"/>
        <v>Kiran-Keyboard</v>
      </c>
    </row>
    <row r="128" spans="1:12" x14ac:dyDescent="0.3">
      <c r="A128" s="9">
        <v>1127</v>
      </c>
      <c r="B128" s="9" t="s">
        <v>28</v>
      </c>
      <c r="C128" s="4" t="s">
        <v>33</v>
      </c>
      <c r="D128" s="4" t="s">
        <v>24</v>
      </c>
      <c r="E128" s="4" t="s">
        <v>8</v>
      </c>
      <c r="F128" s="4">
        <v>15</v>
      </c>
      <c r="G128" s="4">
        <v>11694</v>
      </c>
      <c r="H128" s="4">
        <v>12</v>
      </c>
      <c r="I128" s="7">
        <v>46170</v>
      </c>
      <c r="J128" s="7">
        <v>46179</v>
      </c>
      <c r="K128" s="4" t="s">
        <v>49</v>
      </c>
      <c r="L128" s="4" t="str">
        <f t="shared" si="1"/>
        <v>Vikram-Chair</v>
      </c>
    </row>
    <row r="129" spans="1:12" x14ac:dyDescent="0.3">
      <c r="A129" s="9">
        <v>1128</v>
      </c>
      <c r="B129" s="9" t="s">
        <v>30</v>
      </c>
      <c r="C129" s="4" t="s">
        <v>26</v>
      </c>
      <c r="D129" s="4" t="s">
        <v>34</v>
      </c>
      <c r="E129" s="4" t="s">
        <v>12</v>
      </c>
      <c r="F129" s="4">
        <v>6</v>
      </c>
      <c r="G129" s="4">
        <v>5001</v>
      </c>
      <c r="H129" s="4">
        <v>7</v>
      </c>
      <c r="I129" s="7">
        <v>46044</v>
      </c>
      <c r="J129" s="7">
        <v>46050</v>
      </c>
      <c r="K129" s="4" t="s">
        <v>49</v>
      </c>
      <c r="L129" s="4" t="str">
        <f t="shared" si="1"/>
        <v>Neha-Mouse</v>
      </c>
    </row>
    <row r="130" spans="1:12" x14ac:dyDescent="0.3">
      <c r="A130" s="9">
        <v>1129</v>
      </c>
      <c r="B130" s="9" t="s">
        <v>55</v>
      </c>
      <c r="C130" s="4" t="s">
        <v>23</v>
      </c>
      <c r="D130" s="4" t="s">
        <v>20</v>
      </c>
      <c r="E130" s="4" t="s">
        <v>48</v>
      </c>
      <c r="F130" s="4">
        <v>15</v>
      </c>
      <c r="G130" s="4">
        <v>75</v>
      </c>
      <c r="H130" s="4">
        <v>7</v>
      </c>
      <c r="I130" s="7">
        <v>46160</v>
      </c>
      <c r="J130" s="7">
        <v>46164</v>
      </c>
      <c r="K130" s="4" t="s">
        <v>49</v>
      </c>
      <c r="L130" s="4" t="str">
        <f t="shared" si="1"/>
        <v>Rohan-Marker</v>
      </c>
    </row>
    <row r="131" spans="1:12" x14ac:dyDescent="0.3">
      <c r="A131" s="9">
        <v>1130</v>
      </c>
      <c r="B131" s="9" t="s">
        <v>46</v>
      </c>
      <c r="C131" s="4" t="s">
        <v>33</v>
      </c>
      <c r="D131" s="4" t="s">
        <v>20</v>
      </c>
      <c r="E131" s="4" t="s">
        <v>21</v>
      </c>
      <c r="F131" s="4">
        <v>12</v>
      </c>
      <c r="G131" s="4">
        <v>50</v>
      </c>
      <c r="H131" s="4">
        <v>2</v>
      </c>
      <c r="I131" s="7">
        <v>46125</v>
      </c>
      <c r="J131" s="7">
        <v>46131</v>
      </c>
      <c r="K131" s="4" t="s">
        <v>80</v>
      </c>
      <c r="L131" s="4" t="str">
        <f t="shared" ref="L131:L194" si="2">_xlfn.CONCAT(B131, "-", E131)</f>
        <v>Nitin-Notebook</v>
      </c>
    </row>
    <row r="132" spans="1:12" x14ac:dyDescent="0.3">
      <c r="A132" s="9">
        <v>1131</v>
      </c>
      <c r="B132" s="9" t="s">
        <v>25</v>
      </c>
      <c r="C132" s="4" t="s">
        <v>31</v>
      </c>
      <c r="D132" s="4" t="s">
        <v>24</v>
      </c>
      <c r="E132" s="4" t="s">
        <v>10</v>
      </c>
      <c r="F132" s="4">
        <v>13</v>
      </c>
      <c r="G132" s="4">
        <v>3083</v>
      </c>
      <c r="H132" s="4">
        <v>7</v>
      </c>
      <c r="I132" s="7">
        <v>46168</v>
      </c>
      <c r="J132" s="7">
        <v>46173</v>
      </c>
      <c r="K132" s="4" t="s">
        <v>81</v>
      </c>
      <c r="L132" s="4" t="str">
        <f t="shared" si="2"/>
        <v>Meera-Table</v>
      </c>
    </row>
    <row r="133" spans="1:12" x14ac:dyDescent="0.3">
      <c r="A133" s="9">
        <v>1132</v>
      </c>
      <c r="B133" s="9" t="s">
        <v>18</v>
      </c>
      <c r="C133" s="4" t="s">
        <v>31</v>
      </c>
      <c r="D133" s="4" t="s">
        <v>20</v>
      </c>
      <c r="E133" s="4" t="s">
        <v>48</v>
      </c>
      <c r="F133" s="4">
        <v>10</v>
      </c>
      <c r="G133" s="4">
        <v>270</v>
      </c>
      <c r="H133" s="4">
        <v>7</v>
      </c>
      <c r="I133" s="7">
        <v>46024</v>
      </c>
      <c r="J133" s="7">
        <v>46034</v>
      </c>
      <c r="K133" s="4" t="s">
        <v>80</v>
      </c>
      <c r="L133" s="4" t="str">
        <f t="shared" si="2"/>
        <v>Ritesh-Marker</v>
      </c>
    </row>
    <row r="134" spans="1:12" x14ac:dyDescent="0.3">
      <c r="A134" s="9">
        <v>1133</v>
      </c>
      <c r="B134" s="9" t="s">
        <v>18</v>
      </c>
      <c r="C134" s="4" t="s">
        <v>19</v>
      </c>
      <c r="D134" s="4" t="s">
        <v>24</v>
      </c>
      <c r="E134" s="4" t="s">
        <v>11</v>
      </c>
      <c r="F134" s="4">
        <v>6</v>
      </c>
      <c r="G134" s="4">
        <v>9037</v>
      </c>
      <c r="H134" s="4">
        <v>2</v>
      </c>
      <c r="I134" s="7">
        <v>46112</v>
      </c>
      <c r="J134" s="7">
        <v>46121</v>
      </c>
      <c r="K134" s="4" t="s">
        <v>81</v>
      </c>
      <c r="L134" s="4" t="str">
        <f t="shared" si="2"/>
        <v>Ritesh-Cabinet</v>
      </c>
    </row>
    <row r="135" spans="1:12" x14ac:dyDescent="0.3">
      <c r="A135" s="9">
        <v>1134</v>
      </c>
      <c r="B135" s="9" t="s">
        <v>54</v>
      </c>
      <c r="C135" s="4" t="s">
        <v>31</v>
      </c>
      <c r="D135" s="4" t="s">
        <v>34</v>
      </c>
      <c r="E135" s="4" t="s">
        <v>12</v>
      </c>
      <c r="F135" s="4">
        <v>10</v>
      </c>
      <c r="G135" s="4">
        <v>29217</v>
      </c>
      <c r="H135" s="4">
        <v>15</v>
      </c>
      <c r="I135" s="7">
        <v>46148</v>
      </c>
      <c r="J135" s="7">
        <v>46150</v>
      </c>
      <c r="K135" s="4" t="s">
        <v>80</v>
      </c>
      <c r="L135" s="4" t="str">
        <f t="shared" si="2"/>
        <v>Sara-Mouse</v>
      </c>
    </row>
    <row r="136" spans="1:12" x14ac:dyDescent="0.3">
      <c r="A136" s="9">
        <v>1135</v>
      </c>
      <c r="B136" s="9" t="s">
        <v>47</v>
      </c>
      <c r="C136" s="4" t="s">
        <v>42</v>
      </c>
      <c r="D136" s="4" t="s">
        <v>34</v>
      </c>
      <c r="E136" s="4" t="s">
        <v>5</v>
      </c>
      <c r="F136" s="4">
        <v>14</v>
      </c>
      <c r="G136" s="4">
        <v>68534</v>
      </c>
      <c r="H136" s="4">
        <v>0</v>
      </c>
      <c r="I136" s="7">
        <v>46041</v>
      </c>
      <c r="J136" s="7">
        <v>46042</v>
      </c>
      <c r="K136" s="4" t="s">
        <v>78</v>
      </c>
      <c r="L136" s="4" t="str">
        <f t="shared" si="2"/>
        <v>Ajay-Keyboard</v>
      </c>
    </row>
    <row r="137" spans="1:12" x14ac:dyDescent="0.3">
      <c r="A137" s="9">
        <v>1136</v>
      </c>
      <c r="B137" s="9" t="s">
        <v>29</v>
      </c>
      <c r="C137" s="4" t="s">
        <v>42</v>
      </c>
      <c r="D137" s="4" t="s">
        <v>24</v>
      </c>
      <c r="E137" s="4" t="s">
        <v>11</v>
      </c>
      <c r="F137" s="4">
        <v>19</v>
      </c>
      <c r="G137" s="4">
        <v>14528</v>
      </c>
      <c r="H137" s="4">
        <v>12</v>
      </c>
      <c r="I137" s="7">
        <v>46056</v>
      </c>
      <c r="J137" s="7">
        <v>46062</v>
      </c>
      <c r="K137" s="4" t="s">
        <v>80</v>
      </c>
      <c r="L137" s="4" t="str">
        <f t="shared" si="2"/>
        <v>Arjun-Cabinet</v>
      </c>
    </row>
    <row r="138" spans="1:12" x14ac:dyDescent="0.3">
      <c r="A138" s="9">
        <v>1137</v>
      </c>
      <c r="B138" s="9" t="s">
        <v>50</v>
      </c>
      <c r="C138" s="4" t="s">
        <v>19</v>
      </c>
      <c r="D138" s="4" t="s">
        <v>20</v>
      </c>
      <c r="E138" s="4" t="s">
        <v>37</v>
      </c>
      <c r="F138" s="4">
        <v>16</v>
      </c>
      <c r="G138" s="4">
        <v>270</v>
      </c>
      <c r="H138" s="4">
        <v>10</v>
      </c>
      <c r="I138" s="7">
        <v>46184</v>
      </c>
      <c r="J138" s="7">
        <v>46190</v>
      </c>
      <c r="K138" s="4" t="s">
        <v>49</v>
      </c>
      <c r="L138" s="4" t="str">
        <f t="shared" si="2"/>
        <v>Komal-Pen Pack</v>
      </c>
    </row>
    <row r="139" spans="1:12" x14ac:dyDescent="0.3">
      <c r="A139" s="9">
        <v>1138</v>
      </c>
      <c r="B139" s="9" t="s">
        <v>53</v>
      </c>
      <c r="C139" s="4" t="s">
        <v>42</v>
      </c>
      <c r="D139" s="4" t="s">
        <v>24</v>
      </c>
      <c r="E139" s="4" t="s">
        <v>7</v>
      </c>
      <c r="F139" s="4">
        <v>5</v>
      </c>
      <c r="G139" s="4">
        <v>14466</v>
      </c>
      <c r="H139" s="4">
        <v>2</v>
      </c>
      <c r="I139" s="7">
        <v>46084</v>
      </c>
      <c r="J139" s="7">
        <v>46092</v>
      </c>
      <c r="K139" s="4" t="s">
        <v>81</v>
      </c>
      <c r="L139" s="4" t="str">
        <f t="shared" si="2"/>
        <v>Sneha-Desk</v>
      </c>
    </row>
    <row r="140" spans="1:12" x14ac:dyDescent="0.3">
      <c r="A140" s="9">
        <v>1139</v>
      </c>
      <c r="B140" s="9" t="s">
        <v>53</v>
      </c>
      <c r="C140" s="4" t="s">
        <v>33</v>
      </c>
      <c r="D140" s="4" t="s">
        <v>34</v>
      </c>
      <c r="E140" s="4" t="s">
        <v>12</v>
      </c>
      <c r="F140" s="4">
        <v>17</v>
      </c>
      <c r="G140" s="4">
        <v>28839</v>
      </c>
      <c r="H140" s="4">
        <v>10</v>
      </c>
      <c r="I140" s="7">
        <v>46093</v>
      </c>
      <c r="J140" s="7">
        <v>46099</v>
      </c>
      <c r="K140" s="4" t="s">
        <v>78</v>
      </c>
      <c r="L140" s="4" t="str">
        <f t="shared" si="2"/>
        <v>Sneha-Mouse</v>
      </c>
    </row>
    <row r="141" spans="1:12" x14ac:dyDescent="0.3">
      <c r="A141" s="9">
        <v>1140</v>
      </c>
      <c r="B141" s="9" t="s">
        <v>54</v>
      </c>
      <c r="C141" s="4" t="s">
        <v>38</v>
      </c>
      <c r="D141" s="4" t="s">
        <v>34</v>
      </c>
      <c r="E141" s="4" t="s">
        <v>40</v>
      </c>
      <c r="F141" s="4">
        <v>5</v>
      </c>
      <c r="G141" s="4">
        <v>68012</v>
      </c>
      <c r="H141" s="4">
        <v>5</v>
      </c>
      <c r="I141" s="7">
        <v>46061</v>
      </c>
      <c r="J141" s="7">
        <v>46065</v>
      </c>
      <c r="K141" s="4" t="s">
        <v>78</v>
      </c>
      <c r="L141" s="4" t="str">
        <f t="shared" si="2"/>
        <v>Sara-Headset</v>
      </c>
    </row>
    <row r="142" spans="1:12" x14ac:dyDescent="0.3">
      <c r="A142" s="9">
        <v>1141</v>
      </c>
      <c r="B142" s="9" t="s">
        <v>18</v>
      </c>
      <c r="C142" s="4" t="s">
        <v>23</v>
      </c>
      <c r="D142" s="4" t="s">
        <v>24</v>
      </c>
      <c r="E142" s="4" t="s">
        <v>43</v>
      </c>
      <c r="F142" s="4">
        <v>20</v>
      </c>
      <c r="G142" s="4">
        <v>6835</v>
      </c>
      <c r="H142" s="4">
        <v>2</v>
      </c>
      <c r="I142" s="7">
        <v>46043</v>
      </c>
      <c r="J142" s="7">
        <v>46053</v>
      </c>
      <c r="K142" s="4" t="s">
        <v>78</v>
      </c>
      <c r="L142" s="4" t="str">
        <f t="shared" si="2"/>
        <v>Ritesh-Bookshelf</v>
      </c>
    </row>
    <row r="143" spans="1:12" x14ac:dyDescent="0.3">
      <c r="A143" s="9">
        <v>1142</v>
      </c>
      <c r="B143" s="9" t="s">
        <v>39</v>
      </c>
      <c r="C143" s="4" t="s">
        <v>27</v>
      </c>
      <c r="D143" s="4" t="s">
        <v>34</v>
      </c>
      <c r="E143" s="4" t="s">
        <v>9</v>
      </c>
      <c r="F143" s="4">
        <v>9</v>
      </c>
      <c r="G143" s="4">
        <v>59788</v>
      </c>
      <c r="H143" s="4">
        <v>7</v>
      </c>
      <c r="I143" s="7">
        <v>46064</v>
      </c>
      <c r="J143" s="7">
        <v>46071</v>
      </c>
      <c r="K143" s="4" t="s">
        <v>49</v>
      </c>
      <c r="L143" s="4" t="str">
        <f t="shared" si="2"/>
        <v>Deepak-Laptop</v>
      </c>
    </row>
    <row r="144" spans="1:12" x14ac:dyDescent="0.3">
      <c r="A144" s="9">
        <v>1143</v>
      </c>
      <c r="B144" s="9" t="s">
        <v>49</v>
      </c>
      <c r="C144" s="4" t="s">
        <v>23</v>
      </c>
      <c r="D144" s="4" t="s">
        <v>20</v>
      </c>
      <c r="E144" s="4" t="s">
        <v>37</v>
      </c>
      <c r="F144" s="4">
        <v>13</v>
      </c>
      <c r="G144" s="4">
        <v>456</v>
      </c>
      <c r="H144" s="4">
        <v>2</v>
      </c>
      <c r="I144" s="7">
        <v>46160</v>
      </c>
      <c r="J144" s="7">
        <v>46167</v>
      </c>
      <c r="K144" s="4" t="s">
        <v>80</v>
      </c>
      <c r="L144" s="4" t="str">
        <f t="shared" si="2"/>
        <v>Priya-Pen Pack</v>
      </c>
    </row>
    <row r="145" spans="1:12" x14ac:dyDescent="0.3">
      <c r="A145" s="9">
        <v>1144</v>
      </c>
      <c r="B145" s="9" t="s">
        <v>41</v>
      </c>
      <c r="C145" s="4" t="s">
        <v>27</v>
      </c>
      <c r="D145" s="4" t="s">
        <v>20</v>
      </c>
      <c r="E145" s="4" t="s">
        <v>21</v>
      </c>
      <c r="F145" s="4">
        <v>16</v>
      </c>
      <c r="G145" s="4">
        <v>219</v>
      </c>
      <c r="H145" s="4">
        <v>7</v>
      </c>
      <c r="I145" s="7">
        <v>46138</v>
      </c>
      <c r="J145" s="7">
        <v>46140</v>
      </c>
      <c r="K145" s="4" t="s">
        <v>79</v>
      </c>
      <c r="L145" s="4" t="str">
        <f t="shared" si="2"/>
        <v>Nisha-Notebook</v>
      </c>
    </row>
    <row r="146" spans="1:12" x14ac:dyDescent="0.3">
      <c r="A146" s="9">
        <v>1145</v>
      </c>
      <c r="B146" s="9" t="s">
        <v>41</v>
      </c>
      <c r="C146" s="4" t="s">
        <v>33</v>
      </c>
      <c r="D146" s="4" t="s">
        <v>34</v>
      </c>
      <c r="E146" s="4" t="s">
        <v>5</v>
      </c>
      <c r="F146" s="4">
        <v>2</v>
      </c>
      <c r="G146" s="4">
        <v>34429</v>
      </c>
      <c r="H146" s="4">
        <v>12</v>
      </c>
      <c r="I146" s="7">
        <v>46102</v>
      </c>
      <c r="J146" s="7">
        <v>46112</v>
      </c>
      <c r="K146" s="4" t="s">
        <v>80</v>
      </c>
      <c r="L146" s="4" t="str">
        <f t="shared" si="2"/>
        <v>Nisha-Keyboard</v>
      </c>
    </row>
    <row r="147" spans="1:12" x14ac:dyDescent="0.3">
      <c r="A147" s="9">
        <v>1146</v>
      </c>
      <c r="B147" s="9" t="s">
        <v>22</v>
      </c>
      <c r="C147" s="4" t="s">
        <v>42</v>
      </c>
      <c r="D147" s="4" t="s">
        <v>34</v>
      </c>
      <c r="E147" s="4" t="s">
        <v>6</v>
      </c>
      <c r="F147" s="4">
        <v>7</v>
      </c>
      <c r="G147" s="4">
        <v>68217</v>
      </c>
      <c r="H147" s="4">
        <v>0</v>
      </c>
      <c r="I147" s="7">
        <v>46190</v>
      </c>
      <c r="J147" s="7">
        <v>46197</v>
      </c>
      <c r="K147" s="4" t="s">
        <v>49</v>
      </c>
      <c r="L147" s="4" t="str">
        <f t="shared" si="2"/>
        <v>Pooja-Monitor</v>
      </c>
    </row>
    <row r="148" spans="1:12" x14ac:dyDescent="0.3">
      <c r="A148" s="9">
        <v>1147</v>
      </c>
      <c r="B148" s="9" t="s">
        <v>18</v>
      </c>
      <c r="C148" s="4" t="s">
        <v>26</v>
      </c>
      <c r="D148" s="4" t="s">
        <v>24</v>
      </c>
      <c r="E148" s="4" t="s">
        <v>8</v>
      </c>
      <c r="F148" s="4">
        <v>7</v>
      </c>
      <c r="G148" s="4">
        <v>9581</v>
      </c>
      <c r="H148" s="4">
        <v>5</v>
      </c>
      <c r="I148" s="7">
        <v>46154</v>
      </c>
      <c r="J148" s="7">
        <v>46155</v>
      </c>
      <c r="K148" s="4" t="s">
        <v>79</v>
      </c>
      <c r="L148" s="4" t="str">
        <f t="shared" si="2"/>
        <v>Ritesh-Chair</v>
      </c>
    </row>
    <row r="149" spans="1:12" x14ac:dyDescent="0.3">
      <c r="A149" s="9">
        <v>1148</v>
      </c>
      <c r="B149" s="9" t="s">
        <v>56</v>
      </c>
      <c r="C149" s="4" t="s">
        <v>33</v>
      </c>
      <c r="D149" s="4" t="s">
        <v>24</v>
      </c>
      <c r="E149" s="4" t="s">
        <v>8</v>
      </c>
      <c r="F149" s="4">
        <v>11</v>
      </c>
      <c r="G149" s="4">
        <v>3023</v>
      </c>
      <c r="H149" s="4">
        <v>7</v>
      </c>
      <c r="I149" s="7">
        <v>46030</v>
      </c>
      <c r="J149" s="7">
        <v>46032</v>
      </c>
      <c r="K149" s="4" t="s">
        <v>80</v>
      </c>
      <c r="L149" s="4" t="str">
        <f t="shared" si="2"/>
        <v>Anita-Chair</v>
      </c>
    </row>
    <row r="150" spans="1:12" x14ac:dyDescent="0.3">
      <c r="A150" s="9">
        <v>1149</v>
      </c>
      <c r="B150" s="9" t="s">
        <v>28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7">
        <v>46053</v>
      </c>
      <c r="J150" s="7">
        <v>46054</v>
      </c>
      <c r="K150" s="4" t="s">
        <v>49</v>
      </c>
      <c r="L150" s="4" t="str">
        <f t="shared" si="2"/>
        <v>Vikram-Printer</v>
      </c>
    </row>
    <row r="151" spans="1:12" x14ac:dyDescent="0.3">
      <c r="A151" s="9">
        <v>1150</v>
      </c>
      <c r="B151" s="9" t="s">
        <v>41</v>
      </c>
      <c r="C151" s="4" t="s">
        <v>19</v>
      </c>
      <c r="D151" s="4" t="s">
        <v>24</v>
      </c>
      <c r="E151" s="4" t="s">
        <v>11</v>
      </c>
      <c r="F151" s="4">
        <v>10</v>
      </c>
      <c r="G151" s="4">
        <v>5323</v>
      </c>
      <c r="H151" s="4">
        <v>7</v>
      </c>
      <c r="I151" s="7">
        <v>46143</v>
      </c>
      <c r="J151" s="7">
        <v>46153</v>
      </c>
      <c r="K151" s="4" t="s">
        <v>80</v>
      </c>
      <c r="L151" s="4" t="str">
        <f t="shared" si="2"/>
        <v>Nisha-Cabinet</v>
      </c>
    </row>
    <row r="152" spans="1:12" x14ac:dyDescent="0.3">
      <c r="A152" s="9">
        <v>1151</v>
      </c>
      <c r="B152" s="9" t="s">
        <v>44</v>
      </c>
      <c r="C152" s="4" t="s">
        <v>42</v>
      </c>
      <c r="D152" s="4" t="s">
        <v>20</v>
      </c>
      <c r="E152" s="4" t="s">
        <v>48</v>
      </c>
      <c r="F152" s="4">
        <v>20</v>
      </c>
      <c r="G152" s="4">
        <v>272</v>
      </c>
      <c r="H152" s="4">
        <v>15</v>
      </c>
      <c r="I152" s="7">
        <v>46024</v>
      </c>
      <c r="J152" s="7">
        <v>46029</v>
      </c>
      <c r="K152" s="4" t="s">
        <v>81</v>
      </c>
      <c r="L152" s="4" t="str">
        <f t="shared" si="2"/>
        <v>Kiran-Marker</v>
      </c>
    </row>
    <row r="153" spans="1:12" x14ac:dyDescent="0.3">
      <c r="A153" s="9">
        <v>1152</v>
      </c>
      <c r="B153" s="9" t="s">
        <v>29</v>
      </c>
      <c r="C153" s="4" t="s">
        <v>31</v>
      </c>
      <c r="D153" s="4" t="s">
        <v>34</v>
      </c>
      <c r="E153" s="4" t="s">
        <v>12</v>
      </c>
      <c r="F153" s="4">
        <v>14</v>
      </c>
      <c r="G153" s="4">
        <v>8150</v>
      </c>
      <c r="H153" s="4">
        <v>10</v>
      </c>
      <c r="I153" s="7">
        <v>46062</v>
      </c>
      <c r="J153" s="7">
        <v>46070</v>
      </c>
      <c r="K153" s="4" t="s">
        <v>78</v>
      </c>
      <c r="L153" s="4" t="str">
        <f t="shared" si="2"/>
        <v>Arjun-Mouse</v>
      </c>
    </row>
    <row r="154" spans="1:12" x14ac:dyDescent="0.3">
      <c r="A154" s="9">
        <v>1153</v>
      </c>
      <c r="B154" s="9" t="s">
        <v>41</v>
      </c>
      <c r="C154" s="4" t="s">
        <v>27</v>
      </c>
      <c r="D154" s="4" t="s">
        <v>24</v>
      </c>
      <c r="E154" s="4" t="s">
        <v>10</v>
      </c>
      <c r="F154" s="4">
        <v>19</v>
      </c>
      <c r="G154" s="4">
        <v>10273</v>
      </c>
      <c r="H154" s="4">
        <v>12</v>
      </c>
      <c r="I154" s="7">
        <v>46069</v>
      </c>
      <c r="J154" s="7">
        <v>46072</v>
      </c>
      <c r="K154" s="4" t="s">
        <v>49</v>
      </c>
      <c r="L154" s="4" t="str">
        <f t="shared" si="2"/>
        <v>Nisha-Table</v>
      </c>
    </row>
    <row r="155" spans="1:12" x14ac:dyDescent="0.3">
      <c r="A155" s="9">
        <v>1154</v>
      </c>
      <c r="B155" s="9" t="s">
        <v>32</v>
      </c>
      <c r="C155" s="4" t="s">
        <v>23</v>
      </c>
      <c r="D155" s="4" t="s">
        <v>24</v>
      </c>
      <c r="E155" s="4" t="s">
        <v>11</v>
      </c>
      <c r="F155" s="4">
        <v>15</v>
      </c>
      <c r="G155" s="4">
        <v>6101</v>
      </c>
      <c r="H155" s="4">
        <v>0</v>
      </c>
      <c r="I155" s="7">
        <v>46178</v>
      </c>
      <c r="J155" s="7">
        <v>46183</v>
      </c>
      <c r="K155" s="4" t="s">
        <v>81</v>
      </c>
      <c r="L155" s="4" t="str">
        <f t="shared" si="2"/>
        <v>Asha-Cabinet</v>
      </c>
    </row>
    <row r="156" spans="1:12" x14ac:dyDescent="0.3">
      <c r="A156" s="9">
        <v>1155</v>
      </c>
      <c r="B156" s="9" t="s">
        <v>18</v>
      </c>
      <c r="C156" s="4" t="s">
        <v>31</v>
      </c>
      <c r="D156" s="4" t="s">
        <v>24</v>
      </c>
      <c r="E156" s="4" t="s">
        <v>8</v>
      </c>
      <c r="F156" s="4">
        <v>13</v>
      </c>
      <c r="G156" s="4">
        <v>4341</v>
      </c>
      <c r="H156" s="4">
        <v>15</v>
      </c>
      <c r="I156" s="7">
        <v>46093</v>
      </c>
      <c r="J156" s="7">
        <v>46096</v>
      </c>
      <c r="K156" s="4" t="s">
        <v>80</v>
      </c>
      <c r="L156" s="4" t="str">
        <f t="shared" si="2"/>
        <v>Ritesh-Chair</v>
      </c>
    </row>
    <row r="157" spans="1:12" x14ac:dyDescent="0.3">
      <c r="A157" s="9">
        <v>1156</v>
      </c>
      <c r="B157" s="9" t="s">
        <v>52</v>
      </c>
      <c r="C157" s="4" t="s">
        <v>38</v>
      </c>
      <c r="D157" s="4" t="s">
        <v>20</v>
      </c>
      <c r="E157" s="4" t="s">
        <v>36</v>
      </c>
      <c r="F157" s="4">
        <v>5</v>
      </c>
      <c r="G157" s="4">
        <v>466</v>
      </c>
      <c r="H157" s="4">
        <v>15</v>
      </c>
      <c r="I157" s="7">
        <v>46025</v>
      </c>
      <c r="J157" s="7">
        <v>46029</v>
      </c>
      <c r="K157" s="4" t="s">
        <v>78</v>
      </c>
      <c r="L157" s="4" t="str">
        <f t="shared" si="2"/>
        <v>Manoj-Stapler</v>
      </c>
    </row>
    <row r="158" spans="1:12" x14ac:dyDescent="0.3">
      <c r="A158" s="9">
        <v>1157</v>
      </c>
      <c r="B158" s="9" t="s">
        <v>50</v>
      </c>
      <c r="C158" s="4" t="s">
        <v>33</v>
      </c>
      <c r="D158" s="4" t="s">
        <v>20</v>
      </c>
      <c r="E158" s="4" t="s">
        <v>48</v>
      </c>
      <c r="F158" s="4">
        <v>3</v>
      </c>
      <c r="G158" s="4">
        <v>203</v>
      </c>
      <c r="H158" s="4">
        <v>15</v>
      </c>
      <c r="I158" s="7">
        <v>46076</v>
      </c>
      <c r="J158" s="7">
        <v>46080</v>
      </c>
      <c r="K158" s="4" t="s">
        <v>49</v>
      </c>
      <c r="L158" s="4" t="str">
        <f t="shared" si="2"/>
        <v>Komal-Marker</v>
      </c>
    </row>
    <row r="159" spans="1:12" x14ac:dyDescent="0.3">
      <c r="A159" s="9">
        <v>1158</v>
      </c>
      <c r="B159" s="9" t="s">
        <v>28</v>
      </c>
      <c r="C159" s="4" t="s">
        <v>38</v>
      </c>
      <c r="D159" s="4" t="s">
        <v>34</v>
      </c>
      <c r="E159" s="4" t="s">
        <v>40</v>
      </c>
      <c r="F159" s="4">
        <v>13</v>
      </c>
      <c r="G159" s="4">
        <v>12518</v>
      </c>
      <c r="H159" s="4">
        <v>2</v>
      </c>
      <c r="I159" s="7">
        <v>46079</v>
      </c>
      <c r="J159" s="7">
        <v>46082</v>
      </c>
      <c r="K159" s="4" t="s">
        <v>81</v>
      </c>
      <c r="L159" s="4" t="str">
        <f t="shared" si="2"/>
        <v>Vikram-Headset</v>
      </c>
    </row>
    <row r="160" spans="1:12" x14ac:dyDescent="0.3">
      <c r="A160" s="9">
        <v>1159</v>
      </c>
      <c r="B160" s="9" t="s">
        <v>32</v>
      </c>
      <c r="C160" s="4" t="s">
        <v>42</v>
      </c>
      <c r="D160" s="4" t="s">
        <v>24</v>
      </c>
      <c r="E160" s="4" t="s">
        <v>8</v>
      </c>
      <c r="F160" s="4">
        <v>20</v>
      </c>
      <c r="G160" s="4">
        <v>14000</v>
      </c>
      <c r="H160" s="4">
        <v>15</v>
      </c>
      <c r="I160" s="7">
        <v>46184</v>
      </c>
      <c r="J160" s="7">
        <v>46187</v>
      </c>
      <c r="K160" s="4" t="s">
        <v>78</v>
      </c>
      <c r="L160" s="4" t="str">
        <f t="shared" si="2"/>
        <v>Asha-Chair</v>
      </c>
    </row>
    <row r="161" spans="1:12" x14ac:dyDescent="0.3">
      <c r="A161" s="9">
        <v>1160</v>
      </c>
      <c r="B161" s="9" t="s">
        <v>56</v>
      </c>
      <c r="C161" s="4" t="s">
        <v>26</v>
      </c>
      <c r="D161" s="4" t="s">
        <v>34</v>
      </c>
      <c r="E161" s="4" t="s">
        <v>5</v>
      </c>
      <c r="F161" s="4">
        <v>7</v>
      </c>
      <c r="G161" s="4">
        <v>53986</v>
      </c>
      <c r="H161" s="4">
        <v>10</v>
      </c>
      <c r="I161" s="7">
        <v>46142</v>
      </c>
      <c r="J161" s="7">
        <v>46147</v>
      </c>
      <c r="K161" s="4" t="s">
        <v>81</v>
      </c>
      <c r="L161" s="4" t="str">
        <f t="shared" si="2"/>
        <v>Anita-Keyboard</v>
      </c>
    </row>
    <row r="162" spans="1:12" x14ac:dyDescent="0.3">
      <c r="A162" s="9">
        <v>1161</v>
      </c>
      <c r="B162" s="9" t="s">
        <v>29</v>
      </c>
      <c r="C162" s="4" t="s">
        <v>27</v>
      </c>
      <c r="D162" s="4" t="s">
        <v>34</v>
      </c>
      <c r="E162" s="4" t="s">
        <v>5</v>
      </c>
      <c r="F162" s="4">
        <v>4</v>
      </c>
      <c r="G162" s="4">
        <v>54659</v>
      </c>
      <c r="H162" s="4">
        <v>7</v>
      </c>
      <c r="I162" s="7">
        <v>46105</v>
      </c>
      <c r="J162" s="7">
        <v>46109</v>
      </c>
      <c r="K162" s="4" t="s">
        <v>79</v>
      </c>
      <c r="L162" s="4" t="str">
        <f t="shared" si="2"/>
        <v>Arjun-Keyboard</v>
      </c>
    </row>
    <row r="163" spans="1:12" x14ac:dyDescent="0.3">
      <c r="A163" s="9">
        <v>1162</v>
      </c>
      <c r="B163" s="9" t="s">
        <v>54</v>
      </c>
      <c r="C163" s="4" t="s">
        <v>31</v>
      </c>
      <c r="D163" s="4" t="s">
        <v>34</v>
      </c>
      <c r="E163" s="4" t="s">
        <v>6</v>
      </c>
      <c r="F163" s="4">
        <v>2</v>
      </c>
      <c r="G163" s="4">
        <v>28176</v>
      </c>
      <c r="H163" s="4">
        <v>10</v>
      </c>
      <c r="I163" s="7">
        <v>46100</v>
      </c>
      <c r="J163" s="7">
        <v>46101</v>
      </c>
      <c r="K163" s="4" t="s">
        <v>79</v>
      </c>
      <c r="L163" s="4" t="str">
        <f t="shared" si="2"/>
        <v>Sara-Monitor</v>
      </c>
    </row>
    <row r="164" spans="1:12" x14ac:dyDescent="0.3">
      <c r="A164" s="9">
        <v>1163</v>
      </c>
      <c r="B164" s="9" t="s">
        <v>49</v>
      </c>
      <c r="C164" s="4" t="s">
        <v>38</v>
      </c>
      <c r="D164" s="4" t="s">
        <v>34</v>
      </c>
      <c r="E164" s="4" t="s">
        <v>5</v>
      </c>
      <c r="F164" s="4">
        <v>9</v>
      </c>
      <c r="G164" s="4">
        <v>62440</v>
      </c>
      <c r="H164" s="4">
        <v>2</v>
      </c>
      <c r="I164" s="7">
        <v>46081</v>
      </c>
      <c r="J164" s="7">
        <v>46086</v>
      </c>
      <c r="K164" s="4" t="s">
        <v>49</v>
      </c>
      <c r="L164" s="4" t="str">
        <f t="shared" si="2"/>
        <v>Priya-Keyboard</v>
      </c>
    </row>
    <row r="165" spans="1:12" x14ac:dyDescent="0.3">
      <c r="A165" s="9">
        <v>1164</v>
      </c>
      <c r="B165" s="9" t="s">
        <v>39</v>
      </c>
      <c r="C165" s="4" t="s">
        <v>42</v>
      </c>
      <c r="D165" s="4" t="s">
        <v>34</v>
      </c>
      <c r="E165" s="4" t="s">
        <v>12</v>
      </c>
      <c r="F165" s="4">
        <v>7</v>
      </c>
      <c r="G165" s="4">
        <v>24615</v>
      </c>
      <c r="H165" s="4">
        <v>12</v>
      </c>
      <c r="I165" s="7">
        <v>46196</v>
      </c>
      <c r="J165" s="7">
        <v>46203</v>
      </c>
      <c r="K165" s="4" t="s">
        <v>81</v>
      </c>
      <c r="L165" s="4" t="str">
        <f t="shared" si="2"/>
        <v>Deepak-Mouse</v>
      </c>
    </row>
    <row r="166" spans="1:12" x14ac:dyDescent="0.3">
      <c r="A166" s="9">
        <v>1165</v>
      </c>
      <c r="B166" s="9" t="s">
        <v>46</v>
      </c>
      <c r="C166" s="4" t="s">
        <v>27</v>
      </c>
      <c r="D166" s="4" t="s">
        <v>20</v>
      </c>
      <c r="E166" s="4" t="s">
        <v>37</v>
      </c>
      <c r="F166" s="4">
        <v>1</v>
      </c>
      <c r="G166" s="4">
        <v>427</v>
      </c>
      <c r="H166" s="4">
        <v>0</v>
      </c>
      <c r="I166" s="7">
        <v>46042</v>
      </c>
      <c r="J166" s="7">
        <v>46050</v>
      </c>
      <c r="K166" s="4" t="s">
        <v>81</v>
      </c>
      <c r="L166" s="4" t="str">
        <f t="shared" si="2"/>
        <v>Nitin-Pen Pack</v>
      </c>
    </row>
    <row r="167" spans="1:12" x14ac:dyDescent="0.3">
      <c r="A167" s="9">
        <v>1166</v>
      </c>
      <c r="B167" s="9" t="s">
        <v>32</v>
      </c>
      <c r="C167" s="4" t="s">
        <v>31</v>
      </c>
      <c r="D167" s="4" t="s">
        <v>20</v>
      </c>
      <c r="E167" s="4" t="s">
        <v>37</v>
      </c>
      <c r="F167" s="4">
        <v>1</v>
      </c>
      <c r="G167" s="4">
        <v>396</v>
      </c>
      <c r="H167" s="4">
        <v>5</v>
      </c>
      <c r="I167" s="7">
        <v>46092</v>
      </c>
      <c r="J167" s="7">
        <v>46093</v>
      </c>
      <c r="K167" s="4" t="s">
        <v>79</v>
      </c>
      <c r="L167" s="4" t="str">
        <f t="shared" si="2"/>
        <v>Asha-Pen Pack</v>
      </c>
    </row>
    <row r="168" spans="1:12" x14ac:dyDescent="0.3">
      <c r="A168" s="9">
        <v>1167</v>
      </c>
      <c r="B168" s="9" t="s">
        <v>46</v>
      </c>
      <c r="C168" s="4" t="s">
        <v>23</v>
      </c>
      <c r="D168" s="4" t="s">
        <v>20</v>
      </c>
      <c r="E168" s="4" t="s">
        <v>37</v>
      </c>
      <c r="F168" s="4">
        <v>20</v>
      </c>
      <c r="G168" s="4">
        <v>251</v>
      </c>
      <c r="H168" s="4">
        <v>5</v>
      </c>
      <c r="I168" s="7">
        <v>46160</v>
      </c>
      <c r="J168" s="7">
        <v>46170</v>
      </c>
      <c r="K168" s="4" t="s">
        <v>49</v>
      </c>
      <c r="L168" s="4" t="str">
        <f t="shared" si="2"/>
        <v>Nitin-Pen Pack</v>
      </c>
    </row>
    <row r="169" spans="1:12" x14ac:dyDescent="0.3">
      <c r="A169" s="9">
        <v>1168</v>
      </c>
      <c r="B169" s="9" t="s">
        <v>52</v>
      </c>
      <c r="C169" s="4" t="s">
        <v>19</v>
      </c>
      <c r="D169" s="4" t="s">
        <v>20</v>
      </c>
      <c r="E169" s="4" t="s">
        <v>37</v>
      </c>
      <c r="F169" s="4">
        <v>18</v>
      </c>
      <c r="G169" s="4">
        <v>335</v>
      </c>
      <c r="H169" s="4">
        <v>15</v>
      </c>
      <c r="I169" s="7">
        <v>46130</v>
      </c>
      <c r="J169" s="7">
        <v>46140</v>
      </c>
      <c r="K169" s="4" t="s">
        <v>49</v>
      </c>
      <c r="L169" s="4" t="str">
        <f t="shared" si="2"/>
        <v>Manoj-Pen Pack</v>
      </c>
    </row>
    <row r="170" spans="1:12" x14ac:dyDescent="0.3">
      <c r="A170" s="9">
        <v>1169</v>
      </c>
      <c r="B170" s="9" t="s">
        <v>45</v>
      </c>
      <c r="C170" s="4" t="s">
        <v>19</v>
      </c>
      <c r="D170" s="4" t="s">
        <v>24</v>
      </c>
      <c r="E170" s="4" t="s">
        <v>11</v>
      </c>
      <c r="F170" s="4">
        <v>12</v>
      </c>
      <c r="G170" s="4">
        <v>12104</v>
      </c>
      <c r="H170" s="4">
        <v>7</v>
      </c>
      <c r="I170" s="7">
        <v>46121</v>
      </c>
      <c r="J170" s="7">
        <v>46130</v>
      </c>
      <c r="K170" s="4" t="s">
        <v>80</v>
      </c>
      <c r="L170" s="4" t="str">
        <f t="shared" si="2"/>
        <v>Yash-Cabinet</v>
      </c>
    </row>
    <row r="171" spans="1:12" x14ac:dyDescent="0.3">
      <c r="A171" s="9">
        <v>1170</v>
      </c>
      <c r="B171" s="9" t="s">
        <v>47</v>
      </c>
      <c r="C171" s="4" t="s">
        <v>38</v>
      </c>
      <c r="D171" s="4" t="s">
        <v>20</v>
      </c>
      <c r="E171" s="4" t="s">
        <v>21</v>
      </c>
      <c r="F171" s="4">
        <v>6</v>
      </c>
      <c r="G171" s="4">
        <v>339</v>
      </c>
      <c r="H171" s="4">
        <v>12</v>
      </c>
      <c r="I171" s="7">
        <v>46105</v>
      </c>
      <c r="J171" s="7">
        <v>46106</v>
      </c>
      <c r="K171" s="4" t="s">
        <v>80</v>
      </c>
      <c r="L171" s="4" t="str">
        <f t="shared" si="2"/>
        <v>Ajay-Notebook</v>
      </c>
    </row>
    <row r="172" spans="1:12" x14ac:dyDescent="0.3">
      <c r="A172" s="9">
        <v>1171</v>
      </c>
      <c r="B172" s="9" t="s">
        <v>54</v>
      </c>
      <c r="C172" s="4" t="s">
        <v>27</v>
      </c>
      <c r="D172" s="4" t="s">
        <v>20</v>
      </c>
      <c r="E172" s="4" t="s">
        <v>48</v>
      </c>
      <c r="F172" s="4">
        <v>17</v>
      </c>
      <c r="G172" s="4">
        <v>147</v>
      </c>
      <c r="H172" s="4">
        <v>12</v>
      </c>
      <c r="I172" s="7">
        <v>46155</v>
      </c>
      <c r="J172" s="7">
        <v>46160</v>
      </c>
      <c r="K172" s="4" t="s">
        <v>79</v>
      </c>
      <c r="L172" s="4" t="str">
        <f t="shared" si="2"/>
        <v>Sara-Marker</v>
      </c>
    </row>
    <row r="173" spans="1:12" x14ac:dyDescent="0.3">
      <c r="A173" s="9">
        <v>1172</v>
      </c>
      <c r="B173" s="9" t="s">
        <v>22</v>
      </c>
      <c r="C173" s="4" t="s">
        <v>19</v>
      </c>
      <c r="D173" s="4" t="s">
        <v>34</v>
      </c>
      <c r="E173" s="4" t="s">
        <v>6</v>
      </c>
      <c r="F173" s="4">
        <v>13</v>
      </c>
      <c r="G173" s="4">
        <v>43163</v>
      </c>
      <c r="H173" s="4">
        <v>12</v>
      </c>
      <c r="I173" s="7">
        <v>46120</v>
      </c>
      <c r="J173" s="7">
        <v>46129</v>
      </c>
      <c r="K173" s="4" t="s">
        <v>80</v>
      </c>
      <c r="L173" s="4" t="str">
        <f t="shared" si="2"/>
        <v>Pooja-Monitor</v>
      </c>
    </row>
    <row r="174" spans="1:12" x14ac:dyDescent="0.3">
      <c r="A174" s="9">
        <v>1173</v>
      </c>
      <c r="B174" s="9" t="s">
        <v>39</v>
      </c>
      <c r="C174" s="4" t="s">
        <v>23</v>
      </c>
      <c r="D174" s="4" t="s">
        <v>20</v>
      </c>
      <c r="E174" s="4" t="s">
        <v>37</v>
      </c>
      <c r="F174" s="4">
        <v>15</v>
      </c>
      <c r="G174" s="4">
        <v>214</v>
      </c>
      <c r="H174" s="4">
        <v>10</v>
      </c>
      <c r="I174" s="7">
        <v>46050</v>
      </c>
      <c r="J174" s="7">
        <v>46060</v>
      </c>
      <c r="K174" s="4" t="s">
        <v>81</v>
      </c>
      <c r="L174" s="4" t="str">
        <f t="shared" si="2"/>
        <v>Deepak-Pen Pack</v>
      </c>
    </row>
    <row r="175" spans="1:12" x14ac:dyDescent="0.3">
      <c r="A175" s="9">
        <v>1174</v>
      </c>
      <c r="B175" s="9" t="s">
        <v>55</v>
      </c>
      <c r="C175" s="4" t="s">
        <v>38</v>
      </c>
      <c r="D175" s="4" t="s">
        <v>20</v>
      </c>
      <c r="E175" s="4" t="s">
        <v>21</v>
      </c>
      <c r="F175" s="4">
        <v>13</v>
      </c>
      <c r="G175" s="4">
        <v>155</v>
      </c>
      <c r="H175" s="4">
        <v>2</v>
      </c>
      <c r="I175" s="7">
        <v>46066</v>
      </c>
      <c r="J175" s="7">
        <v>46069</v>
      </c>
      <c r="K175" s="4" t="s">
        <v>80</v>
      </c>
      <c r="L175" s="4" t="str">
        <f t="shared" si="2"/>
        <v>Rohan-Notebook</v>
      </c>
    </row>
    <row r="176" spans="1:12" x14ac:dyDescent="0.3">
      <c r="A176" s="9">
        <v>1175</v>
      </c>
      <c r="B176" s="9" t="s">
        <v>28</v>
      </c>
      <c r="C176" s="4" t="s">
        <v>23</v>
      </c>
      <c r="D176" s="4" t="s">
        <v>34</v>
      </c>
      <c r="E176" s="4" t="s">
        <v>40</v>
      </c>
      <c r="F176" s="4">
        <v>10</v>
      </c>
      <c r="G176" s="4">
        <v>20339</v>
      </c>
      <c r="H176" s="4">
        <v>2</v>
      </c>
      <c r="I176" s="7">
        <v>46088</v>
      </c>
      <c r="J176" s="7">
        <v>46094</v>
      </c>
      <c r="K176" s="4" t="s">
        <v>79</v>
      </c>
      <c r="L176" s="4" t="str">
        <f t="shared" si="2"/>
        <v>Vikram-Headset</v>
      </c>
    </row>
    <row r="177" spans="1:12" x14ac:dyDescent="0.3">
      <c r="A177" s="9">
        <v>1176</v>
      </c>
      <c r="B177" s="9" t="s">
        <v>55</v>
      </c>
      <c r="C177" s="4" t="s">
        <v>38</v>
      </c>
      <c r="D177" s="4" t="s">
        <v>34</v>
      </c>
      <c r="E177" s="4" t="s">
        <v>40</v>
      </c>
      <c r="F177" s="4">
        <v>17</v>
      </c>
      <c r="G177" s="4">
        <v>46937</v>
      </c>
      <c r="H177" s="4">
        <v>12</v>
      </c>
      <c r="I177" s="7">
        <v>46048</v>
      </c>
      <c r="J177" s="7">
        <v>46056</v>
      </c>
      <c r="K177" s="4" t="s">
        <v>49</v>
      </c>
      <c r="L177" s="4" t="str">
        <f t="shared" si="2"/>
        <v>Rohan-Headset</v>
      </c>
    </row>
    <row r="178" spans="1:12" x14ac:dyDescent="0.3">
      <c r="A178" s="9">
        <v>1177</v>
      </c>
      <c r="B178" s="9" t="s">
        <v>49</v>
      </c>
      <c r="C178" s="4" t="s">
        <v>26</v>
      </c>
      <c r="D178" s="4" t="s">
        <v>24</v>
      </c>
      <c r="E178" s="4" t="s">
        <v>7</v>
      </c>
      <c r="F178" s="4">
        <v>14</v>
      </c>
      <c r="G178" s="4">
        <v>7501</v>
      </c>
      <c r="H178" s="4">
        <v>7</v>
      </c>
      <c r="I178" s="7">
        <v>46169</v>
      </c>
      <c r="J178" s="7">
        <v>46179</v>
      </c>
      <c r="K178" s="4" t="s">
        <v>79</v>
      </c>
      <c r="L178" s="4" t="str">
        <f t="shared" si="2"/>
        <v>Priya-Desk</v>
      </c>
    </row>
    <row r="179" spans="1:12" x14ac:dyDescent="0.3">
      <c r="A179" s="9">
        <v>1178</v>
      </c>
      <c r="B179" s="9" t="s">
        <v>54</v>
      </c>
      <c r="C179" s="4" t="s">
        <v>23</v>
      </c>
      <c r="D179" s="4" t="s">
        <v>20</v>
      </c>
      <c r="E179" s="4" t="s">
        <v>48</v>
      </c>
      <c r="F179" s="4">
        <v>5</v>
      </c>
      <c r="G179" s="4">
        <v>50</v>
      </c>
      <c r="H179" s="4">
        <v>0</v>
      </c>
      <c r="I179" s="7">
        <v>46111</v>
      </c>
      <c r="J179" s="7">
        <v>46117</v>
      </c>
      <c r="K179" s="4" t="s">
        <v>79</v>
      </c>
      <c r="L179" s="4" t="str">
        <f t="shared" si="2"/>
        <v>Sara-Marker</v>
      </c>
    </row>
    <row r="180" spans="1:12" x14ac:dyDescent="0.3">
      <c r="A180" s="9">
        <v>1179</v>
      </c>
      <c r="B180" s="9" t="s">
        <v>45</v>
      </c>
      <c r="C180" s="4" t="s">
        <v>23</v>
      </c>
      <c r="D180" s="4" t="s">
        <v>34</v>
      </c>
      <c r="E180" s="4" t="s">
        <v>5</v>
      </c>
      <c r="F180" s="4">
        <v>6</v>
      </c>
      <c r="G180" s="4">
        <v>10400</v>
      </c>
      <c r="H180" s="4">
        <v>2</v>
      </c>
      <c r="I180" s="7">
        <v>46155</v>
      </c>
      <c r="J180" s="7">
        <v>46158</v>
      </c>
      <c r="K180" s="4" t="s">
        <v>78</v>
      </c>
      <c r="L180" s="4" t="str">
        <f t="shared" si="2"/>
        <v>Yash-Keyboard</v>
      </c>
    </row>
    <row r="181" spans="1:12" x14ac:dyDescent="0.3">
      <c r="A181" s="9">
        <v>1180</v>
      </c>
      <c r="B181" s="9" t="s">
        <v>39</v>
      </c>
      <c r="C181" s="4" t="s">
        <v>31</v>
      </c>
      <c r="D181" s="4" t="s">
        <v>24</v>
      </c>
      <c r="E181" s="4" t="s">
        <v>8</v>
      </c>
      <c r="F181" s="4">
        <v>2</v>
      </c>
      <c r="G181" s="4">
        <v>2076</v>
      </c>
      <c r="H181" s="4">
        <v>2</v>
      </c>
      <c r="I181" s="7">
        <v>46111</v>
      </c>
      <c r="J181" s="7">
        <v>46121</v>
      </c>
      <c r="K181" s="4" t="s">
        <v>49</v>
      </c>
      <c r="L181" s="4" t="str">
        <f t="shared" si="2"/>
        <v>Deepak-Chair</v>
      </c>
    </row>
    <row r="182" spans="1:12" x14ac:dyDescent="0.3">
      <c r="A182" s="9">
        <v>1181</v>
      </c>
      <c r="B182" s="9" t="s">
        <v>55</v>
      </c>
      <c r="C182" s="4" t="s">
        <v>33</v>
      </c>
      <c r="D182" s="4" t="s">
        <v>20</v>
      </c>
      <c r="E182" s="4" t="s">
        <v>36</v>
      </c>
      <c r="F182" s="4">
        <v>4</v>
      </c>
      <c r="G182" s="4">
        <v>357</v>
      </c>
      <c r="H182" s="4">
        <v>2</v>
      </c>
      <c r="I182" s="7">
        <v>46033</v>
      </c>
      <c r="J182" s="7">
        <v>46035</v>
      </c>
      <c r="K182" s="4" t="s">
        <v>78</v>
      </c>
      <c r="L182" s="4" t="str">
        <f t="shared" si="2"/>
        <v>Rohan-Stapler</v>
      </c>
    </row>
    <row r="183" spans="1:12" x14ac:dyDescent="0.3">
      <c r="A183" s="9">
        <v>1182</v>
      </c>
      <c r="B183" s="9" t="s">
        <v>41</v>
      </c>
      <c r="C183" s="4" t="s">
        <v>19</v>
      </c>
      <c r="D183" s="4" t="s">
        <v>34</v>
      </c>
      <c r="E183" s="4" t="s">
        <v>5</v>
      </c>
      <c r="F183" s="4">
        <v>8</v>
      </c>
      <c r="G183" s="4">
        <v>66022</v>
      </c>
      <c r="H183" s="4">
        <v>12</v>
      </c>
      <c r="I183" s="7">
        <v>46108</v>
      </c>
      <c r="J183" s="7">
        <v>46114</v>
      </c>
      <c r="K183" s="4" t="s">
        <v>80</v>
      </c>
      <c r="L183" s="4" t="str">
        <f t="shared" si="2"/>
        <v>Nisha-Keyboard</v>
      </c>
    </row>
    <row r="184" spans="1:12" x14ac:dyDescent="0.3">
      <c r="A184" s="9">
        <v>1183</v>
      </c>
      <c r="B184" s="9" t="s">
        <v>50</v>
      </c>
      <c r="C184" s="4" t="s">
        <v>42</v>
      </c>
      <c r="D184" s="4" t="s">
        <v>20</v>
      </c>
      <c r="E184" s="4" t="s">
        <v>21</v>
      </c>
      <c r="F184" s="4">
        <v>2</v>
      </c>
      <c r="G184" s="4">
        <v>309</v>
      </c>
      <c r="H184" s="4">
        <v>2</v>
      </c>
      <c r="I184" s="7">
        <v>46109</v>
      </c>
      <c r="J184" s="7">
        <v>46111</v>
      </c>
      <c r="K184" s="4" t="s">
        <v>79</v>
      </c>
      <c r="L184" s="4" t="str">
        <f t="shared" si="2"/>
        <v>Komal-Notebook</v>
      </c>
    </row>
    <row r="185" spans="1:12" x14ac:dyDescent="0.3">
      <c r="A185" s="9">
        <v>1184</v>
      </c>
      <c r="B185" s="9" t="s">
        <v>39</v>
      </c>
      <c r="C185" s="4" t="s">
        <v>31</v>
      </c>
      <c r="D185" s="4" t="s">
        <v>34</v>
      </c>
      <c r="E185" s="4" t="s">
        <v>5</v>
      </c>
      <c r="F185" s="4">
        <v>12</v>
      </c>
      <c r="G185" s="4">
        <v>50517</v>
      </c>
      <c r="H185" s="4">
        <v>15</v>
      </c>
      <c r="I185" s="7">
        <v>46145</v>
      </c>
      <c r="J185" s="7">
        <v>46153</v>
      </c>
      <c r="K185" s="4" t="s">
        <v>49</v>
      </c>
      <c r="L185" s="4" t="str">
        <f t="shared" si="2"/>
        <v>Deepak-Keyboard</v>
      </c>
    </row>
    <row r="186" spans="1:12" x14ac:dyDescent="0.3">
      <c r="A186" s="9">
        <v>1185</v>
      </c>
      <c r="B186" s="9" t="s">
        <v>55</v>
      </c>
      <c r="C186" s="4" t="s">
        <v>26</v>
      </c>
      <c r="D186" s="4" t="s">
        <v>34</v>
      </c>
      <c r="E186" s="4" t="s">
        <v>9</v>
      </c>
      <c r="F186" s="4">
        <v>16</v>
      </c>
      <c r="G186" s="4">
        <v>15536</v>
      </c>
      <c r="H186" s="4">
        <v>2</v>
      </c>
      <c r="I186" s="7">
        <v>46153</v>
      </c>
      <c r="J186" s="7">
        <v>46156</v>
      </c>
      <c r="K186" s="4" t="s">
        <v>78</v>
      </c>
      <c r="L186" s="4" t="str">
        <f t="shared" si="2"/>
        <v>Rohan-Laptop</v>
      </c>
    </row>
    <row r="187" spans="1:12" x14ac:dyDescent="0.3">
      <c r="A187" s="9">
        <v>1186</v>
      </c>
      <c r="B187" s="9" t="s">
        <v>22</v>
      </c>
      <c r="C187" s="4" t="s">
        <v>27</v>
      </c>
      <c r="D187" s="4" t="s">
        <v>24</v>
      </c>
      <c r="E187" s="4" t="s">
        <v>43</v>
      </c>
      <c r="F187" s="4">
        <v>10</v>
      </c>
      <c r="G187" s="4">
        <v>14951</v>
      </c>
      <c r="H187" s="4">
        <v>2</v>
      </c>
      <c r="I187" s="7">
        <v>46188</v>
      </c>
      <c r="J187" s="7">
        <v>46196</v>
      </c>
      <c r="K187" s="4" t="s">
        <v>80</v>
      </c>
      <c r="L187" s="4" t="str">
        <f t="shared" si="2"/>
        <v>Pooja-Bookshelf</v>
      </c>
    </row>
    <row r="188" spans="1:12" x14ac:dyDescent="0.3">
      <c r="A188" s="9">
        <v>1187</v>
      </c>
      <c r="B188" s="9" t="s">
        <v>52</v>
      </c>
      <c r="C188" s="4" t="s">
        <v>26</v>
      </c>
      <c r="D188" s="4" t="s">
        <v>34</v>
      </c>
      <c r="E188" s="4" t="s">
        <v>6</v>
      </c>
      <c r="F188" s="4">
        <v>18</v>
      </c>
      <c r="G188" s="4">
        <v>68527</v>
      </c>
      <c r="H188" s="4">
        <v>12</v>
      </c>
      <c r="I188" s="7">
        <v>46178</v>
      </c>
      <c r="J188" s="7">
        <v>46184</v>
      </c>
      <c r="K188" s="4" t="s">
        <v>81</v>
      </c>
      <c r="L188" s="4" t="str">
        <f t="shared" si="2"/>
        <v>Manoj-Monitor</v>
      </c>
    </row>
    <row r="189" spans="1:12" x14ac:dyDescent="0.3">
      <c r="A189" s="9">
        <v>1188</v>
      </c>
      <c r="B189" s="9" t="s">
        <v>49</v>
      </c>
      <c r="C189" s="4" t="s">
        <v>26</v>
      </c>
      <c r="D189" s="4" t="s">
        <v>24</v>
      </c>
      <c r="E189" s="4" t="s">
        <v>11</v>
      </c>
      <c r="F189" s="4">
        <v>6</v>
      </c>
      <c r="G189" s="4">
        <v>10368</v>
      </c>
      <c r="H189" s="4">
        <v>7</v>
      </c>
      <c r="I189" s="7">
        <v>46137</v>
      </c>
      <c r="J189" s="7">
        <v>46142</v>
      </c>
      <c r="K189" s="4" t="s">
        <v>78</v>
      </c>
      <c r="L189" s="4" t="str">
        <f t="shared" si="2"/>
        <v>Priya-Cabinet</v>
      </c>
    </row>
    <row r="190" spans="1:12" x14ac:dyDescent="0.3">
      <c r="A190" s="9">
        <v>1189</v>
      </c>
      <c r="B190" s="9" t="s">
        <v>47</v>
      </c>
      <c r="C190" s="4" t="s">
        <v>31</v>
      </c>
      <c r="D190" s="4" t="s">
        <v>24</v>
      </c>
      <c r="E190" s="4" t="s">
        <v>11</v>
      </c>
      <c r="F190" s="4">
        <v>12</v>
      </c>
      <c r="G190" s="4">
        <v>8327</v>
      </c>
      <c r="H190" s="4">
        <v>10</v>
      </c>
      <c r="I190" s="7">
        <v>46184</v>
      </c>
      <c r="J190" s="7">
        <v>46185</v>
      </c>
      <c r="K190" s="4" t="s">
        <v>49</v>
      </c>
      <c r="L190" s="4" t="str">
        <f t="shared" si="2"/>
        <v>Ajay-Cabinet</v>
      </c>
    </row>
    <row r="191" spans="1:12" x14ac:dyDescent="0.3">
      <c r="A191" s="9">
        <v>1190</v>
      </c>
      <c r="B191" s="9" t="s">
        <v>54</v>
      </c>
      <c r="C191" s="4" t="s">
        <v>23</v>
      </c>
      <c r="D191" s="4" t="s">
        <v>24</v>
      </c>
      <c r="E191" s="4" t="s">
        <v>8</v>
      </c>
      <c r="F191" s="4">
        <v>4</v>
      </c>
      <c r="G191" s="4">
        <v>10154</v>
      </c>
      <c r="H191" s="4">
        <v>7</v>
      </c>
      <c r="I191" s="7">
        <v>46052</v>
      </c>
      <c r="J191" s="7">
        <v>46062</v>
      </c>
      <c r="K191" s="4" t="s">
        <v>79</v>
      </c>
      <c r="L191" s="4" t="str">
        <f t="shared" si="2"/>
        <v>Sara-Chair</v>
      </c>
    </row>
    <row r="192" spans="1:12" x14ac:dyDescent="0.3">
      <c r="A192" s="9">
        <v>1191</v>
      </c>
      <c r="B192" s="9" t="s">
        <v>50</v>
      </c>
      <c r="C192" s="4" t="s">
        <v>33</v>
      </c>
      <c r="D192" s="4" t="s">
        <v>24</v>
      </c>
      <c r="E192" s="4" t="s">
        <v>11</v>
      </c>
      <c r="F192" s="4">
        <v>9</v>
      </c>
      <c r="G192" s="4">
        <v>8631</v>
      </c>
      <c r="H192" s="4">
        <v>10</v>
      </c>
      <c r="I192" s="7">
        <v>46149</v>
      </c>
      <c r="J192" s="7">
        <v>46156</v>
      </c>
      <c r="K192" s="4" t="s">
        <v>79</v>
      </c>
      <c r="L192" s="4" t="str">
        <f t="shared" si="2"/>
        <v>Komal-Cabinet</v>
      </c>
    </row>
    <row r="193" spans="1:12" x14ac:dyDescent="0.3">
      <c r="A193" s="9">
        <v>1192</v>
      </c>
      <c r="B193" s="9" t="s">
        <v>25</v>
      </c>
      <c r="C193" s="4" t="s">
        <v>33</v>
      </c>
      <c r="D193" s="4" t="s">
        <v>20</v>
      </c>
      <c r="E193" s="4" t="s">
        <v>51</v>
      </c>
      <c r="F193" s="4">
        <v>18</v>
      </c>
      <c r="G193" s="4">
        <v>49</v>
      </c>
      <c r="H193" s="4">
        <v>12</v>
      </c>
      <c r="I193" s="7">
        <v>46089</v>
      </c>
      <c r="J193" s="7">
        <v>46095</v>
      </c>
      <c r="K193" s="4" t="s">
        <v>80</v>
      </c>
      <c r="L193" s="4" t="str">
        <f t="shared" si="2"/>
        <v>Meera-Diary</v>
      </c>
    </row>
    <row r="194" spans="1:12" x14ac:dyDescent="0.3">
      <c r="A194" s="9">
        <v>1193</v>
      </c>
      <c r="B194" s="9" t="s">
        <v>54</v>
      </c>
      <c r="C194" s="4" t="s">
        <v>19</v>
      </c>
      <c r="D194" s="4" t="s">
        <v>24</v>
      </c>
      <c r="E194" s="4" t="s">
        <v>10</v>
      </c>
      <c r="F194" s="4">
        <v>19</v>
      </c>
      <c r="G194" s="4">
        <v>2699</v>
      </c>
      <c r="H194" s="4">
        <v>7</v>
      </c>
      <c r="I194" s="7">
        <v>46110</v>
      </c>
      <c r="J194" s="7">
        <v>46112</v>
      </c>
      <c r="K194" s="4" t="s">
        <v>49</v>
      </c>
      <c r="L194" s="4" t="str">
        <f t="shared" si="2"/>
        <v>Sara-Table</v>
      </c>
    </row>
    <row r="195" spans="1:12" x14ac:dyDescent="0.3">
      <c r="A195" s="9">
        <v>1194</v>
      </c>
      <c r="B195" s="9" t="s">
        <v>54</v>
      </c>
      <c r="C195" s="4" t="s">
        <v>42</v>
      </c>
      <c r="D195" s="4" t="s">
        <v>24</v>
      </c>
      <c r="E195" s="4" t="s">
        <v>8</v>
      </c>
      <c r="F195" s="4">
        <v>13</v>
      </c>
      <c r="G195" s="4">
        <v>12856</v>
      </c>
      <c r="H195" s="4">
        <v>15</v>
      </c>
      <c r="I195" s="7">
        <v>46129</v>
      </c>
      <c r="J195" s="7">
        <v>46133</v>
      </c>
      <c r="K195" s="4" t="s">
        <v>81</v>
      </c>
      <c r="L195" s="4" t="str">
        <f t="shared" ref="L195:L258" si="3">_xlfn.CONCAT(B195, "-", E195)</f>
        <v>Sara-Chair</v>
      </c>
    </row>
    <row r="196" spans="1:12" x14ac:dyDescent="0.3">
      <c r="A196" s="9">
        <v>1195</v>
      </c>
      <c r="B196" s="9" t="s">
        <v>56</v>
      </c>
      <c r="C196" s="4" t="s">
        <v>23</v>
      </c>
      <c r="D196" s="4" t="s">
        <v>20</v>
      </c>
      <c r="E196" s="4" t="s">
        <v>48</v>
      </c>
      <c r="F196" s="4">
        <v>19</v>
      </c>
      <c r="G196" s="4">
        <v>313</v>
      </c>
      <c r="H196" s="4">
        <v>2</v>
      </c>
      <c r="I196" s="7">
        <v>46198</v>
      </c>
      <c r="J196" s="7">
        <v>46206</v>
      </c>
      <c r="K196" s="4" t="s">
        <v>81</v>
      </c>
      <c r="L196" s="4" t="str">
        <f t="shared" si="3"/>
        <v>Anita-Marker</v>
      </c>
    </row>
    <row r="197" spans="1:12" x14ac:dyDescent="0.3">
      <c r="A197" s="9">
        <v>1196</v>
      </c>
      <c r="B197" s="9" t="s">
        <v>46</v>
      </c>
      <c r="C197" s="4" t="s">
        <v>26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7">
        <v>46155</v>
      </c>
      <c r="J197" s="7">
        <v>46159</v>
      </c>
      <c r="K197" s="4" t="s">
        <v>79</v>
      </c>
      <c r="L197" s="4" t="str">
        <f t="shared" si="3"/>
        <v>Nitin-Printer</v>
      </c>
    </row>
    <row r="198" spans="1:12" x14ac:dyDescent="0.3">
      <c r="A198" s="9">
        <v>1197</v>
      </c>
      <c r="B198" s="9" t="s">
        <v>50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7">
        <v>46045</v>
      </c>
      <c r="J198" s="7">
        <v>46048</v>
      </c>
      <c r="K198" s="4" t="s">
        <v>78</v>
      </c>
      <c r="L198" s="4" t="str">
        <f t="shared" si="3"/>
        <v>Komal-Printer</v>
      </c>
    </row>
    <row r="199" spans="1:12" x14ac:dyDescent="0.3">
      <c r="A199" s="9">
        <v>1198</v>
      </c>
      <c r="B199" s="9" t="s">
        <v>55</v>
      </c>
      <c r="C199" s="4" t="s">
        <v>19</v>
      </c>
      <c r="D199" s="4" t="s">
        <v>20</v>
      </c>
      <c r="E199" s="4" t="s">
        <v>21</v>
      </c>
      <c r="F199" s="4">
        <v>12</v>
      </c>
      <c r="G199" s="4">
        <v>491</v>
      </c>
      <c r="H199" s="4">
        <v>2</v>
      </c>
      <c r="I199" s="7">
        <v>46106</v>
      </c>
      <c r="J199" s="7">
        <v>46109</v>
      </c>
      <c r="K199" s="4" t="s">
        <v>81</v>
      </c>
      <c r="L199" s="4" t="str">
        <f t="shared" si="3"/>
        <v>Rohan-Notebook</v>
      </c>
    </row>
    <row r="200" spans="1:12" x14ac:dyDescent="0.3">
      <c r="A200" s="9">
        <v>1199</v>
      </c>
      <c r="B200" s="9" t="s">
        <v>18</v>
      </c>
      <c r="C200" s="4" t="s">
        <v>27</v>
      </c>
      <c r="D200" s="4" t="s">
        <v>34</v>
      </c>
      <c r="E200" s="4" t="s">
        <v>6</v>
      </c>
      <c r="F200" s="4">
        <v>2</v>
      </c>
      <c r="G200" s="4">
        <v>4375</v>
      </c>
      <c r="H200" s="4">
        <v>7</v>
      </c>
      <c r="I200" s="7">
        <v>46178</v>
      </c>
      <c r="J200" s="7">
        <v>46180</v>
      </c>
      <c r="K200" s="4" t="s">
        <v>80</v>
      </c>
      <c r="L200" s="4" t="str">
        <f t="shared" si="3"/>
        <v>Ritesh-Monitor</v>
      </c>
    </row>
    <row r="201" spans="1:12" x14ac:dyDescent="0.3">
      <c r="A201" s="9">
        <v>1200</v>
      </c>
      <c r="B201" s="9" t="s">
        <v>49</v>
      </c>
      <c r="C201" s="4" t="s">
        <v>31</v>
      </c>
      <c r="D201" s="4" t="s">
        <v>34</v>
      </c>
      <c r="E201" s="4" t="s">
        <v>6</v>
      </c>
      <c r="F201" s="4">
        <v>13</v>
      </c>
      <c r="G201" s="4">
        <v>69422</v>
      </c>
      <c r="H201" s="4">
        <v>0</v>
      </c>
      <c r="I201" s="7">
        <v>46134</v>
      </c>
      <c r="J201" s="7">
        <v>46143</v>
      </c>
      <c r="K201" s="4" t="s">
        <v>49</v>
      </c>
      <c r="L201" s="4" t="str">
        <f t="shared" si="3"/>
        <v>Priya-Monitor</v>
      </c>
    </row>
    <row r="202" spans="1:12" x14ac:dyDescent="0.3">
      <c r="A202" s="9">
        <v>1201</v>
      </c>
      <c r="B202" s="9" t="s">
        <v>52</v>
      </c>
      <c r="C202" s="4" t="s">
        <v>31</v>
      </c>
      <c r="D202" s="4" t="s">
        <v>20</v>
      </c>
      <c r="E202" s="4" t="s">
        <v>51</v>
      </c>
      <c r="F202" s="4">
        <v>18</v>
      </c>
      <c r="G202" s="4">
        <v>139</v>
      </c>
      <c r="H202" s="4">
        <v>12</v>
      </c>
      <c r="I202" s="7">
        <v>46075</v>
      </c>
      <c r="J202" s="7">
        <v>46076</v>
      </c>
      <c r="K202" s="4" t="s">
        <v>79</v>
      </c>
      <c r="L202" s="4" t="str">
        <f t="shared" si="3"/>
        <v>Manoj-Diary</v>
      </c>
    </row>
    <row r="203" spans="1:12" x14ac:dyDescent="0.3">
      <c r="A203" s="9">
        <v>1202</v>
      </c>
      <c r="B203" s="9" t="s">
        <v>54</v>
      </c>
      <c r="C203" s="4" t="s">
        <v>26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7">
        <v>46082</v>
      </c>
      <c r="J203" s="7">
        <v>46091</v>
      </c>
      <c r="K203" s="4" t="s">
        <v>78</v>
      </c>
      <c r="L203" s="4" t="str">
        <f t="shared" si="3"/>
        <v>Sara-Printer</v>
      </c>
    </row>
    <row r="204" spans="1:12" x14ac:dyDescent="0.3">
      <c r="A204" s="9">
        <v>1203</v>
      </c>
      <c r="B204" s="9" t="s">
        <v>39</v>
      </c>
      <c r="C204" s="4" t="s">
        <v>26</v>
      </c>
      <c r="D204" s="4" t="s">
        <v>24</v>
      </c>
      <c r="E204" s="4" t="s">
        <v>10</v>
      </c>
      <c r="F204" s="4">
        <v>17</v>
      </c>
      <c r="G204" s="4">
        <v>6695</v>
      </c>
      <c r="H204" s="4">
        <v>2</v>
      </c>
      <c r="I204" s="7">
        <v>46119</v>
      </c>
      <c r="J204" s="7">
        <v>46122</v>
      </c>
      <c r="K204" s="4" t="s">
        <v>81</v>
      </c>
      <c r="L204" s="4" t="str">
        <f t="shared" si="3"/>
        <v>Deepak-Table</v>
      </c>
    </row>
    <row r="205" spans="1:12" x14ac:dyDescent="0.3">
      <c r="A205" s="9">
        <v>1204</v>
      </c>
      <c r="B205" s="9" t="s">
        <v>22</v>
      </c>
      <c r="C205" s="4" t="s">
        <v>31</v>
      </c>
      <c r="D205" s="4" t="s">
        <v>20</v>
      </c>
      <c r="E205" s="4" t="s">
        <v>37</v>
      </c>
      <c r="F205" s="4">
        <v>13</v>
      </c>
      <c r="G205" s="4">
        <v>416</v>
      </c>
      <c r="H205" s="4">
        <v>10</v>
      </c>
      <c r="I205" s="7">
        <v>46123</v>
      </c>
      <c r="J205" s="7">
        <v>46132</v>
      </c>
      <c r="K205" s="4" t="s">
        <v>79</v>
      </c>
      <c r="L205" s="4" t="str">
        <f t="shared" si="3"/>
        <v>Pooja-Pen Pack</v>
      </c>
    </row>
    <row r="206" spans="1:12" x14ac:dyDescent="0.3">
      <c r="A206" s="9">
        <v>1205</v>
      </c>
      <c r="B206" s="9" t="s">
        <v>25</v>
      </c>
      <c r="C206" s="4" t="s">
        <v>38</v>
      </c>
      <c r="D206" s="4" t="s">
        <v>20</v>
      </c>
      <c r="E206" s="4" t="s">
        <v>36</v>
      </c>
      <c r="F206" s="4">
        <v>1</v>
      </c>
      <c r="G206" s="4">
        <v>112</v>
      </c>
      <c r="H206" s="4">
        <v>7</v>
      </c>
      <c r="I206" s="7">
        <v>46033</v>
      </c>
      <c r="J206" s="7">
        <v>46040</v>
      </c>
      <c r="K206" s="4" t="s">
        <v>81</v>
      </c>
      <c r="L206" s="4" t="str">
        <f t="shared" si="3"/>
        <v>Meera-Stapler</v>
      </c>
    </row>
    <row r="207" spans="1:12" x14ac:dyDescent="0.3">
      <c r="A207" s="9">
        <v>1206</v>
      </c>
      <c r="B207" s="9" t="s">
        <v>53</v>
      </c>
      <c r="C207" s="4" t="s">
        <v>33</v>
      </c>
      <c r="D207" s="4" t="s">
        <v>20</v>
      </c>
      <c r="E207" s="4" t="s">
        <v>21</v>
      </c>
      <c r="F207" s="4">
        <v>9</v>
      </c>
      <c r="G207" s="4">
        <v>60</v>
      </c>
      <c r="H207" s="4">
        <v>0</v>
      </c>
      <c r="I207" s="7">
        <v>46166</v>
      </c>
      <c r="J207" s="7">
        <v>46174</v>
      </c>
      <c r="K207" s="4" t="s">
        <v>78</v>
      </c>
      <c r="L207" s="4" t="str">
        <f t="shared" si="3"/>
        <v>Sneha-Notebook</v>
      </c>
    </row>
    <row r="208" spans="1:12" x14ac:dyDescent="0.3">
      <c r="A208" s="9">
        <v>1207</v>
      </c>
      <c r="B208" s="9" t="s">
        <v>53</v>
      </c>
      <c r="C208" s="4" t="s">
        <v>27</v>
      </c>
      <c r="D208" s="4" t="s">
        <v>20</v>
      </c>
      <c r="E208" s="4" t="s">
        <v>51</v>
      </c>
      <c r="F208" s="4">
        <v>7</v>
      </c>
      <c r="G208" s="4">
        <v>244</v>
      </c>
      <c r="H208" s="4">
        <v>2</v>
      </c>
      <c r="I208" s="7">
        <v>46164</v>
      </c>
      <c r="J208" s="7">
        <v>46173</v>
      </c>
      <c r="K208" s="4" t="s">
        <v>80</v>
      </c>
      <c r="L208" s="4" t="str">
        <f t="shared" si="3"/>
        <v>Sneha-Diary</v>
      </c>
    </row>
    <row r="209" spans="1:12" x14ac:dyDescent="0.3">
      <c r="A209" s="9">
        <v>1208</v>
      </c>
      <c r="B209" s="9" t="s">
        <v>52</v>
      </c>
      <c r="C209" s="4" t="s">
        <v>42</v>
      </c>
      <c r="D209" s="4" t="s">
        <v>24</v>
      </c>
      <c r="E209" s="4" t="s">
        <v>43</v>
      </c>
      <c r="F209" s="4">
        <v>6</v>
      </c>
      <c r="G209" s="4">
        <v>7627</v>
      </c>
      <c r="H209" s="4">
        <v>10</v>
      </c>
      <c r="I209" s="7">
        <v>46042</v>
      </c>
      <c r="J209" s="7">
        <v>46047</v>
      </c>
      <c r="K209" s="4" t="s">
        <v>79</v>
      </c>
      <c r="L209" s="4" t="str">
        <f t="shared" si="3"/>
        <v>Manoj-Bookshelf</v>
      </c>
    </row>
    <row r="210" spans="1:12" x14ac:dyDescent="0.3">
      <c r="A210" s="9">
        <v>1209</v>
      </c>
      <c r="B210" s="9" t="s">
        <v>46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7">
        <v>46103</v>
      </c>
      <c r="J210" s="7">
        <v>46110</v>
      </c>
      <c r="K210" s="4" t="s">
        <v>79</v>
      </c>
      <c r="L210" s="4" t="str">
        <f t="shared" si="3"/>
        <v>Nitin-Printer</v>
      </c>
    </row>
    <row r="211" spans="1:12" x14ac:dyDescent="0.3">
      <c r="A211" s="9">
        <v>1210</v>
      </c>
      <c r="B211" s="9" t="s">
        <v>30</v>
      </c>
      <c r="C211" s="4" t="s">
        <v>31</v>
      </c>
      <c r="D211" s="4" t="s">
        <v>20</v>
      </c>
      <c r="E211" s="4" t="s">
        <v>51</v>
      </c>
      <c r="F211" s="4">
        <v>10</v>
      </c>
      <c r="G211" s="4">
        <v>349</v>
      </c>
      <c r="H211" s="4">
        <v>0</v>
      </c>
      <c r="I211" s="7">
        <v>46052</v>
      </c>
      <c r="J211" s="7">
        <v>46060</v>
      </c>
      <c r="K211" s="4" t="s">
        <v>49</v>
      </c>
      <c r="L211" s="4" t="str">
        <f t="shared" si="3"/>
        <v>Neha-Diary</v>
      </c>
    </row>
    <row r="212" spans="1:12" x14ac:dyDescent="0.3">
      <c r="A212" s="9">
        <v>1211</v>
      </c>
      <c r="B212" s="9" t="s">
        <v>46</v>
      </c>
      <c r="C212" s="4" t="s">
        <v>23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7">
        <v>46175</v>
      </c>
      <c r="J212" s="7">
        <v>46183</v>
      </c>
      <c r="K212" s="4" t="s">
        <v>78</v>
      </c>
      <c r="L212" s="4" t="str">
        <f t="shared" si="3"/>
        <v>Nitin-Printer</v>
      </c>
    </row>
    <row r="213" spans="1:12" x14ac:dyDescent="0.3">
      <c r="A213" s="9">
        <v>1212</v>
      </c>
      <c r="B213" s="9" t="s">
        <v>56</v>
      </c>
      <c r="C213" s="4" t="s">
        <v>27</v>
      </c>
      <c r="D213" s="4" t="s">
        <v>34</v>
      </c>
      <c r="E213" s="4" t="s">
        <v>9</v>
      </c>
      <c r="F213" s="4">
        <v>10</v>
      </c>
      <c r="G213" s="4">
        <v>34380</v>
      </c>
      <c r="H213" s="4">
        <v>7</v>
      </c>
      <c r="I213" s="7">
        <v>46194</v>
      </c>
      <c r="J213" s="7">
        <v>46195</v>
      </c>
      <c r="K213" s="4" t="s">
        <v>49</v>
      </c>
      <c r="L213" s="4" t="str">
        <f t="shared" si="3"/>
        <v>Anita-Laptop</v>
      </c>
    </row>
    <row r="214" spans="1:12" x14ac:dyDescent="0.3">
      <c r="A214" s="9">
        <v>1213</v>
      </c>
      <c r="B214" s="9" t="s">
        <v>32</v>
      </c>
      <c r="C214" s="4" t="s">
        <v>38</v>
      </c>
      <c r="D214" s="4" t="s">
        <v>34</v>
      </c>
      <c r="E214" s="4" t="s">
        <v>6</v>
      </c>
      <c r="F214" s="4">
        <v>16</v>
      </c>
      <c r="G214" s="4">
        <v>27741</v>
      </c>
      <c r="H214" s="4">
        <v>12</v>
      </c>
      <c r="I214" s="7">
        <v>46116</v>
      </c>
      <c r="J214" s="7">
        <v>46119</v>
      </c>
      <c r="K214" s="4" t="s">
        <v>78</v>
      </c>
      <c r="L214" s="4" t="str">
        <f t="shared" si="3"/>
        <v>Asha-Monitor</v>
      </c>
    </row>
    <row r="215" spans="1:12" x14ac:dyDescent="0.3">
      <c r="A215" s="9">
        <v>1214</v>
      </c>
      <c r="B215" s="9" t="s">
        <v>41</v>
      </c>
      <c r="C215" s="4" t="s">
        <v>27</v>
      </c>
      <c r="D215" s="4" t="s">
        <v>24</v>
      </c>
      <c r="E215" s="4" t="s">
        <v>8</v>
      </c>
      <c r="F215" s="4">
        <v>19</v>
      </c>
      <c r="G215" s="4">
        <v>13832</v>
      </c>
      <c r="H215" s="4">
        <v>0</v>
      </c>
      <c r="I215" s="7">
        <v>46140</v>
      </c>
      <c r="J215" s="7">
        <v>46145</v>
      </c>
      <c r="K215" s="4" t="s">
        <v>81</v>
      </c>
      <c r="L215" s="4" t="str">
        <f t="shared" si="3"/>
        <v>Nisha-Chair</v>
      </c>
    </row>
    <row r="216" spans="1:12" x14ac:dyDescent="0.3">
      <c r="A216" s="9">
        <v>1215</v>
      </c>
      <c r="B216" s="9" t="s">
        <v>29</v>
      </c>
      <c r="C216" s="4" t="s">
        <v>19</v>
      </c>
      <c r="D216" s="4" t="s">
        <v>24</v>
      </c>
      <c r="E216" s="4" t="s">
        <v>8</v>
      </c>
      <c r="F216" s="4">
        <v>6</v>
      </c>
      <c r="G216" s="4">
        <v>1254</v>
      </c>
      <c r="H216" s="4">
        <v>0</v>
      </c>
      <c r="I216" s="7">
        <v>46131</v>
      </c>
      <c r="J216" s="7">
        <v>46136</v>
      </c>
      <c r="K216" s="4" t="s">
        <v>49</v>
      </c>
      <c r="L216" s="4" t="str">
        <f t="shared" si="3"/>
        <v>Arjun-Chair</v>
      </c>
    </row>
    <row r="217" spans="1:12" x14ac:dyDescent="0.3">
      <c r="A217" s="9">
        <v>1216</v>
      </c>
      <c r="B217" s="9" t="s">
        <v>39</v>
      </c>
      <c r="C217" s="4" t="s">
        <v>26</v>
      </c>
      <c r="D217" s="4" t="s">
        <v>34</v>
      </c>
      <c r="E217" s="4" t="s">
        <v>6</v>
      </c>
      <c r="F217" s="4">
        <v>10</v>
      </c>
      <c r="G217" s="4">
        <v>56709</v>
      </c>
      <c r="H217" s="4">
        <v>15</v>
      </c>
      <c r="I217" s="7">
        <v>46135</v>
      </c>
      <c r="J217" s="7">
        <v>46139</v>
      </c>
      <c r="K217" s="4" t="s">
        <v>49</v>
      </c>
      <c r="L217" s="4" t="str">
        <f t="shared" si="3"/>
        <v>Deepak-Monitor</v>
      </c>
    </row>
    <row r="218" spans="1:12" x14ac:dyDescent="0.3">
      <c r="A218" s="9">
        <v>1217</v>
      </c>
      <c r="B218" s="9" t="s">
        <v>30</v>
      </c>
      <c r="C218" s="4" t="s">
        <v>26</v>
      </c>
      <c r="D218" s="4" t="s">
        <v>20</v>
      </c>
      <c r="E218" s="4" t="s">
        <v>48</v>
      </c>
      <c r="F218" s="4">
        <v>18</v>
      </c>
      <c r="G218" s="4">
        <v>60</v>
      </c>
      <c r="H218" s="4">
        <v>0</v>
      </c>
      <c r="I218" s="7">
        <v>46171</v>
      </c>
      <c r="J218" s="7">
        <v>46172</v>
      </c>
      <c r="K218" s="4" t="s">
        <v>49</v>
      </c>
      <c r="L218" s="4" t="str">
        <f t="shared" si="3"/>
        <v>Neha-Marker</v>
      </c>
    </row>
    <row r="219" spans="1:12" x14ac:dyDescent="0.3">
      <c r="A219" s="9">
        <v>1218</v>
      </c>
      <c r="B219" s="9" t="s">
        <v>53</v>
      </c>
      <c r="C219" s="4" t="s">
        <v>38</v>
      </c>
      <c r="D219" s="4" t="s">
        <v>20</v>
      </c>
      <c r="E219" s="4" t="s">
        <v>21</v>
      </c>
      <c r="F219" s="4">
        <v>1</v>
      </c>
      <c r="G219" s="4">
        <v>134</v>
      </c>
      <c r="H219" s="4">
        <v>10</v>
      </c>
      <c r="I219" s="7">
        <v>46143</v>
      </c>
      <c r="J219" s="7">
        <v>46151</v>
      </c>
      <c r="K219" s="4" t="s">
        <v>81</v>
      </c>
      <c r="L219" s="4" t="str">
        <f t="shared" si="3"/>
        <v>Sneha-Notebook</v>
      </c>
    </row>
    <row r="220" spans="1:12" x14ac:dyDescent="0.3">
      <c r="A220" s="9">
        <v>1219</v>
      </c>
      <c r="B220" s="9" t="s">
        <v>44</v>
      </c>
      <c r="C220" s="4" t="s">
        <v>26</v>
      </c>
      <c r="D220" s="4" t="s">
        <v>20</v>
      </c>
      <c r="E220" s="4" t="s">
        <v>21</v>
      </c>
      <c r="F220" s="4">
        <v>4</v>
      </c>
      <c r="G220" s="4">
        <v>117</v>
      </c>
      <c r="H220" s="4">
        <v>15</v>
      </c>
      <c r="I220" s="7">
        <v>46202</v>
      </c>
      <c r="J220" s="7">
        <v>46206</v>
      </c>
      <c r="K220" s="4" t="s">
        <v>49</v>
      </c>
      <c r="L220" s="4" t="str">
        <f t="shared" si="3"/>
        <v>Kiran-Notebook</v>
      </c>
    </row>
    <row r="221" spans="1:12" x14ac:dyDescent="0.3">
      <c r="A221" s="9">
        <v>1220</v>
      </c>
      <c r="B221" s="9" t="s">
        <v>18</v>
      </c>
      <c r="C221" s="4" t="s">
        <v>27</v>
      </c>
      <c r="D221" s="4" t="s">
        <v>24</v>
      </c>
      <c r="E221" s="4" t="s">
        <v>11</v>
      </c>
      <c r="F221" s="4">
        <v>2</v>
      </c>
      <c r="G221" s="4">
        <v>8861</v>
      </c>
      <c r="H221" s="4">
        <v>2</v>
      </c>
      <c r="I221" s="7">
        <v>46170</v>
      </c>
      <c r="J221" s="7">
        <v>46174</v>
      </c>
      <c r="K221" s="4" t="s">
        <v>80</v>
      </c>
      <c r="L221" s="4" t="str">
        <f t="shared" si="3"/>
        <v>Ritesh-Cabinet</v>
      </c>
    </row>
    <row r="222" spans="1:12" x14ac:dyDescent="0.3">
      <c r="A222" s="9">
        <v>1221</v>
      </c>
      <c r="B222" s="9" t="s">
        <v>18</v>
      </c>
      <c r="C222" s="4" t="s">
        <v>31</v>
      </c>
      <c r="D222" s="4" t="s">
        <v>24</v>
      </c>
      <c r="E222" s="4" t="s">
        <v>11</v>
      </c>
      <c r="F222" s="4">
        <v>18</v>
      </c>
      <c r="G222" s="4">
        <v>2681</v>
      </c>
      <c r="H222" s="4">
        <v>10</v>
      </c>
      <c r="I222" s="7">
        <v>46122</v>
      </c>
      <c r="J222" s="7">
        <v>46125</v>
      </c>
      <c r="K222" s="4" t="s">
        <v>81</v>
      </c>
      <c r="L222" s="4" t="str">
        <f t="shared" si="3"/>
        <v>Ritesh-Cabinet</v>
      </c>
    </row>
    <row r="223" spans="1:12" x14ac:dyDescent="0.3">
      <c r="A223" s="9">
        <v>1222</v>
      </c>
      <c r="B223" s="9" t="s">
        <v>30</v>
      </c>
      <c r="C223" s="4" t="s">
        <v>33</v>
      </c>
      <c r="D223" s="4" t="s">
        <v>24</v>
      </c>
      <c r="E223" s="4" t="s">
        <v>10</v>
      </c>
      <c r="F223" s="4">
        <v>9</v>
      </c>
      <c r="G223" s="4">
        <v>2712</v>
      </c>
      <c r="H223" s="4">
        <v>12</v>
      </c>
      <c r="I223" s="7">
        <v>46154</v>
      </c>
      <c r="J223" s="7">
        <v>46163</v>
      </c>
      <c r="K223" s="4" t="s">
        <v>78</v>
      </c>
      <c r="L223" s="4" t="str">
        <f t="shared" si="3"/>
        <v>Neha-Table</v>
      </c>
    </row>
    <row r="224" spans="1:12" x14ac:dyDescent="0.3">
      <c r="A224" s="9">
        <v>1223</v>
      </c>
      <c r="B224" s="9" t="s">
        <v>56</v>
      </c>
      <c r="C224" s="4" t="s">
        <v>23</v>
      </c>
      <c r="D224" s="4" t="s">
        <v>24</v>
      </c>
      <c r="E224" s="4" t="s">
        <v>10</v>
      </c>
      <c r="F224" s="4">
        <v>4</v>
      </c>
      <c r="G224" s="4">
        <v>2249</v>
      </c>
      <c r="H224" s="4">
        <v>7</v>
      </c>
      <c r="I224" s="7">
        <v>46077</v>
      </c>
      <c r="J224" s="7">
        <v>46084</v>
      </c>
      <c r="K224" s="4" t="s">
        <v>78</v>
      </c>
      <c r="L224" s="4" t="str">
        <f t="shared" si="3"/>
        <v>Anita-Table</v>
      </c>
    </row>
    <row r="225" spans="1:12" x14ac:dyDescent="0.3">
      <c r="A225" s="9">
        <v>1224</v>
      </c>
      <c r="B225" s="9" t="s">
        <v>30</v>
      </c>
      <c r="C225" s="4" t="s">
        <v>38</v>
      </c>
      <c r="D225" s="4" t="s">
        <v>34</v>
      </c>
      <c r="E225" s="4" t="s">
        <v>6</v>
      </c>
      <c r="F225" s="4">
        <v>16</v>
      </c>
      <c r="G225" s="4">
        <v>18378</v>
      </c>
      <c r="H225" s="4">
        <v>10</v>
      </c>
      <c r="I225" s="7">
        <v>46045</v>
      </c>
      <c r="J225" s="7">
        <v>46052</v>
      </c>
      <c r="K225" s="4" t="s">
        <v>80</v>
      </c>
      <c r="L225" s="4" t="str">
        <f t="shared" si="3"/>
        <v>Neha-Monitor</v>
      </c>
    </row>
    <row r="226" spans="1:12" x14ac:dyDescent="0.3">
      <c r="A226" s="9">
        <v>1225</v>
      </c>
      <c r="B226" s="9" t="s">
        <v>41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7">
        <v>46125</v>
      </c>
      <c r="J226" s="7">
        <v>46126</v>
      </c>
      <c r="K226" s="4" t="s">
        <v>79</v>
      </c>
      <c r="L226" s="4" t="str">
        <f t="shared" si="3"/>
        <v>Nisha-Printer</v>
      </c>
    </row>
    <row r="227" spans="1:12" x14ac:dyDescent="0.3">
      <c r="A227" s="9">
        <v>1226</v>
      </c>
      <c r="B227" s="9" t="s">
        <v>49</v>
      </c>
      <c r="C227" s="4" t="s">
        <v>31</v>
      </c>
      <c r="D227" s="4" t="s">
        <v>34</v>
      </c>
      <c r="E227" s="4" t="s">
        <v>40</v>
      </c>
      <c r="F227" s="4">
        <v>13</v>
      </c>
      <c r="G227" s="4">
        <v>21332</v>
      </c>
      <c r="H227" s="4">
        <v>0</v>
      </c>
      <c r="I227" s="7">
        <v>46044</v>
      </c>
      <c r="J227" s="7">
        <v>46048</v>
      </c>
      <c r="K227" s="4" t="s">
        <v>49</v>
      </c>
      <c r="L227" s="4" t="str">
        <f t="shared" si="3"/>
        <v>Priya-Headset</v>
      </c>
    </row>
    <row r="228" spans="1:12" x14ac:dyDescent="0.3">
      <c r="A228" s="9">
        <v>1227</v>
      </c>
      <c r="B228" s="9" t="s">
        <v>55</v>
      </c>
      <c r="C228" s="4" t="s">
        <v>26</v>
      </c>
      <c r="D228" s="4" t="s">
        <v>34</v>
      </c>
      <c r="E228" s="4" t="s">
        <v>6</v>
      </c>
      <c r="F228" s="4">
        <v>16</v>
      </c>
      <c r="G228" s="4">
        <v>1321</v>
      </c>
      <c r="H228" s="4">
        <v>12</v>
      </c>
      <c r="I228" s="7">
        <v>46113</v>
      </c>
      <c r="J228" s="7">
        <v>46116</v>
      </c>
      <c r="K228" s="4" t="s">
        <v>78</v>
      </c>
      <c r="L228" s="4" t="str">
        <f t="shared" si="3"/>
        <v>Rohan-Monitor</v>
      </c>
    </row>
    <row r="229" spans="1:12" x14ac:dyDescent="0.3">
      <c r="A229" s="9">
        <v>1228</v>
      </c>
      <c r="B229" s="9" t="s">
        <v>49</v>
      </c>
      <c r="C229" s="4" t="s">
        <v>27</v>
      </c>
      <c r="D229" s="4" t="s">
        <v>34</v>
      </c>
      <c r="E229" s="4" t="s">
        <v>6</v>
      </c>
      <c r="F229" s="4">
        <v>16</v>
      </c>
      <c r="G229" s="4">
        <v>17477</v>
      </c>
      <c r="H229" s="4">
        <v>10</v>
      </c>
      <c r="I229" s="7">
        <v>46041</v>
      </c>
      <c r="J229" s="7">
        <v>46043</v>
      </c>
      <c r="K229" s="4" t="s">
        <v>80</v>
      </c>
      <c r="L229" s="4" t="str">
        <f t="shared" si="3"/>
        <v>Priya-Monitor</v>
      </c>
    </row>
    <row r="230" spans="1:12" x14ac:dyDescent="0.3">
      <c r="A230" s="9">
        <v>1229</v>
      </c>
      <c r="B230" s="9" t="s">
        <v>54</v>
      </c>
      <c r="C230" s="4" t="s">
        <v>19</v>
      </c>
      <c r="D230" s="4" t="s">
        <v>24</v>
      </c>
      <c r="E230" s="4" t="s">
        <v>11</v>
      </c>
      <c r="F230" s="4">
        <v>14</v>
      </c>
      <c r="G230" s="4">
        <v>5859</v>
      </c>
      <c r="H230" s="4">
        <v>12</v>
      </c>
      <c r="I230" s="7">
        <v>46027</v>
      </c>
      <c r="J230" s="7">
        <v>46036</v>
      </c>
      <c r="K230" s="4" t="s">
        <v>79</v>
      </c>
      <c r="L230" s="4" t="str">
        <f t="shared" si="3"/>
        <v>Sara-Cabinet</v>
      </c>
    </row>
    <row r="231" spans="1:12" x14ac:dyDescent="0.3">
      <c r="A231" s="9">
        <v>1230</v>
      </c>
      <c r="B231" s="9" t="s">
        <v>56</v>
      </c>
      <c r="C231" s="4" t="s">
        <v>33</v>
      </c>
      <c r="D231" s="4" t="s">
        <v>34</v>
      </c>
      <c r="E231" s="4" t="s">
        <v>9</v>
      </c>
      <c r="F231" s="4">
        <v>7</v>
      </c>
      <c r="G231" s="4">
        <v>2932</v>
      </c>
      <c r="H231" s="4">
        <v>7</v>
      </c>
      <c r="I231" s="7">
        <v>46050</v>
      </c>
      <c r="J231" s="7">
        <v>46059</v>
      </c>
      <c r="K231" s="4" t="s">
        <v>80</v>
      </c>
      <c r="L231" s="4" t="str">
        <f t="shared" si="3"/>
        <v>Anita-Laptop</v>
      </c>
    </row>
    <row r="232" spans="1:12" x14ac:dyDescent="0.3">
      <c r="A232" s="9">
        <v>1231</v>
      </c>
      <c r="B232" s="9" t="s">
        <v>46</v>
      </c>
      <c r="C232" s="4" t="s">
        <v>38</v>
      </c>
      <c r="D232" s="4" t="s">
        <v>24</v>
      </c>
      <c r="E232" s="4" t="s">
        <v>7</v>
      </c>
      <c r="F232" s="4">
        <v>13</v>
      </c>
      <c r="G232" s="4">
        <v>10297</v>
      </c>
      <c r="H232" s="4">
        <v>12</v>
      </c>
      <c r="I232" s="7">
        <v>46178</v>
      </c>
      <c r="J232" s="7">
        <v>46186</v>
      </c>
      <c r="K232" s="4" t="s">
        <v>79</v>
      </c>
      <c r="L232" s="4" t="str">
        <f t="shared" si="3"/>
        <v>Nitin-Desk</v>
      </c>
    </row>
    <row r="233" spans="1:12" x14ac:dyDescent="0.3">
      <c r="A233" s="9">
        <v>1232</v>
      </c>
      <c r="B233" s="9" t="s">
        <v>25</v>
      </c>
      <c r="C233" s="4" t="s">
        <v>19</v>
      </c>
      <c r="D233" s="4" t="s">
        <v>34</v>
      </c>
      <c r="E233" s="4" t="s">
        <v>9</v>
      </c>
      <c r="F233" s="4">
        <v>3</v>
      </c>
      <c r="G233" s="4">
        <v>13272</v>
      </c>
      <c r="H233" s="4">
        <v>2</v>
      </c>
      <c r="I233" s="7">
        <v>46060</v>
      </c>
      <c r="J233" s="7">
        <v>46065</v>
      </c>
      <c r="K233" s="4" t="s">
        <v>78</v>
      </c>
      <c r="L233" s="4" t="str">
        <f t="shared" si="3"/>
        <v>Meera-Laptop</v>
      </c>
    </row>
    <row r="234" spans="1:12" x14ac:dyDescent="0.3">
      <c r="A234" s="9">
        <v>1233</v>
      </c>
      <c r="B234" s="9" t="s">
        <v>55</v>
      </c>
      <c r="C234" s="4" t="s">
        <v>26</v>
      </c>
      <c r="D234" s="4" t="s">
        <v>24</v>
      </c>
      <c r="E234" s="4" t="s">
        <v>7</v>
      </c>
      <c r="F234" s="4">
        <v>20</v>
      </c>
      <c r="G234" s="4">
        <v>13941</v>
      </c>
      <c r="H234" s="4">
        <v>15</v>
      </c>
      <c r="I234" s="7">
        <v>46198</v>
      </c>
      <c r="J234" s="7">
        <v>46202</v>
      </c>
      <c r="K234" s="4" t="s">
        <v>80</v>
      </c>
      <c r="L234" s="4" t="str">
        <f t="shared" si="3"/>
        <v>Rohan-Desk</v>
      </c>
    </row>
    <row r="235" spans="1:12" x14ac:dyDescent="0.3">
      <c r="A235" s="9">
        <v>1234</v>
      </c>
      <c r="B235" s="9" t="s">
        <v>18</v>
      </c>
      <c r="C235" s="4" t="s">
        <v>27</v>
      </c>
      <c r="D235" s="4" t="s">
        <v>24</v>
      </c>
      <c r="E235" s="4" t="s">
        <v>8</v>
      </c>
      <c r="F235" s="4">
        <v>1</v>
      </c>
      <c r="G235" s="4">
        <v>14320</v>
      </c>
      <c r="H235" s="4">
        <v>12</v>
      </c>
      <c r="I235" s="7">
        <v>46114</v>
      </c>
      <c r="J235" s="7">
        <v>46121</v>
      </c>
      <c r="K235" s="4" t="s">
        <v>81</v>
      </c>
      <c r="L235" s="4" t="str">
        <f t="shared" si="3"/>
        <v>Ritesh-Chair</v>
      </c>
    </row>
    <row r="236" spans="1:12" x14ac:dyDescent="0.3">
      <c r="A236" s="9">
        <v>1235</v>
      </c>
      <c r="B236" s="9" t="s">
        <v>54</v>
      </c>
      <c r="C236" s="4" t="s">
        <v>27</v>
      </c>
      <c r="D236" s="4" t="s">
        <v>20</v>
      </c>
      <c r="E236" s="4" t="s">
        <v>48</v>
      </c>
      <c r="F236" s="4">
        <v>15</v>
      </c>
      <c r="G236" s="4">
        <v>267</v>
      </c>
      <c r="H236" s="4">
        <v>15</v>
      </c>
      <c r="I236" s="7">
        <v>46172</v>
      </c>
      <c r="J236" s="7">
        <v>46177</v>
      </c>
      <c r="K236" s="4" t="s">
        <v>49</v>
      </c>
      <c r="L236" s="4" t="str">
        <f t="shared" si="3"/>
        <v>Sara-Marker</v>
      </c>
    </row>
    <row r="237" spans="1:12" x14ac:dyDescent="0.3">
      <c r="A237" s="9">
        <v>1236</v>
      </c>
      <c r="B237" s="9" t="s">
        <v>52</v>
      </c>
      <c r="C237" s="4" t="s">
        <v>42</v>
      </c>
      <c r="D237" s="4" t="s">
        <v>20</v>
      </c>
      <c r="E237" s="4" t="s">
        <v>37</v>
      </c>
      <c r="F237" s="4">
        <v>12</v>
      </c>
      <c r="G237" s="4">
        <v>189</v>
      </c>
      <c r="H237" s="4">
        <v>7</v>
      </c>
      <c r="I237" s="7">
        <v>46164</v>
      </c>
      <c r="J237" s="7">
        <v>46169</v>
      </c>
      <c r="K237" s="4" t="s">
        <v>49</v>
      </c>
      <c r="L237" s="4" t="str">
        <f t="shared" si="3"/>
        <v>Manoj-Pen Pack</v>
      </c>
    </row>
    <row r="238" spans="1:12" x14ac:dyDescent="0.3">
      <c r="A238" s="9">
        <v>1237</v>
      </c>
      <c r="B238" s="9" t="s">
        <v>44</v>
      </c>
      <c r="C238" s="4" t="s">
        <v>38</v>
      </c>
      <c r="D238" s="4" t="s">
        <v>24</v>
      </c>
      <c r="E238" s="4" t="s">
        <v>11</v>
      </c>
      <c r="F238" s="4">
        <v>8</v>
      </c>
      <c r="G238" s="4">
        <v>12123</v>
      </c>
      <c r="H238" s="4">
        <v>2</v>
      </c>
      <c r="I238" s="7">
        <v>46137</v>
      </c>
      <c r="J238" s="7">
        <v>46145</v>
      </c>
      <c r="K238" s="4" t="s">
        <v>78</v>
      </c>
      <c r="L238" s="4" t="str">
        <f t="shared" si="3"/>
        <v>Kiran-Cabinet</v>
      </c>
    </row>
    <row r="239" spans="1:12" x14ac:dyDescent="0.3">
      <c r="A239" s="9">
        <v>1238</v>
      </c>
      <c r="B239" s="9" t="s">
        <v>30</v>
      </c>
      <c r="C239" s="4" t="s">
        <v>31</v>
      </c>
      <c r="D239" s="4" t="s">
        <v>20</v>
      </c>
      <c r="E239" s="4" t="s">
        <v>21</v>
      </c>
      <c r="F239" s="4">
        <v>6</v>
      </c>
      <c r="G239" s="4">
        <v>180</v>
      </c>
      <c r="H239" s="4">
        <v>12</v>
      </c>
      <c r="I239" s="7">
        <v>46096</v>
      </c>
      <c r="J239" s="7">
        <v>46097</v>
      </c>
      <c r="K239" s="4" t="s">
        <v>81</v>
      </c>
      <c r="L239" s="4" t="str">
        <f t="shared" si="3"/>
        <v>Neha-Notebook</v>
      </c>
    </row>
    <row r="240" spans="1:12" x14ac:dyDescent="0.3">
      <c r="A240" s="9">
        <v>1239</v>
      </c>
      <c r="B240" s="9" t="s">
        <v>46</v>
      </c>
      <c r="C240" s="4" t="s">
        <v>23</v>
      </c>
      <c r="D240" s="4" t="s">
        <v>24</v>
      </c>
      <c r="E240" s="4" t="s">
        <v>11</v>
      </c>
      <c r="F240" s="4">
        <v>2</v>
      </c>
      <c r="G240" s="4">
        <v>12330</v>
      </c>
      <c r="H240" s="4">
        <v>12</v>
      </c>
      <c r="I240" s="7">
        <v>46122</v>
      </c>
      <c r="J240" s="7">
        <v>46125</v>
      </c>
      <c r="K240" s="4" t="s">
        <v>78</v>
      </c>
      <c r="L240" s="4" t="str">
        <f t="shared" si="3"/>
        <v>Nitin-Cabinet</v>
      </c>
    </row>
    <row r="241" spans="1:12" x14ac:dyDescent="0.3">
      <c r="A241" s="9">
        <v>1240</v>
      </c>
      <c r="B241" s="9" t="s">
        <v>53</v>
      </c>
      <c r="C241" s="4" t="s">
        <v>33</v>
      </c>
      <c r="D241" s="4" t="s">
        <v>24</v>
      </c>
      <c r="E241" s="4" t="s">
        <v>10</v>
      </c>
      <c r="F241" s="4">
        <v>2</v>
      </c>
      <c r="G241" s="4">
        <v>5475</v>
      </c>
      <c r="H241" s="4">
        <v>2</v>
      </c>
      <c r="I241" s="7">
        <v>46142</v>
      </c>
      <c r="J241" s="7">
        <v>46146</v>
      </c>
      <c r="K241" s="4" t="s">
        <v>49</v>
      </c>
      <c r="L241" s="4" t="str">
        <f t="shared" si="3"/>
        <v>Sneha-Table</v>
      </c>
    </row>
    <row r="242" spans="1:12" x14ac:dyDescent="0.3">
      <c r="A242" s="9">
        <v>1241</v>
      </c>
      <c r="B242" s="9" t="s">
        <v>44</v>
      </c>
      <c r="C242" s="4" t="s">
        <v>31</v>
      </c>
      <c r="D242" s="4" t="s">
        <v>24</v>
      </c>
      <c r="E242" s="4" t="s">
        <v>43</v>
      </c>
      <c r="F242" s="4">
        <v>1</v>
      </c>
      <c r="G242" s="4">
        <v>12537</v>
      </c>
      <c r="H242" s="4">
        <v>0</v>
      </c>
      <c r="I242" s="7">
        <v>46119</v>
      </c>
      <c r="J242" s="7">
        <v>46122</v>
      </c>
      <c r="K242" s="4" t="s">
        <v>78</v>
      </c>
      <c r="L242" s="4" t="str">
        <f t="shared" si="3"/>
        <v>Kiran-Bookshelf</v>
      </c>
    </row>
    <row r="243" spans="1:12" x14ac:dyDescent="0.3">
      <c r="A243" s="9">
        <v>1242</v>
      </c>
      <c r="B243" s="9" t="s">
        <v>52</v>
      </c>
      <c r="C243" s="4" t="s">
        <v>38</v>
      </c>
      <c r="D243" s="4" t="s">
        <v>20</v>
      </c>
      <c r="E243" s="4" t="s">
        <v>48</v>
      </c>
      <c r="F243" s="4">
        <v>7</v>
      </c>
      <c r="G243" s="4">
        <v>168</v>
      </c>
      <c r="H243" s="4">
        <v>10</v>
      </c>
      <c r="I243" s="7">
        <v>46191</v>
      </c>
      <c r="J243" s="7">
        <v>46196</v>
      </c>
      <c r="K243" s="4" t="s">
        <v>81</v>
      </c>
      <c r="L243" s="4" t="str">
        <f t="shared" si="3"/>
        <v>Manoj-Marker</v>
      </c>
    </row>
    <row r="244" spans="1:12" x14ac:dyDescent="0.3">
      <c r="A244" s="9">
        <v>1243</v>
      </c>
      <c r="B244" s="9" t="s">
        <v>30</v>
      </c>
      <c r="C244" s="4" t="s">
        <v>31</v>
      </c>
      <c r="D244" s="4" t="s">
        <v>34</v>
      </c>
      <c r="E244" s="4" t="s">
        <v>40</v>
      </c>
      <c r="F244" s="4">
        <v>5</v>
      </c>
      <c r="G244" s="4">
        <v>11570</v>
      </c>
      <c r="H244" s="4">
        <v>15</v>
      </c>
      <c r="I244" s="7">
        <v>46069</v>
      </c>
      <c r="J244" s="7">
        <v>46077</v>
      </c>
      <c r="K244" s="4" t="s">
        <v>80</v>
      </c>
      <c r="L244" s="4" t="str">
        <f t="shared" si="3"/>
        <v>Neha-Headset</v>
      </c>
    </row>
    <row r="245" spans="1:12" x14ac:dyDescent="0.3">
      <c r="A245" s="9">
        <v>1244</v>
      </c>
      <c r="B245" s="9" t="s">
        <v>54</v>
      </c>
      <c r="C245" s="4" t="s">
        <v>38</v>
      </c>
      <c r="D245" s="4" t="s">
        <v>24</v>
      </c>
      <c r="E245" s="4" t="s">
        <v>8</v>
      </c>
      <c r="F245" s="4">
        <v>10</v>
      </c>
      <c r="G245" s="4">
        <v>6339</v>
      </c>
      <c r="H245" s="4">
        <v>12</v>
      </c>
      <c r="I245" s="7">
        <v>46200</v>
      </c>
      <c r="J245" s="7">
        <v>46205</v>
      </c>
      <c r="K245" s="4" t="s">
        <v>78</v>
      </c>
      <c r="L245" s="4" t="str">
        <f t="shared" si="3"/>
        <v>Sara-Chair</v>
      </c>
    </row>
    <row r="246" spans="1:12" x14ac:dyDescent="0.3">
      <c r="A246" s="9">
        <v>1245</v>
      </c>
      <c r="B246" s="9" t="s">
        <v>53</v>
      </c>
      <c r="C246" s="4" t="s">
        <v>42</v>
      </c>
      <c r="D246" s="4" t="s">
        <v>34</v>
      </c>
      <c r="E246" s="4" t="s">
        <v>40</v>
      </c>
      <c r="F246" s="4">
        <v>19</v>
      </c>
      <c r="G246" s="4">
        <v>69029</v>
      </c>
      <c r="H246" s="4">
        <v>7</v>
      </c>
      <c r="I246" s="7">
        <v>46176</v>
      </c>
      <c r="J246" s="7">
        <v>46179</v>
      </c>
      <c r="K246" s="4" t="s">
        <v>49</v>
      </c>
      <c r="L246" s="4" t="str">
        <f t="shared" si="3"/>
        <v>Sneha-Headset</v>
      </c>
    </row>
    <row r="247" spans="1:12" x14ac:dyDescent="0.3">
      <c r="A247" s="9">
        <v>1246</v>
      </c>
      <c r="B247" s="9" t="s">
        <v>53</v>
      </c>
      <c r="C247" s="4" t="s">
        <v>26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7">
        <v>46039</v>
      </c>
      <c r="J247" s="7">
        <v>46045</v>
      </c>
      <c r="K247" s="4" t="s">
        <v>81</v>
      </c>
      <c r="L247" s="4" t="str">
        <f t="shared" si="3"/>
        <v>Sneha-Printer</v>
      </c>
    </row>
    <row r="248" spans="1:12" x14ac:dyDescent="0.3">
      <c r="A248" s="9">
        <v>1247</v>
      </c>
      <c r="B248" s="9" t="s">
        <v>28</v>
      </c>
      <c r="C248" s="4" t="s">
        <v>19</v>
      </c>
      <c r="D248" s="4" t="s">
        <v>20</v>
      </c>
      <c r="E248" s="4" t="s">
        <v>48</v>
      </c>
      <c r="F248" s="4">
        <v>10</v>
      </c>
      <c r="G248" s="4">
        <v>336</v>
      </c>
      <c r="H248" s="4">
        <v>7</v>
      </c>
      <c r="I248" s="7">
        <v>46173</v>
      </c>
      <c r="J248" s="7">
        <v>46175</v>
      </c>
      <c r="K248" s="4" t="s">
        <v>79</v>
      </c>
      <c r="L248" s="4" t="str">
        <f t="shared" si="3"/>
        <v>Vikram-Marker</v>
      </c>
    </row>
    <row r="249" spans="1:12" x14ac:dyDescent="0.3">
      <c r="A249" s="9">
        <v>1248</v>
      </c>
      <c r="B249" s="9" t="s">
        <v>29</v>
      </c>
      <c r="C249" s="4" t="s">
        <v>42</v>
      </c>
      <c r="D249" s="4" t="s">
        <v>20</v>
      </c>
      <c r="E249" s="4" t="s">
        <v>37</v>
      </c>
      <c r="F249" s="4">
        <v>5</v>
      </c>
      <c r="G249" s="4">
        <v>398</v>
      </c>
      <c r="H249" s="4">
        <v>7</v>
      </c>
      <c r="I249" s="7">
        <v>46161</v>
      </c>
      <c r="J249" s="7">
        <v>46171</v>
      </c>
      <c r="K249" s="4" t="s">
        <v>49</v>
      </c>
      <c r="L249" s="4" t="str">
        <f t="shared" si="3"/>
        <v>Arjun-Pen Pack</v>
      </c>
    </row>
    <row r="250" spans="1:12" x14ac:dyDescent="0.3">
      <c r="A250" s="9">
        <v>1249</v>
      </c>
      <c r="B250" s="9" t="s">
        <v>22</v>
      </c>
      <c r="C250" s="4" t="s">
        <v>27</v>
      </c>
      <c r="D250" s="4" t="s">
        <v>34</v>
      </c>
      <c r="E250" s="4" t="s">
        <v>40</v>
      </c>
      <c r="F250" s="4">
        <v>18</v>
      </c>
      <c r="G250" s="4">
        <v>6360</v>
      </c>
      <c r="H250" s="4">
        <v>12</v>
      </c>
      <c r="I250" s="7">
        <v>46163</v>
      </c>
      <c r="J250" s="7">
        <v>46165</v>
      </c>
      <c r="K250" s="4" t="s">
        <v>79</v>
      </c>
      <c r="L250" s="4" t="str">
        <f t="shared" si="3"/>
        <v>Pooja-Headset</v>
      </c>
    </row>
    <row r="251" spans="1:12" x14ac:dyDescent="0.3">
      <c r="A251" s="9">
        <v>1250</v>
      </c>
      <c r="B251" s="9" t="s">
        <v>18</v>
      </c>
      <c r="C251" s="4" t="s">
        <v>23</v>
      </c>
      <c r="D251" s="4" t="s">
        <v>34</v>
      </c>
      <c r="E251" s="4" t="s">
        <v>6</v>
      </c>
      <c r="F251" s="4">
        <v>2</v>
      </c>
      <c r="G251" s="4">
        <v>65953</v>
      </c>
      <c r="H251" s="4">
        <v>7</v>
      </c>
      <c r="I251" s="7">
        <v>46051</v>
      </c>
      <c r="J251" s="7">
        <v>46053</v>
      </c>
      <c r="K251" s="4" t="s">
        <v>49</v>
      </c>
      <c r="L251" s="4" t="str">
        <f t="shared" si="3"/>
        <v>Ritesh-Monitor</v>
      </c>
    </row>
    <row r="252" spans="1:12" x14ac:dyDescent="0.3">
      <c r="A252" s="9">
        <v>1251</v>
      </c>
      <c r="B252" s="9" t="s">
        <v>53</v>
      </c>
      <c r="C252" s="4" t="s">
        <v>38</v>
      </c>
      <c r="D252" s="4" t="s">
        <v>34</v>
      </c>
      <c r="E252" s="4" t="s">
        <v>12</v>
      </c>
      <c r="F252" s="4">
        <v>19</v>
      </c>
      <c r="G252" s="4">
        <v>48548</v>
      </c>
      <c r="H252" s="4">
        <v>0</v>
      </c>
      <c r="I252" s="7">
        <v>46112</v>
      </c>
      <c r="J252" s="7">
        <v>46121</v>
      </c>
      <c r="K252" s="4" t="s">
        <v>81</v>
      </c>
      <c r="L252" s="4" t="str">
        <f t="shared" si="3"/>
        <v>Sneha-Mouse</v>
      </c>
    </row>
    <row r="253" spans="1:12" x14ac:dyDescent="0.3">
      <c r="A253" s="9">
        <v>1252</v>
      </c>
      <c r="B253" s="9" t="s">
        <v>45</v>
      </c>
      <c r="C253" s="4" t="s">
        <v>27</v>
      </c>
      <c r="D253" s="4" t="s">
        <v>20</v>
      </c>
      <c r="E253" s="4" t="s">
        <v>36</v>
      </c>
      <c r="F253" s="4">
        <v>15</v>
      </c>
      <c r="G253" s="4">
        <v>257</v>
      </c>
      <c r="H253" s="4">
        <v>5</v>
      </c>
      <c r="I253" s="7">
        <v>46166</v>
      </c>
      <c r="J253" s="7">
        <v>46173</v>
      </c>
      <c r="K253" s="4" t="s">
        <v>79</v>
      </c>
      <c r="L253" s="4" t="str">
        <f t="shared" si="3"/>
        <v>Yash-Stapler</v>
      </c>
    </row>
    <row r="254" spans="1:12" x14ac:dyDescent="0.3">
      <c r="A254" s="9">
        <v>1253</v>
      </c>
      <c r="B254" s="9" t="s">
        <v>25</v>
      </c>
      <c r="C254" s="4" t="s">
        <v>31</v>
      </c>
      <c r="D254" s="4" t="s">
        <v>34</v>
      </c>
      <c r="E254" s="4" t="s">
        <v>6</v>
      </c>
      <c r="F254" s="4">
        <v>20</v>
      </c>
      <c r="G254" s="4">
        <v>47880</v>
      </c>
      <c r="H254" s="4">
        <v>7</v>
      </c>
      <c r="I254" s="7">
        <v>46074</v>
      </c>
      <c r="J254" s="7">
        <v>46075</v>
      </c>
      <c r="K254" s="4" t="s">
        <v>49</v>
      </c>
      <c r="L254" s="4" t="str">
        <f t="shared" si="3"/>
        <v>Meera-Monitor</v>
      </c>
    </row>
    <row r="255" spans="1:12" x14ac:dyDescent="0.3">
      <c r="A255" s="9">
        <v>1254</v>
      </c>
      <c r="B255" s="9" t="s">
        <v>50</v>
      </c>
      <c r="C255" s="4" t="s">
        <v>26</v>
      </c>
      <c r="D255" s="4" t="s">
        <v>20</v>
      </c>
      <c r="E255" s="4" t="s">
        <v>48</v>
      </c>
      <c r="F255" s="4">
        <v>18</v>
      </c>
      <c r="G255" s="4">
        <v>447</v>
      </c>
      <c r="H255" s="4">
        <v>15</v>
      </c>
      <c r="I255" s="7">
        <v>46141</v>
      </c>
      <c r="J255" s="7">
        <v>46149</v>
      </c>
      <c r="K255" s="4" t="s">
        <v>80</v>
      </c>
      <c r="L255" s="4" t="str">
        <f t="shared" si="3"/>
        <v>Komal-Marker</v>
      </c>
    </row>
    <row r="256" spans="1:12" x14ac:dyDescent="0.3">
      <c r="A256" s="9">
        <v>1255</v>
      </c>
      <c r="B256" s="9" t="s">
        <v>32</v>
      </c>
      <c r="C256" s="4" t="s">
        <v>23</v>
      </c>
      <c r="D256" s="4" t="s">
        <v>24</v>
      </c>
      <c r="E256" s="4" t="s">
        <v>7</v>
      </c>
      <c r="F256" s="4">
        <v>1</v>
      </c>
      <c r="G256" s="4">
        <v>2240</v>
      </c>
      <c r="H256" s="4">
        <v>5</v>
      </c>
      <c r="I256" s="7">
        <v>46091</v>
      </c>
      <c r="J256" s="7">
        <v>46095</v>
      </c>
      <c r="K256" s="4" t="s">
        <v>79</v>
      </c>
      <c r="L256" s="4" t="str">
        <f t="shared" si="3"/>
        <v>Asha-Desk</v>
      </c>
    </row>
    <row r="257" spans="1:12" x14ac:dyDescent="0.3">
      <c r="A257" s="9">
        <v>1256</v>
      </c>
      <c r="B257" s="9" t="s">
        <v>46</v>
      </c>
      <c r="C257" s="4" t="s">
        <v>31</v>
      </c>
      <c r="D257" s="4" t="s">
        <v>20</v>
      </c>
      <c r="E257" s="4" t="s">
        <v>48</v>
      </c>
      <c r="F257" s="4">
        <v>19</v>
      </c>
      <c r="G257" s="4">
        <v>406</v>
      </c>
      <c r="H257" s="4">
        <v>7</v>
      </c>
      <c r="I257" s="7">
        <v>46057</v>
      </c>
      <c r="J257" s="7">
        <v>46061</v>
      </c>
      <c r="K257" s="4" t="s">
        <v>78</v>
      </c>
      <c r="L257" s="4" t="str">
        <f t="shared" si="3"/>
        <v>Nitin-Marker</v>
      </c>
    </row>
    <row r="258" spans="1:12" x14ac:dyDescent="0.3">
      <c r="A258" s="9">
        <v>1257</v>
      </c>
      <c r="B258" s="9" t="s">
        <v>52</v>
      </c>
      <c r="C258" s="4" t="s">
        <v>27</v>
      </c>
      <c r="D258" s="4" t="s">
        <v>34</v>
      </c>
      <c r="E258" s="4" t="s">
        <v>12</v>
      </c>
      <c r="F258" s="4">
        <v>7</v>
      </c>
      <c r="G258" s="4">
        <v>53243</v>
      </c>
      <c r="H258" s="4">
        <v>12</v>
      </c>
      <c r="I258" s="7">
        <v>46161</v>
      </c>
      <c r="J258" s="7">
        <v>46171</v>
      </c>
      <c r="K258" s="4" t="s">
        <v>78</v>
      </c>
      <c r="L258" s="4" t="str">
        <f t="shared" si="3"/>
        <v>Manoj-Mouse</v>
      </c>
    </row>
    <row r="259" spans="1:12" x14ac:dyDescent="0.3">
      <c r="A259" s="9">
        <v>1258</v>
      </c>
      <c r="B259" s="9" t="s">
        <v>32</v>
      </c>
      <c r="C259" s="4" t="s">
        <v>31</v>
      </c>
      <c r="D259" s="4" t="s">
        <v>34</v>
      </c>
      <c r="E259" s="4" t="s">
        <v>9</v>
      </c>
      <c r="F259" s="4">
        <v>1</v>
      </c>
      <c r="G259" s="4">
        <v>10600</v>
      </c>
      <c r="H259" s="4">
        <v>5</v>
      </c>
      <c r="I259" s="7">
        <v>46137</v>
      </c>
      <c r="J259" s="7">
        <v>46138</v>
      </c>
      <c r="K259" s="4" t="s">
        <v>49</v>
      </c>
      <c r="L259" s="4" t="str">
        <f t="shared" ref="L259:L322" si="4">_xlfn.CONCAT(B259, "-", E259)</f>
        <v>Asha-Laptop</v>
      </c>
    </row>
    <row r="260" spans="1:12" x14ac:dyDescent="0.3">
      <c r="A260" s="9">
        <v>1259</v>
      </c>
      <c r="B260" s="9" t="s">
        <v>41</v>
      </c>
      <c r="C260" s="4" t="s">
        <v>26</v>
      </c>
      <c r="D260" s="4" t="s">
        <v>34</v>
      </c>
      <c r="E260" s="4" t="s">
        <v>6</v>
      </c>
      <c r="F260" s="4">
        <v>10</v>
      </c>
      <c r="G260" s="4">
        <v>38771</v>
      </c>
      <c r="H260" s="4">
        <v>15</v>
      </c>
      <c r="I260" s="7">
        <v>46172</v>
      </c>
      <c r="J260" s="7">
        <v>46182</v>
      </c>
      <c r="K260" s="4" t="s">
        <v>78</v>
      </c>
      <c r="L260" s="4" t="str">
        <f t="shared" si="4"/>
        <v>Nisha-Monitor</v>
      </c>
    </row>
    <row r="261" spans="1:12" x14ac:dyDescent="0.3">
      <c r="A261" s="9">
        <v>1260</v>
      </c>
      <c r="B261" s="9" t="s">
        <v>52</v>
      </c>
      <c r="C261" s="4" t="s">
        <v>38</v>
      </c>
      <c r="D261" s="4" t="s">
        <v>34</v>
      </c>
      <c r="E261" s="4" t="s">
        <v>40</v>
      </c>
      <c r="F261" s="4">
        <v>19</v>
      </c>
      <c r="G261" s="4">
        <v>54981</v>
      </c>
      <c r="H261" s="4">
        <v>10</v>
      </c>
      <c r="I261" s="7">
        <v>46040</v>
      </c>
      <c r="J261" s="7">
        <v>46045</v>
      </c>
      <c r="K261" s="4" t="s">
        <v>49</v>
      </c>
      <c r="L261" s="4" t="str">
        <f t="shared" si="4"/>
        <v>Manoj-Headset</v>
      </c>
    </row>
    <row r="262" spans="1:12" x14ac:dyDescent="0.3">
      <c r="A262" s="9">
        <v>1261</v>
      </c>
      <c r="B262" s="9" t="s">
        <v>39</v>
      </c>
      <c r="C262" s="4" t="s">
        <v>23</v>
      </c>
      <c r="D262" s="4" t="s">
        <v>20</v>
      </c>
      <c r="E262" s="4" t="s">
        <v>48</v>
      </c>
      <c r="F262" s="4">
        <v>20</v>
      </c>
      <c r="G262" s="4">
        <v>162</v>
      </c>
      <c r="H262" s="4">
        <v>7</v>
      </c>
      <c r="I262" s="7">
        <v>46119</v>
      </c>
      <c r="J262" s="7">
        <v>46120</v>
      </c>
      <c r="K262" s="4" t="s">
        <v>81</v>
      </c>
      <c r="L262" s="4" t="str">
        <f t="shared" si="4"/>
        <v>Deepak-Marker</v>
      </c>
    </row>
    <row r="263" spans="1:12" x14ac:dyDescent="0.3">
      <c r="A263" s="9">
        <v>1262</v>
      </c>
      <c r="B263" s="9" t="s">
        <v>22</v>
      </c>
      <c r="C263" s="4" t="s">
        <v>26</v>
      </c>
      <c r="D263" s="4" t="s">
        <v>24</v>
      </c>
      <c r="E263" s="4" t="s">
        <v>8</v>
      </c>
      <c r="F263" s="4">
        <v>9</v>
      </c>
      <c r="G263" s="4">
        <v>2231</v>
      </c>
      <c r="H263" s="4">
        <v>15</v>
      </c>
      <c r="I263" s="7">
        <v>46174</v>
      </c>
      <c r="J263" s="7">
        <v>46183</v>
      </c>
      <c r="K263" s="4" t="s">
        <v>78</v>
      </c>
      <c r="L263" s="4" t="str">
        <f t="shared" si="4"/>
        <v>Pooja-Chair</v>
      </c>
    </row>
    <row r="264" spans="1:12" x14ac:dyDescent="0.3">
      <c r="A264" s="9">
        <v>1263</v>
      </c>
      <c r="B264" s="9" t="s">
        <v>49</v>
      </c>
      <c r="C264" s="4" t="s">
        <v>38</v>
      </c>
      <c r="D264" s="4" t="s">
        <v>24</v>
      </c>
      <c r="E264" s="4" t="s">
        <v>8</v>
      </c>
      <c r="F264" s="4">
        <v>10</v>
      </c>
      <c r="G264" s="4">
        <v>1505</v>
      </c>
      <c r="H264" s="4">
        <v>0</v>
      </c>
      <c r="I264" s="7">
        <v>46130</v>
      </c>
      <c r="J264" s="7">
        <v>46138</v>
      </c>
      <c r="K264" s="4" t="s">
        <v>81</v>
      </c>
      <c r="L264" s="4" t="str">
        <f t="shared" si="4"/>
        <v>Priya-Chair</v>
      </c>
    </row>
    <row r="265" spans="1:12" x14ac:dyDescent="0.3">
      <c r="A265" s="9">
        <v>1264</v>
      </c>
      <c r="B265" s="9" t="s">
        <v>18</v>
      </c>
      <c r="C265" s="4" t="s">
        <v>26</v>
      </c>
      <c r="D265" s="4" t="s">
        <v>24</v>
      </c>
      <c r="E265" s="4" t="s">
        <v>8</v>
      </c>
      <c r="F265" s="4">
        <v>15</v>
      </c>
      <c r="G265" s="4">
        <v>6365</v>
      </c>
      <c r="H265" s="4">
        <v>10</v>
      </c>
      <c r="I265" s="7">
        <v>46200</v>
      </c>
      <c r="J265" s="7">
        <v>46206</v>
      </c>
      <c r="K265" s="4" t="s">
        <v>79</v>
      </c>
      <c r="L265" s="4" t="str">
        <f t="shared" si="4"/>
        <v>Ritesh-Chair</v>
      </c>
    </row>
    <row r="266" spans="1:12" x14ac:dyDescent="0.3">
      <c r="A266" s="9">
        <v>1265</v>
      </c>
      <c r="B266" s="9" t="s">
        <v>55</v>
      </c>
      <c r="C266" s="4" t="s">
        <v>26</v>
      </c>
      <c r="D266" s="4" t="s">
        <v>24</v>
      </c>
      <c r="E266" s="4" t="s">
        <v>7</v>
      </c>
      <c r="F266" s="4">
        <v>1</v>
      </c>
      <c r="G266" s="4">
        <v>1052</v>
      </c>
      <c r="H266" s="4">
        <v>7</v>
      </c>
      <c r="I266" s="7">
        <v>46117</v>
      </c>
      <c r="J266" s="7">
        <v>46127</v>
      </c>
      <c r="K266" s="4" t="s">
        <v>81</v>
      </c>
      <c r="L266" s="4" t="str">
        <f t="shared" si="4"/>
        <v>Rohan-Desk</v>
      </c>
    </row>
    <row r="267" spans="1:12" x14ac:dyDescent="0.3">
      <c r="A267" s="9">
        <v>1266</v>
      </c>
      <c r="B267" s="9" t="s">
        <v>49</v>
      </c>
      <c r="C267" s="4" t="s">
        <v>33</v>
      </c>
      <c r="D267" s="4" t="s">
        <v>20</v>
      </c>
      <c r="E267" s="4" t="s">
        <v>21</v>
      </c>
      <c r="F267" s="4">
        <v>17</v>
      </c>
      <c r="G267" s="4">
        <v>365</v>
      </c>
      <c r="H267" s="4">
        <v>2</v>
      </c>
      <c r="I267" s="7">
        <v>46096</v>
      </c>
      <c r="J267" s="7">
        <v>46104</v>
      </c>
      <c r="K267" s="4" t="s">
        <v>81</v>
      </c>
      <c r="L267" s="4" t="str">
        <f t="shared" si="4"/>
        <v>Priya-Notebook</v>
      </c>
    </row>
    <row r="268" spans="1:12" x14ac:dyDescent="0.3">
      <c r="A268" s="9">
        <v>1267</v>
      </c>
      <c r="B268" s="9" t="s">
        <v>29</v>
      </c>
      <c r="C268" s="4" t="s">
        <v>38</v>
      </c>
      <c r="D268" s="4" t="s">
        <v>20</v>
      </c>
      <c r="E268" s="4" t="s">
        <v>48</v>
      </c>
      <c r="F268" s="4">
        <v>1</v>
      </c>
      <c r="G268" s="4">
        <v>50</v>
      </c>
      <c r="H268" s="4">
        <v>0</v>
      </c>
      <c r="I268" s="7">
        <v>46129</v>
      </c>
      <c r="J268" s="7">
        <v>46138</v>
      </c>
      <c r="K268" s="4" t="s">
        <v>79</v>
      </c>
      <c r="L268" s="4" t="str">
        <f t="shared" si="4"/>
        <v>Arjun-Marker</v>
      </c>
    </row>
    <row r="269" spans="1:12" x14ac:dyDescent="0.3">
      <c r="A269" s="9">
        <v>1268</v>
      </c>
      <c r="B269" s="9" t="s">
        <v>41</v>
      </c>
      <c r="C269" s="4" t="s">
        <v>38</v>
      </c>
      <c r="D269" s="4" t="s">
        <v>34</v>
      </c>
      <c r="E269" s="4" t="s">
        <v>6</v>
      </c>
      <c r="F269" s="4">
        <v>10</v>
      </c>
      <c r="G269" s="4">
        <v>46291</v>
      </c>
      <c r="H269" s="4">
        <v>12</v>
      </c>
      <c r="I269" s="7">
        <v>46199</v>
      </c>
      <c r="J269" s="7">
        <v>46202</v>
      </c>
      <c r="K269" s="4" t="s">
        <v>79</v>
      </c>
      <c r="L269" s="4" t="str">
        <f t="shared" si="4"/>
        <v>Nisha-Monitor</v>
      </c>
    </row>
    <row r="270" spans="1:12" x14ac:dyDescent="0.3">
      <c r="A270" s="9">
        <v>1269</v>
      </c>
      <c r="B270" s="9" t="s">
        <v>50</v>
      </c>
      <c r="C270" s="4" t="s">
        <v>42</v>
      </c>
      <c r="D270" s="4" t="s">
        <v>24</v>
      </c>
      <c r="E270" s="4" t="s">
        <v>7</v>
      </c>
      <c r="F270" s="4">
        <v>14</v>
      </c>
      <c r="G270" s="4">
        <v>5704</v>
      </c>
      <c r="H270" s="4">
        <v>2</v>
      </c>
      <c r="I270" s="7">
        <v>46129</v>
      </c>
      <c r="J270" s="7">
        <v>46131</v>
      </c>
      <c r="K270" s="4" t="s">
        <v>78</v>
      </c>
      <c r="L270" s="4" t="str">
        <f t="shared" si="4"/>
        <v>Komal-Desk</v>
      </c>
    </row>
    <row r="271" spans="1:12" x14ac:dyDescent="0.3">
      <c r="A271" s="9">
        <v>1270</v>
      </c>
      <c r="B271" s="9" t="s">
        <v>47</v>
      </c>
      <c r="C271" s="4" t="s">
        <v>42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7">
        <v>46135</v>
      </c>
      <c r="J271" s="7">
        <v>46141</v>
      </c>
      <c r="K271" s="4" t="s">
        <v>81</v>
      </c>
      <c r="L271" s="4" t="str">
        <f t="shared" si="4"/>
        <v>Ajay-Printer</v>
      </c>
    </row>
    <row r="272" spans="1:12" x14ac:dyDescent="0.3">
      <c r="A272" s="9">
        <v>1271</v>
      </c>
      <c r="B272" s="9" t="s">
        <v>39</v>
      </c>
      <c r="C272" s="4" t="s">
        <v>33</v>
      </c>
      <c r="D272" s="4" t="s">
        <v>34</v>
      </c>
      <c r="E272" s="4" t="s">
        <v>9</v>
      </c>
      <c r="F272" s="4">
        <v>20</v>
      </c>
      <c r="G272" s="4">
        <v>36941</v>
      </c>
      <c r="H272" s="4">
        <v>15</v>
      </c>
      <c r="I272" s="7">
        <v>46083</v>
      </c>
      <c r="J272" s="7">
        <v>46085</v>
      </c>
      <c r="K272" s="4" t="s">
        <v>49</v>
      </c>
      <c r="L272" s="4" t="str">
        <f t="shared" si="4"/>
        <v>Deepak-Laptop</v>
      </c>
    </row>
    <row r="273" spans="1:12" x14ac:dyDescent="0.3">
      <c r="A273" s="9">
        <v>1272</v>
      </c>
      <c r="B273" s="9" t="s">
        <v>50</v>
      </c>
      <c r="C273" s="4" t="s">
        <v>38</v>
      </c>
      <c r="D273" s="4" t="s">
        <v>34</v>
      </c>
      <c r="E273" s="4" t="s">
        <v>40</v>
      </c>
      <c r="F273" s="4">
        <v>13</v>
      </c>
      <c r="G273" s="4">
        <v>42179</v>
      </c>
      <c r="H273" s="4">
        <v>0</v>
      </c>
      <c r="I273" s="7">
        <v>46078</v>
      </c>
      <c r="J273" s="7">
        <v>46084</v>
      </c>
      <c r="K273" s="4" t="s">
        <v>79</v>
      </c>
      <c r="L273" s="4" t="str">
        <f t="shared" si="4"/>
        <v>Komal-Headset</v>
      </c>
    </row>
    <row r="274" spans="1:12" x14ac:dyDescent="0.3">
      <c r="A274" s="9">
        <v>1273</v>
      </c>
      <c r="B274" s="9" t="s">
        <v>44</v>
      </c>
      <c r="C274" s="4" t="s">
        <v>27</v>
      </c>
      <c r="D274" s="4" t="s">
        <v>34</v>
      </c>
      <c r="E274" s="4" t="s">
        <v>5</v>
      </c>
      <c r="F274" s="4">
        <v>12</v>
      </c>
      <c r="G274" s="4">
        <v>20618</v>
      </c>
      <c r="H274" s="4">
        <v>12</v>
      </c>
      <c r="I274" s="7">
        <v>46172</v>
      </c>
      <c r="J274" s="7">
        <v>46174</v>
      </c>
      <c r="K274" s="4" t="s">
        <v>79</v>
      </c>
      <c r="L274" s="4" t="str">
        <f t="shared" si="4"/>
        <v>Kiran-Keyboard</v>
      </c>
    </row>
    <row r="275" spans="1:12" x14ac:dyDescent="0.3">
      <c r="A275" s="9">
        <v>1274</v>
      </c>
      <c r="B275" s="9" t="s">
        <v>28</v>
      </c>
      <c r="C275" s="4" t="s">
        <v>27</v>
      </c>
      <c r="D275" s="4" t="s">
        <v>34</v>
      </c>
      <c r="E275" s="4" t="s">
        <v>40</v>
      </c>
      <c r="F275" s="4">
        <v>13</v>
      </c>
      <c r="G275" s="4">
        <v>36652</v>
      </c>
      <c r="H275" s="4">
        <v>12</v>
      </c>
      <c r="I275" s="7">
        <v>46179</v>
      </c>
      <c r="J275" s="7">
        <v>46186</v>
      </c>
      <c r="K275" s="4" t="s">
        <v>79</v>
      </c>
      <c r="L275" s="4" t="str">
        <f t="shared" si="4"/>
        <v>Vikram-Headset</v>
      </c>
    </row>
    <row r="276" spans="1:12" x14ac:dyDescent="0.3">
      <c r="A276" s="9">
        <v>1275</v>
      </c>
      <c r="B276" s="9" t="s">
        <v>22</v>
      </c>
      <c r="C276" s="4" t="s">
        <v>31</v>
      </c>
      <c r="D276" s="4" t="s">
        <v>20</v>
      </c>
      <c r="E276" s="4" t="s">
        <v>48</v>
      </c>
      <c r="F276" s="4">
        <v>20</v>
      </c>
      <c r="G276" s="4">
        <v>451</v>
      </c>
      <c r="H276" s="4">
        <v>15</v>
      </c>
      <c r="I276" s="7">
        <v>46092</v>
      </c>
      <c r="J276" s="7">
        <v>46094</v>
      </c>
      <c r="K276" s="4" t="s">
        <v>79</v>
      </c>
      <c r="L276" s="4" t="str">
        <f t="shared" si="4"/>
        <v>Pooja-Marker</v>
      </c>
    </row>
    <row r="277" spans="1:12" x14ac:dyDescent="0.3">
      <c r="A277" s="9">
        <v>1276</v>
      </c>
      <c r="B277" s="9" t="s">
        <v>39</v>
      </c>
      <c r="C277" s="4" t="s">
        <v>19</v>
      </c>
      <c r="D277" s="4" t="s">
        <v>24</v>
      </c>
      <c r="E277" s="4" t="s">
        <v>7</v>
      </c>
      <c r="F277" s="4">
        <v>1</v>
      </c>
      <c r="G277" s="4">
        <v>13437</v>
      </c>
      <c r="H277" s="4">
        <v>15</v>
      </c>
      <c r="I277" s="7">
        <v>46097</v>
      </c>
      <c r="J277" s="7">
        <v>46099</v>
      </c>
      <c r="K277" s="4" t="s">
        <v>80</v>
      </c>
      <c r="L277" s="4" t="str">
        <f t="shared" si="4"/>
        <v>Deepak-Desk</v>
      </c>
    </row>
    <row r="278" spans="1:12" x14ac:dyDescent="0.3">
      <c r="A278" s="9">
        <v>1277</v>
      </c>
      <c r="B278" s="9" t="s">
        <v>56</v>
      </c>
      <c r="C278" s="4" t="s">
        <v>23</v>
      </c>
      <c r="D278" s="4" t="s">
        <v>20</v>
      </c>
      <c r="E278" s="4" t="s">
        <v>36</v>
      </c>
      <c r="F278" s="4">
        <v>14</v>
      </c>
      <c r="G278" s="4">
        <v>276</v>
      </c>
      <c r="H278" s="4">
        <v>0</v>
      </c>
      <c r="I278" s="7">
        <v>46086</v>
      </c>
      <c r="J278" s="7">
        <v>46089</v>
      </c>
      <c r="K278" s="4" t="s">
        <v>78</v>
      </c>
      <c r="L278" s="4" t="str">
        <f t="shared" si="4"/>
        <v>Anita-Stapler</v>
      </c>
    </row>
    <row r="279" spans="1:12" x14ac:dyDescent="0.3">
      <c r="A279" s="9">
        <v>1278</v>
      </c>
      <c r="B279" s="9" t="s">
        <v>45</v>
      </c>
      <c r="C279" s="4" t="s">
        <v>26</v>
      </c>
      <c r="D279" s="4" t="s">
        <v>34</v>
      </c>
      <c r="E279" s="4" t="s">
        <v>12</v>
      </c>
      <c r="F279" s="4">
        <v>4</v>
      </c>
      <c r="G279" s="4">
        <v>20639</v>
      </c>
      <c r="H279" s="4">
        <v>7</v>
      </c>
      <c r="I279" s="7">
        <v>46180</v>
      </c>
      <c r="J279" s="7">
        <v>46186</v>
      </c>
      <c r="K279" s="4" t="s">
        <v>79</v>
      </c>
      <c r="L279" s="4" t="str">
        <f t="shared" si="4"/>
        <v>Yash-Mouse</v>
      </c>
    </row>
    <row r="280" spans="1:12" x14ac:dyDescent="0.3">
      <c r="A280" s="9">
        <v>1279</v>
      </c>
      <c r="B280" s="9" t="s">
        <v>53</v>
      </c>
      <c r="C280" s="4" t="s">
        <v>33</v>
      </c>
      <c r="D280" s="4" t="s">
        <v>34</v>
      </c>
      <c r="E280" s="4" t="s">
        <v>6</v>
      </c>
      <c r="F280" s="4">
        <v>20</v>
      </c>
      <c r="G280" s="4">
        <v>49042</v>
      </c>
      <c r="H280" s="4">
        <v>2</v>
      </c>
      <c r="I280" s="7">
        <v>46124</v>
      </c>
      <c r="J280" s="7">
        <v>46126</v>
      </c>
      <c r="K280" s="4" t="s">
        <v>78</v>
      </c>
      <c r="L280" s="4" t="str">
        <f t="shared" si="4"/>
        <v>Sneha-Monitor</v>
      </c>
    </row>
    <row r="281" spans="1:12" x14ac:dyDescent="0.3">
      <c r="A281" s="9">
        <v>1280</v>
      </c>
      <c r="B281" s="9" t="s">
        <v>56</v>
      </c>
      <c r="C281" s="4" t="s">
        <v>38</v>
      </c>
      <c r="D281" s="4" t="s">
        <v>20</v>
      </c>
      <c r="E281" s="4" t="s">
        <v>51</v>
      </c>
      <c r="F281" s="4">
        <v>9</v>
      </c>
      <c r="G281" s="4">
        <v>50</v>
      </c>
      <c r="H281" s="4">
        <v>7</v>
      </c>
      <c r="I281" s="7">
        <v>46085</v>
      </c>
      <c r="J281" s="7">
        <v>46095</v>
      </c>
      <c r="K281" s="4" t="s">
        <v>81</v>
      </c>
      <c r="L281" s="4" t="str">
        <f t="shared" si="4"/>
        <v>Anita-Diary</v>
      </c>
    </row>
    <row r="282" spans="1:12" x14ac:dyDescent="0.3">
      <c r="A282" s="9">
        <v>1281</v>
      </c>
      <c r="B282" s="9" t="s">
        <v>53</v>
      </c>
      <c r="C282" s="4" t="s">
        <v>23</v>
      </c>
      <c r="D282" s="4" t="s">
        <v>20</v>
      </c>
      <c r="E282" s="4" t="s">
        <v>48</v>
      </c>
      <c r="F282" s="4">
        <v>6</v>
      </c>
      <c r="G282" s="4">
        <v>253</v>
      </c>
      <c r="H282" s="4">
        <v>0</v>
      </c>
      <c r="I282" s="7">
        <v>46055</v>
      </c>
      <c r="J282" s="7">
        <v>46063</v>
      </c>
      <c r="K282" s="4" t="s">
        <v>80</v>
      </c>
      <c r="L282" s="4" t="str">
        <f t="shared" si="4"/>
        <v>Sneha-Marker</v>
      </c>
    </row>
    <row r="283" spans="1:12" x14ac:dyDescent="0.3">
      <c r="A283" s="9">
        <v>1282</v>
      </c>
      <c r="B283" s="9" t="s">
        <v>54</v>
      </c>
      <c r="C283" s="4" t="s">
        <v>42</v>
      </c>
      <c r="D283" s="4" t="s">
        <v>24</v>
      </c>
      <c r="E283" s="4" t="s">
        <v>43</v>
      </c>
      <c r="F283" s="4">
        <v>12</v>
      </c>
      <c r="G283" s="4">
        <v>3178</v>
      </c>
      <c r="H283" s="4">
        <v>10</v>
      </c>
      <c r="I283" s="7">
        <v>46176</v>
      </c>
      <c r="J283" s="7">
        <v>46177</v>
      </c>
      <c r="K283" s="4" t="s">
        <v>49</v>
      </c>
      <c r="L283" s="4" t="str">
        <f t="shared" si="4"/>
        <v>Sara-Bookshelf</v>
      </c>
    </row>
    <row r="284" spans="1:12" x14ac:dyDescent="0.3">
      <c r="A284" s="9">
        <v>1283</v>
      </c>
      <c r="B284" s="9" t="s">
        <v>39</v>
      </c>
      <c r="C284" s="4" t="s">
        <v>19</v>
      </c>
      <c r="D284" s="4" t="s">
        <v>24</v>
      </c>
      <c r="E284" s="4" t="s">
        <v>10</v>
      </c>
      <c r="F284" s="4">
        <v>6</v>
      </c>
      <c r="G284" s="4">
        <v>1167</v>
      </c>
      <c r="H284" s="4">
        <v>2</v>
      </c>
      <c r="I284" s="7">
        <v>46100</v>
      </c>
      <c r="J284" s="7">
        <v>46106</v>
      </c>
      <c r="K284" s="4" t="s">
        <v>78</v>
      </c>
      <c r="L284" s="4" t="str">
        <f t="shared" si="4"/>
        <v>Deepak-Table</v>
      </c>
    </row>
    <row r="285" spans="1:12" x14ac:dyDescent="0.3">
      <c r="A285" s="9">
        <v>1284</v>
      </c>
      <c r="B285" s="9" t="s">
        <v>39</v>
      </c>
      <c r="C285" s="4" t="s">
        <v>27</v>
      </c>
      <c r="D285" s="4" t="s">
        <v>20</v>
      </c>
      <c r="E285" s="4" t="s">
        <v>37</v>
      </c>
      <c r="F285" s="4">
        <v>16</v>
      </c>
      <c r="G285" s="4">
        <v>419</v>
      </c>
      <c r="H285" s="4">
        <v>2</v>
      </c>
      <c r="I285" s="7">
        <v>46082</v>
      </c>
      <c r="J285" s="7">
        <v>46090</v>
      </c>
      <c r="K285" s="4" t="s">
        <v>78</v>
      </c>
      <c r="L285" s="4" t="str">
        <f t="shared" si="4"/>
        <v>Deepak-Pen Pack</v>
      </c>
    </row>
    <row r="286" spans="1:12" x14ac:dyDescent="0.3">
      <c r="A286" s="9">
        <v>1285</v>
      </c>
      <c r="B286" s="9" t="s">
        <v>32</v>
      </c>
      <c r="C286" s="4" t="s">
        <v>38</v>
      </c>
      <c r="D286" s="4" t="s">
        <v>20</v>
      </c>
      <c r="E286" s="4" t="s">
        <v>36</v>
      </c>
      <c r="F286" s="4">
        <v>7</v>
      </c>
      <c r="G286" s="4">
        <v>439</v>
      </c>
      <c r="H286" s="4">
        <v>15</v>
      </c>
      <c r="I286" s="7">
        <v>46055</v>
      </c>
      <c r="J286" s="7">
        <v>46058</v>
      </c>
      <c r="K286" s="4" t="s">
        <v>79</v>
      </c>
      <c r="L286" s="4" t="str">
        <f t="shared" si="4"/>
        <v>Asha-Stapler</v>
      </c>
    </row>
    <row r="287" spans="1:12" x14ac:dyDescent="0.3">
      <c r="A287" s="9">
        <v>1286</v>
      </c>
      <c r="B287" s="9" t="s">
        <v>44</v>
      </c>
      <c r="C287" s="4" t="s">
        <v>23</v>
      </c>
      <c r="D287" s="4" t="s">
        <v>24</v>
      </c>
      <c r="E287" s="4" t="s">
        <v>11</v>
      </c>
      <c r="F287" s="4">
        <v>9</v>
      </c>
      <c r="G287" s="4">
        <v>1340</v>
      </c>
      <c r="H287" s="4">
        <v>2</v>
      </c>
      <c r="I287" s="7">
        <v>46168</v>
      </c>
      <c r="J287" s="7">
        <v>46173</v>
      </c>
      <c r="K287" s="4" t="s">
        <v>78</v>
      </c>
      <c r="L287" s="4" t="str">
        <f t="shared" si="4"/>
        <v>Kiran-Cabinet</v>
      </c>
    </row>
    <row r="288" spans="1:12" x14ac:dyDescent="0.3">
      <c r="A288" s="9">
        <v>1287</v>
      </c>
      <c r="B288" s="9" t="s">
        <v>56</v>
      </c>
      <c r="C288" s="4" t="s">
        <v>31</v>
      </c>
      <c r="D288" s="4" t="s">
        <v>20</v>
      </c>
      <c r="E288" s="4" t="s">
        <v>21</v>
      </c>
      <c r="F288" s="4">
        <v>15</v>
      </c>
      <c r="G288" s="4">
        <v>251</v>
      </c>
      <c r="H288" s="4">
        <v>2</v>
      </c>
      <c r="I288" s="7">
        <v>46116</v>
      </c>
      <c r="J288" s="7">
        <v>46122</v>
      </c>
      <c r="K288" s="4" t="s">
        <v>81</v>
      </c>
      <c r="L288" s="4" t="str">
        <f t="shared" si="4"/>
        <v>Anita-Notebook</v>
      </c>
    </row>
    <row r="289" spans="1:12" x14ac:dyDescent="0.3">
      <c r="A289" s="9">
        <v>1288</v>
      </c>
      <c r="B289" s="9" t="s">
        <v>52</v>
      </c>
      <c r="C289" s="4" t="s">
        <v>26</v>
      </c>
      <c r="D289" s="4" t="s">
        <v>34</v>
      </c>
      <c r="E289" s="4" t="s">
        <v>9</v>
      </c>
      <c r="F289" s="4">
        <v>14</v>
      </c>
      <c r="G289" s="4">
        <v>35601</v>
      </c>
      <c r="H289" s="4">
        <v>10</v>
      </c>
      <c r="I289" s="7">
        <v>46179</v>
      </c>
      <c r="J289" s="7">
        <v>46187</v>
      </c>
      <c r="K289" s="4" t="s">
        <v>49</v>
      </c>
      <c r="L289" s="4" t="str">
        <f t="shared" si="4"/>
        <v>Manoj-Laptop</v>
      </c>
    </row>
    <row r="290" spans="1:12" x14ac:dyDescent="0.3">
      <c r="A290" s="9">
        <v>1289</v>
      </c>
      <c r="B290" s="9" t="s">
        <v>28</v>
      </c>
      <c r="C290" s="4" t="s">
        <v>26</v>
      </c>
      <c r="D290" s="4" t="s">
        <v>34</v>
      </c>
      <c r="E290" s="4" t="s">
        <v>6</v>
      </c>
      <c r="F290" s="4">
        <v>19</v>
      </c>
      <c r="G290" s="4">
        <v>25336</v>
      </c>
      <c r="H290" s="4">
        <v>2</v>
      </c>
      <c r="I290" s="7">
        <v>46122</v>
      </c>
      <c r="J290" s="7">
        <v>46130</v>
      </c>
      <c r="K290" s="4" t="s">
        <v>80</v>
      </c>
      <c r="L290" s="4" t="str">
        <f t="shared" si="4"/>
        <v>Vikram-Monitor</v>
      </c>
    </row>
    <row r="291" spans="1:12" x14ac:dyDescent="0.3">
      <c r="A291" s="9">
        <v>1290</v>
      </c>
      <c r="B291" s="9" t="s">
        <v>28</v>
      </c>
      <c r="C291" s="4" t="s">
        <v>26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7">
        <v>46110</v>
      </c>
      <c r="J291" s="7">
        <v>46111</v>
      </c>
      <c r="K291" s="4" t="s">
        <v>49</v>
      </c>
      <c r="L291" s="4" t="str">
        <f t="shared" si="4"/>
        <v>Vikram-Printer</v>
      </c>
    </row>
    <row r="292" spans="1:12" x14ac:dyDescent="0.3">
      <c r="A292" s="9">
        <v>1291</v>
      </c>
      <c r="B292" s="9" t="s">
        <v>25</v>
      </c>
      <c r="C292" s="4" t="s">
        <v>23</v>
      </c>
      <c r="D292" s="4" t="s">
        <v>20</v>
      </c>
      <c r="E292" s="4" t="s">
        <v>36</v>
      </c>
      <c r="F292" s="4">
        <v>17</v>
      </c>
      <c r="G292" s="4">
        <v>415</v>
      </c>
      <c r="H292" s="4">
        <v>5</v>
      </c>
      <c r="I292" s="7">
        <v>46137</v>
      </c>
      <c r="J292" s="7">
        <v>46141</v>
      </c>
      <c r="K292" s="4" t="s">
        <v>79</v>
      </c>
      <c r="L292" s="4" t="str">
        <f t="shared" si="4"/>
        <v>Meera-Stapler</v>
      </c>
    </row>
    <row r="293" spans="1:12" x14ac:dyDescent="0.3">
      <c r="A293" s="9">
        <v>1292</v>
      </c>
      <c r="B293" s="9" t="s">
        <v>52</v>
      </c>
      <c r="C293" s="4" t="s">
        <v>33</v>
      </c>
      <c r="D293" s="4" t="s">
        <v>34</v>
      </c>
      <c r="E293" s="4" t="s">
        <v>12</v>
      </c>
      <c r="F293" s="4">
        <v>11</v>
      </c>
      <c r="G293" s="4">
        <v>25158</v>
      </c>
      <c r="H293" s="4">
        <v>5</v>
      </c>
      <c r="I293" s="7">
        <v>46186</v>
      </c>
      <c r="J293" s="7">
        <v>46193</v>
      </c>
      <c r="K293" s="4" t="s">
        <v>79</v>
      </c>
      <c r="L293" s="4" t="str">
        <f t="shared" si="4"/>
        <v>Manoj-Mouse</v>
      </c>
    </row>
    <row r="294" spans="1:12" x14ac:dyDescent="0.3">
      <c r="A294" s="9">
        <v>1293</v>
      </c>
      <c r="B294" s="9" t="s">
        <v>47</v>
      </c>
      <c r="C294" s="4" t="s">
        <v>42</v>
      </c>
      <c r="D294" s="4" t="s">
        <v>24</v>
      </c>
      <c r="E294" s="4" t="s">
        <v>10</v>
      </c>
      <c r="F294" s="4">
        <v>7</v>
      </c>
      <c r="G294" s="4">
        <v>11481</v>
      </c>
      <c r="H294" s="4">
        <v>15</v>
      </c>
      <c r="I294" s="7">
        <v>46045</v>
      </c>
      <c r="J294" s="7">
        <v>46050</v>
      </c>
      <c r="K294" s="4" t="s">
        <v>79</v>
      </c>
      <c r="L294" s="4" t="str">
        <f t="shared" si="4"/>
        <v>Ajay-Table</v>
      </c>
    </row>
    <row r="295" spans="1:12" x14ac:dyDescent="0.3">
      <c r="A295" s="9">
        <v>1294</v>
      </c>
      <c r="B295" s="9" t="s">
        <v>25</v>
      </c>
      <c r="C295" s="4" t="s">
        <v>19</v>
      </c>
      <c r="D295" s="4" t="s">
        <v>24</v>
      </c>
      <c r="E295" s="4" t="s">
        <v>7</v>
      </c>
      <c r="F295" s="4">
        <v>8</v>
      </c>
      <c r="G295" s="4">
        <v>14448</v>
      </c>
      <c r="H295" s="4">
        <v>10</v>
      </c>
      <c r="I295" s="7">
        <v>46181</v>
      </c>
      <c r="J295" s="7">
        <v>46189</v>
      </c>
      <c r="K295" s="4" t="s">
        <v>78</v>
      </c>
      <c r="L295" s="4" t="str">
        <f t="shared" si="4"/>
        <v>Meera-Desk</v>
      </c>
    </row>
    <row r="296" spans="1:12" x14ac:dyDescent="0.3">
      <c r="A296" s="9">
        <v>1295</v>
      </c>
      <c r="B296" s="9" t="s">
        <v>50</v>
      </c>
      <c r="C296" s="4" t="s">
        <v>38</v>
      </c>
      <c r="D296" s="4" t="s">
        <v>24</v>
      </c>
      <c r="E296" s="4" t="s">
        <v>8</v>
      </c>
      <c r="F296" s="4">
        <v>16</v>
      </c>
      <c r="G296" s="4">
        <v>11935</v>
      </c>
      <c r="H296" s="4">
        <v>12</v>
      </c>
      <c r="I296" s="7">
        <v>46157</v>
      </c>
      <c r="J296" s="7">
        <v>46162</v>
      </c>
      <c r="K296" s="4" t="s">
        <v>78</v>
      </c>
      <c r="L296" s="4" t="str">
        <f t="shared" si="4"/>
        <v>Komal-Chair</v>
      </c>
    </row>
    <row r="297" spans="1:12" x14ac:dyDescent="0.3">
      <c r="A297" s="9">
        <v>1296</v>
      </c>
      <c r="B297" s="9" t="s">
        <v>28</v>
      </c>
      <c r="C297" s="4" t="s">
        <v>38</v>
      </c>
      <c r="D297" s="4" t="s">
        <v>20</v>
      </c>
      <c r="E297" s="4" t="s">
        <v>48</v>
      </c>
      <c r="F297" s="4">
        <v>6</v>
      </c>
      <c r="G297" s="4">
        <v>201</v>
      </c>
      <c r="H297" s="4">
        <v>0</v>
      </c>
      <c r="I297" s="7">
        <v>46063</v>
      </c>
      <c r="J297" s="7">
        <v>46072</v>
      </c>
      <c r="K297" s="4" t="s">
        <v>81</v>
      </c>
      <c r="L297" s="4" t="str">
        <f t="shared" si="4"/>
        <v>Vikram-Marker</v>
      </c>
    </row>
    <row r="298" spans="1:12" x14ac:dyDescent="0.3">
      <c r="A298" s="9">
        <v>1297</v>
      </c>
      <c r="B298" s="9" t="s">
        <v>52</v>
      </c>
      <c r="C298" s="4" t="s">
        <v>27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7">
        <v>46178</v>
      </c>
      <c r="J298" s="7">
        <v>46187</v>
      </c>
      <c r="K298" s="4" t="s">
        <v>49</v>
      </c>
      <c r="L298" s="4" t="str">
        <f t="shared" si="4"/>
        <v>Manoj-Printer</v>
      </c>
    </row>
    <row r="299" spans="1:12" x14ac:dyDescent="0.3">
      <c r="A299" s="9">
        <v>1298</v>
      </c>
      <c r="B299" s="9" t="s">
        <v>25</v>
      </c>
      <c r="C299" s="4" t="s">
        <v>19</v>
      </c>
      <c r="D299" s="4" t="s">
        <v>34</v>
      </c>
      <c r="E299" s="4" t="s">
        <v>12</v>
      </c>
      <c r="F299" s="4">
        <v>19</v>
      </c>
      <c r="G299" s="4">
        <v>20745</v>
      </c>
      <c r="H299" s="4">
        <v>2</v>
      </c>
      <c r="I299" s="7">
        <v>46083</v>
      </c>
      <c r="J299" s="7">
        <v>46093</v>
      </c>
      <c r="K299" s="4" t="s">
        <v>80</v>
      </c>
      <c r="L299" s="4" t="str">
        <f t="shared" si="4"/>
        <v>Meera-Mouse</v>
      </c>
    </row>
    <row r="300" spans="1:12" x14ac:dyDescent="0.3">
      <c r="A300" s="9">
        <v>1299</v>
      </c>
      <c r="B300" s="9" t="s">
        <v>28</v>
      </c>
      <c r="C300" s="4" t="s">
        <v>23</v>
      </c>
      <c r="D300" s="4" t="s">
        <v>24</v>
      </c>
      <c r="E300" s="4" t="s">
        <v>11</v>
      </c>
      <c r="F300" s="4">
        <v>8</v>
      </c>
      <c r="G300" s="4">
        <v>8783</v>
      </c>
      <c r="H300" s="4">
        <v>2</v>
      </c>
      <c r="I300" s="7">
        <v>46123</v>
      </c>
      <c r="J300" s="7">
        <v>46132</v>
      </c>
      <c r="K300" s="4" t="s">
        <v>78</v>
      </c>
      <c r="L300" s="4" t="str">
        <f t="shared" si="4"/>
        <v>Vikram-Cabinet</v>
      </c>
    </row>
    <row r="301" spans="1:12" x14ac:dyDescent="0.3">
      <c r="A301" s="9">
        <v>1300</v>
      </c>
      <c r="B301" s="9" t="s">
        <v>45</v>
      </c>
      <c r="C301" s="4" t="s">
        <v>33</v>
      </c>
      <c r="D301" s="4" t="s">
        <v>34</v>
      </c>
      <c r="E301" s="4" t="s">
        <v>6</v>
      </c>
      <c r="F301" s="4">
        <v>20</v>
      </c>
      <c r="G301" s="4">
        <v>1392</v>
      </c>
      <c r="H301" s="4">
        <v>2</v>
      </c>
      <c r="I301" s="7">
        <v>46110</v>
      </c>
      <c r="J301" s="7">
        <v>46117</v>
      </c>
      <c r="K301" s="4" t="s">
        <v>80</v>
      </c>
      <c r="L301" s="4" t="str">
        <f t="shared" si="4"/>
        <v>Yash-Monitor</v>
      </c>
    </row>
    <row r="302" spans="1:12" x14ac:dyDescent="0.3">
      <c r="A302" s="9">
        <v>1301</v>
      </c>
      <c r="B302" s="9" t="s">
        <v>52</v>
      </c>
      <c r="C302" s="4" t="s">
        <v>23</v>
      </c>
      <c r="D302" s="4" t="s">
        <v>24</v>
      </c>
      <c r="E302" s="4" t="s">
        <v>8</v>
      </c>
      <c r="F302" s="4">
        <v>3</v>
      </c>
      <c r="G302" s="4">
        <v>7020</v>
      </c>
      <c r="H302" s="4">
        <v>10</v>
      </c>
      <c r="I302" s="7">
        <v>46028</v>
      </c>
      <c r="J302" s="7">
        <v>46038</v>
      </c>
      <c r="K302" s="4" t="s">
        <v>80</v>
      </c>
      <c r="L302" s="4" t="str">
        <f t="shared" si="4"/>
        <v>Manoj-Chair</v>
      </c>
    </row>
    <row r="303" spans="1:12" x14ac:dyDescent="0.3">
      <c r="A303" s="9">
        <v>1302</v>
      </c>
      <c r="B303" s="9" t="s">
        <v>54</v>
      </c>
      <c r="C303" s="4" t="s">
        <v>19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7">
        <v>46163</v>
      </c>
      <c r="J303" s="7">
        <v>46172</v>
      </c>
      <c r="K303" s="4" t="s">
        <v>80</v>
      </c>
      <c r="L303" s="4" t="str">
        <f t="shared" si="4"/>
        <v>Sara-Printer</v>
      </c>
    </row>
    <row r="304" spans="1:12" x14ac:dyDescent="0.3">
      <c r="A304" s="9">
        <v>1303</v>
      </c>
      <c r="B304" s="9" t="s">
        <v>54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7">
        <v>46124</v>
      </c>
      <c r="J304" s="7">
        <v>46127</v>
      </c>
      <c r="K304" s="4" t="s">
        <v>78</v>
      </c>
      <c r="L304" s="4" t="str">
        <f t="shared" si="4"/>
        <v>Sara-Printer</v>
      </c>
    </row>
    <row r="305" spans="1:12" x14ac:dyDescent="0.3">
      <c r="A305" s="9">
        <v>1304</v>
      </c>
      <c r="B305" s="9" t="s">
        <v>56</v>
      </c>
      <c r="C305" s="4" t="s">
        <v>27</v>
      </c>
      <c r="D305" s="4" t="s">
        <v>20</v>
      </c>
      <c r="E305" s="4" t="s">
        <v>36</v>
      </c>
      <c r="F305" s="4">
        <v>20</v>
      </c>
      <c r="G305" s="4">
        <v>368</v>
      </c>
      <c r="H305" s="4">
        <v>7</v>
      </c>
      <c r="I305" s="7">
        <v>46042</v>
      </c>
      <c r="J305" s="7">
        <v>46051</v>
      </c>
      <c r="K305" s="4" t="s">
        <v>81</v>
      </c>
      <c r="L305" s="4" t="str">
        <f t="shared" si="4"/>
        <v>Anita-Stapler</v>
      </c>
    </row>
    <row r="306" spans="1:12" x14ac:dyDescent="0.3">
      <c r="A306" s="9">
        <v>1305</v>
      </c>
      <c r="B306" s="9" t="s">
        <v>55</v>
      </c>
      <c r="C306" s="4" t="s">
        <v>31</v>
      </c>
      <c r="D306" s="4" t="s">
        <v>34</v>
      </c>
      <c r="E306" s="4" t="s">
        <v>9</v>
      </c>
      <c r="F306" s="4">
        <v>20</v>
      </c>
      <c r="G306" s="4">
        <v>31406</v>
      </c>
      <c r="H306" s="4">
        <v>15</v>
      </c>
      <c r="I306" s="7">
        <v>46146</v>
      </c>
      <c r="J306" s="7">
        <v>46154</v>
      </c>
      <c r="K306" s="4" t="s">
        <v>81</v>
      </c>
      <c r="L306" s="4" t="str">
        <f t="shared" si="4"/>
        <v>Rohan-Laptop</v>
      </c>
    </row>
    <row r="307" spans="1:12" x14ac:dyDescent="0.3">
      <c r="A307" s="9">
        <v>1306</v>
      </c>
      <c r="B307" s="9" t="s">
        <v>52</v>
      </c>
      <c r="C307" s="4" t="s">
        <v>42</v>
      </c>
      <c r="D307" s="4" t="s">
        <v>20</v>
      </c>
      <c r="E307" s="4" t="s">
        <v>36</v>
      </c>
      <c r="F307" s="4">
        <v>1</v>
      </c>
      <c r="G307" s="4">
        <v>332</v>
      </c>
      <c r="H307" s="4">
        <v>0</v>
      </c>
      <c r="I307" s="7">
        <v>46191</v>
      </c>
      <c r="J307" s="7">
        <v>46194</v>
      </c>
      <c r="K307" s="4" t="s">
        <v>79</v>
      </c>
      <c r="L307" s="4" t="str">
        <f t="shared" si="4"/>
        <v>Manoj-Stapler</v>
      </c>
    </row>
    <row r="308" spans="1:12" x14ac:dyDescent="0.3">
      <c r="A308" s="9">
        <v>1307</v>
      </c>
      <c r="B308" s="9" t="s">
        <v>54</v>
      </c>
      <c r="C308" s="4" t="s">
        <v>42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7">
        <v>46048</v>
      </c>
      <c r="J308" s="7">
        <v>46051</v>
      </c>
      <c r="K308" s="4" t="s">
        <v>81</v>
      </c>
      <c r="L308" s="4" t="str">
        <f t="shared" si="4"/>
        <v>Sara-Printer</v>
      </c>
    </row>
    <row r="309" spans="1:12" x14ac:dyDescent="0.3">
      <c r="A309" s="9">
        <v>1308</v>
      </c>
      <c r="B309" s="9" t="s">
        <v>30</v>
      </c>
      <c r="C309" s="4" t="s">
        <v>26</v>
      </c>
      <c r="D309" s="4" t="s">
        <v>34</v>
      </c>
      <c r="E309" s="4" t="s">
        <v>40</v>
      </c>
      <c r="F309" s="4">
        <v>12</v>
      </c>
      <c r="G309" s="4">
        <v>66075</v>
      </c>
      <c r="H309" s="4">
        <v>5</v>
      </c>
      <c r="I309" s="7">
        <v>46129</v>
      </c>
      <c r="J309" s="7">
        <v>46135</v>
      </c>
      <c r="K309" s="4" t="s">
        <v>79</v>
      </c>
      <c r="L309" s="4" t="str">
        <f t="shared" si="4"/>
        <v>Neha-Headset</v>
      </c>
    </row>
    <row r="310" spans="1:12" x14ac:dyDescent="0.3">
      <c r="A310" s="9">
        <v>1309</v>
      </c>
      <c r="B310" s="9" t="s">
        <v>49</v>
      </c>
      <c r="C310" s="4" t="s">
        <v>31</v>
      </c>
      <c r="D310" s="4" t="s">
        <v>20</v>
      </c>
      <c r="E310" s="4" t="s">
        <v>48</v>
      </c>
      <c r="F310" s="4">
        <v>2</v>
      </c>
      <c r="G310" s="4">
        <v>35</v>
      </c>
      <c r="H310" s="4">
        <v>5</v>
      </c>
      <c r="I310" s="7">
        <v>46197</v>
      </c>
      <c r="J310" s="7">
        <v>46198</v>
      </c>
      <c r="K310" s="4" t="s">
        <v>80</v>
      </c>
      <c r="L310" s="4" t="str">
        <f t="shared" si="4"/>
        <v>Priya-Marker</v>
      </c>
    </row>
    <row r="311" spans="1:12" x14ac:dyDescent="0.3">
      <c r="A311" s="9">
        <v>1310</v>
      </c>
      <c r="B311" s="9" t="s">
        <v>47</v>
      </c>
      <c r="C311" s="4" t="s">
        <v>23</v>
      </c>
      <c r="D311" s="4" t="s">
        <v>24</v>
      </c>
      <c r="E311" s="4" t="s">
        <v>11</v>
      </c>
      <c r="F311" s="4">
        <v>19</v>
      </c>
      <c r="G311" s="4">
        <v>12691</v>
      </c>
      <c r="H311" s="4">
        <v>0</v>
      </c>
      <c r="I311" s="7">
        <v>46181</v>
      </c>
      <c r="J311" s="7">
        <v>46189</v>
      </c>
      <c r="K311" s="4" t="s">
        <v>49</v>
      </c>
      <c r="L311" s="4" t="str">
        <f t="shared" si="4"/>
        <v>Ajay-Cabinet</v>
      </c>
    </row>
    <row r="312" spans="1:12" x14ac:dyDescent="0.3">
      <c r="A312" s="9">
        <v>1311</v>
      </c>
      <c r="B312" s="9" t="s">
        <v>53</v>
      </c>
      <c r="C312" s="4" t="s">
        <v>19</v>
      </c>
      <c r="D312" s="4" t="s">
        <v>20</v>
      </c>
      <c r="E312" s="4" t="s">
        <v>21</v>
      </c>
      <c r="F312" s="4">
        <v>2</v>
      </c>
      <c r="G312" s="4">
        <v>209</v>
      </c>
      <c r="H312" s="4">
        <v>0</v>
      </c>
      <c r="I312" s="7">
        <v>46173</v>
      </c>
      <c r="J312" s="7">
        <v>46176</v>
      </c>
      <c r="K312" s="4" t="s">
        <v>79</v>
      </c>
      <c r="L312" s="4" t="str">
        <f t="shared" si="4"/>
        <v>Sneha-Notebook</v>
      </c>
    </row>
    <row r="313" spans="1:12" x14ac:dyDescent="0.3">
      <c r="A313" s="9">
        <v>1312</v>
      </c>
      <c r="B313" s="9" t="s">
        <v>54</v>
      </c>
      <c r="C313" s="4" t="s">
        <v>26</v>
      </c>
      <c r="D313" s="4" t="s">
        <v>24</v>
      </c>
      <c r="E313" s="4" t="s">
        <v>11</v>
      </c>
      <c r="F313" s="4">
        <v>20</v>
      </c>
      <c r="G313" s="4">
        <v>3274</v>
      </c>
      <c r="H313" s="4">
        <v>2</v>
      </c>
      <c r="I313" s="7">
        <v>46148</v>
      </c>
      <c r="J313" s="7">
        <v>46156</v>
      </c>
      <c r="K313" s="4" t="s">
        <v>80</v>
      </c>
      <c r="L313" s="4" t="str">
        <f t="shared" si="4"/>
        <v>Sara-Cabinet</v>
      </c>
    </row>
    <row r="314" spans="1:12" x14ac:dyDescent="0.3">
      <c r="A314" s="9">
        <v>1313</v>
      </c>
      <c r="B314" s="9" t="s">
        <v>56</v>
      </c>
      <c r="C314" s="4" t="s">
        <v>26</v>
      </c>
      <c r="D314" s="4" t="s">
        <v>24</v>
      </c>
      <c r="E314" s="4" t="s">
        <v>11</v>
      </c>
      <c r="F314" s="4">
        <v>6</v>
      </c>
      <c r="G314" s="4">
        <v>10864</v>
      </c>
      <c r="H314" s="4">
        <v>10</v>
      </c>
      <c r="I314" s="7">
        <v>46041</v>
      </c>
      <c r="J314" s="7">
        <v>46049</v>
      </c>
      <c r="K314" s="4" t="s">
        <v>78</v>
      </c>
      <c r="L314" s="4" t="str">
        <f t="shared" si="4"/>
        <v>Anita-Cabinet</v>
      </c>
    </row>
    <row r="315" spans="1:12" x14ac:dyDescent="0.3">
      <c r="A315" s="9">
        <v>1314</v>
      </c>
      <c r="B315" s="9" t="s">
        <v>50</v>
      </c>
      <c r="C315" s="4" t="s">
        <v>33</v>
      </c>
      <c r="D315" s="4" t="s">
        <v>24</v>
      </c>
      <c r="E315" s="4" t="s">
        <v>7</v>
      </c>
      <c r="F315" s="4">
        <v>10</v>
      </c>
      <c r="G315" s="4">
        <v>6328</v>
      </c>
      <c r="H315" s="4">
        <v>2</v>
      </c>
      <c r="I315" s="7">
        <v>46196</v>
      </c>
      <c r="J315" s="7">
        <v>46197</v>
      </c>
      <c r="K315" s="4" t="s">
        <v>49</v>
      </c>
      <c r="L315" s="4" t="str">
        <f t="shared" si="4"/>
        <v>Komal-Desk</v>
      </c>
    </row>
    <row r="316" spans="1:12" x14ac:dyDescent="0.3">
      <c r="A316" s="9">
        <v>1315</v>
      </c>
      <c r="B316" s="9" t="s">
        <v>47</v>
      </c>
      <c r="C316" s="4" t="s">
        <v>31</v>
      </c>
      <c r="D316" s="4" t="s">
        <v>34</v>
      </c>
      <c r="E316" s="4" t="s">
        <v>40</v>
      </c>
      <c r="F316" s="4">
        <v>14</v>
      </c>
      <c r="G316" s="4">
        <v>57670</v>
      </c>
      <c r="H316" s="4">
        <v>2</v>
      </c>
      <c r="I316" s="7">
        <v>46186</v>
      </c>
      <c r="J316" s="7">
        <v>46196</v>
      </c>
      <c r="K316" s="4" t="s">
        <v>78</v>
      </c>
      <c r="L316" s="4" t="str">
        <f t="shared" si="4"/>
        <v>Ajay-Headset</v>
      </c>
    </row>
    <row r="317" spans="1:12" x14ac:dyDescent="0.3">
      <c r="A317" s="9">
        <v>1316</v>
      </c>
      <c r="B317" s="9" t="s">
        <v>44</v>
      </c>
      <c r="C317" s="4" t="s">
        <v>19</v>
      </c>
      <c r="D317" s="4" t="s">
        <v>24</v>
      </c>
      <c r="E317" s="4" t="s">
        <v>8</v>
      </c>
      <c r="F317" s="4">
        <v>7</v>
      </c>
      <c r="G317" s="4">
        <v>9838</v>
      </c>
      <c r="H317" s="4">
        <v>7</v>
      </c>
      <c r="I317" s="7">
        <v>46078</v>
      </c>
      <c r="J317" s="7">
        <v>46085</v>
      </c>
      <c r="K317" s="4" t="s">
        <v>79</v>
      </c>
      <c r="L317" s="4" t="str">
        <f t="shared" si="4"/>
        <v>Kiran-Chair</v>
      </c>
    </row>
    <row r="318" spans="1:12" x14ac:dyDescent="0.3">
      <c r="A318" s="9">
        <v>1317</v>
      </c>
      <c r="B318" s="9" t="s">
        <v>56</v>
      </c>
      <c r="C318" s="4" t="s">
        <v>33</v>
      </c>
      <c r="D318" s="4" t="s">
        <v>34</v>
      </c>
      <c r="E318" s="4" t="s">
        <v>40</v>
      </c>
      <c r="F318" s="4">
        <v>7</v>
      </c>
      <c r="G318" s="4">
        <v>67339</v>
      </c>
      <c r="H318" s="4">
        <v>5</v>
      </c>
      <c r="I318" s="7">
        <v>46159</v>
      </c>
      <c r="J318" s="7">
        <v>46169</v>
      </c>
      <c r="K318" s="4" t="s">
        <v>81</v>
      </c>
      <c r="L318" s="4" t="str">
        <f t="shared" si="4"/>
        <v>Anita-Headset</v>
      </c>
    </row>
    <row r="319" spans="1:12" x14ac:dyDescent="0.3">
      <c r="A319" s="9">
        <v>1318</v>
      </c>
      <c r="B319" s="9" t="s">
        <v>18</v>
      </c>
      <c r="C319" s="4" t="s">
        <v>42</v>
      </c>
      <c r="D319" s="4" t="s">
        <v>20</v>
      </c>
      <c r="E319" s="4" t="s">
        <v>48</v>
      </c>
      <c r="F319" s="4">
        <v>4</v>
      </c>
      <c r="G319" s="4">
        <v>38</v>
      </c>
      <c r="H319" s="4">
        <v>12</v>
      </c>
      <c r="I319" s="7">
        <v>46169</v>
      </c>
      <c r="J319" s="7">
        <v>46175</v>
      </c>
      <c r="K319" s="4" t="s">
        <v>49</v>
      </c>
      <c r="L319" s="4" t="str">
        <f t="shared" si="4"/>
        <v>Ritesh-Marker</v>
      </c>
    </row>
    <row r="320" spans="1:12" x14ac:dyDescent="0.3">
      <c r="A320" s="9">
        <v>1319</v>
      </c>
      <c r="B320" s="9" t="s">
        <v>25</v>
      </c>
      <c r="C320" s="4" t="s">
        <v>23</v>
      </c>
      <c r="D320" s="4" t="s">
        <v>34</v>
      </c>
      <c r="E320" s="4" t="s">
        <v>12</v>
      </c>
      <c r="F320" s="4">
        <v>17</v>
      </c>
      <c r="G320" s="4">
        <v>58407</v>
      </c>
      <c r="H320" s="4">
        <v>7</v>
      </c>
      <c r="I320" s="7">
        <v>46094</v>
      </c>
      <c r="J320" s="7">
        <v>46102</v>
      </c>
      <c r="K320" s="4" t="s">
        <v>78</v>
      </c>
      <c r="L320" s="4" t="str">
        <f t="shared" si="4"/>
        <v>Meera-Mouse</v>
      </c>
    </row>
    <row r="321" spans="1:12" x14ac:dyDescent="0.3">
      <c r="A321" s="9">
        <v>1320</v>
      </c>
      <c r="B321" s="9" t="s">
        <v>45</v>
      </c>
      <c r="C321" s="4" t="s">
        <v>38</v>
      </c>
      <c r="D321" s="4" t="s">
        <v>20</v>
      </c>
      <c r="E321" s="4" t="s">
        <v>36</v>
      </c>
      <c r="F321" s="4">
        <v>20</v>
      </c>
      <c r="G321" s="4">
        <v>55</v>
      </c>
      <c r="H321" s="4">
        <v>7</v>
      </c>
      <c r="I321" s="7">
        <v>46183</v>
      </c>
      <c r="J321" s="7">
        <v>46186</v>
      </c>
      <c r="K321" s="4" t="s">
        <v>79</v>
      </c>
      <c r="L321" s="4" t="str">
        <f t="shared" si="4"/>
        <v>Yash-Stapler</v>
      </c>
    </row>
    <row r="322" spans="1:12" x14ac:dyDescent="0.3">
      <c r="A322" s="9">
        <v>1321</v>
      </c>
      <c r="B322" s="9" t="s">
        <v>32</v>
      </c>
      <c r="C322" s="4" t="s">
        <v>26</v>
      </c>
      <c r="D322" s="4" t="s">
        <v>24</v>
      </c>
      <c r="E322" s="4" t="s">
        <v>7</v>
      </c>
      <c r="F322" s="4">
        <v>8</v>
      </c>
      <c r="G322" s="4">
        <v>5619</v>
      </c>
      <c r="H322" s="4">
        <v>7</v>
      </c>
      <c r="I322" s="7">
        <v>46107</v>
      </c>
      <c r="J322" s="7">
        <v>46109</v>
      </c>
      <c r="K322" s="4" t="s">
        <v>81</v>
      </c>
      <c r="L322" s="4" t="str">
        <f t="shared" si="4"/>
        <v>Asha-Desk</v>
      </c>
    </row>
    <row r="323" spans="1:12" x14ac:dyDescent="0.3">
      <c r="A323" s="9">
        <v>1322</v>
      </c>
      <c r="B323" s="9" t="s">
        <v>29</v>
      </c>
      <c r="C323" s="4" t="s">
        <v>19</v>
      </c>
      <c r="D323" s="4" t="s">
        <v>24</v>
      </c>
      <c r="E323" s="4" t="s">
        <v>10</v>
      </c>
      <c r="F323" s="4">
        <v>14</v>
      </c>
      <c r="G323" s="4">
        <v>9081</v>
      </c>
      <c r="H323" s="4">
        <v>15</v>
      </c>
      <c r="I323" s="7">
        <v>46141</v>
      </c>
      <c r="J323" s="7">
        <v>46146</v>
      </c>
      <c r="K323" s="4" t="s">
        <v>78</v>
      </c>
      <c r="L323" s="4" t="str">
        <f t="shared" ref="L323:L386" si="5">_xlfn.CONCAT(B323, "-", E323)</f>
        <v>Arjun-Table</v>
      </c>
    </row>
    <row r="324" spans="1:12" x14ac:dyDescent="0.3">
      <c r="A324" s="9">
        <v>1323</v>
      </c>
      <c r="B324" s="9" t="s">
        <v>54</v>
      </c>
      <c r="C324" s="4" t="s">
        <v>38</v>
      </c>
      <c r="D324" s="4" t="s">
        <v>34</v>
      </c>
      <c r="E324" s="4" t="s">
        <v>12</v>
      </c>
      <c r="F324" s="4">
        <v>2</v>
      </c>
      <c r="G324" s="4">
        <v>32074</v>
      </c>
      <c r="H324" s="4">
        <v>10</v>
      </c>
      <c r="I324" s="7">
        <v>46073</v>
      </c>
      <c r="J324" s="7">
        <v>46078</v>
      </c>
      <c r="K324" s="4" t="s">
        <v>78</v>
      </c>
      <c r="L324" s="4" t="str">
        <f t="shared" si="5"/>
        <v>Sara-Mouse</v>
      </c>
    </row>
    <row r="325" spans="1:12" x14ac:dyDescent="0.3">
      <c r="A325" s="9">
        <v>1324</v>
      </c>
      <c r="B325" s="9" t="s">
        <v>32</v>
      </c>
      <c r="C325" s="4" t="s">
        <v>26</v>
      </c>
      <c r="D325" s="4" t="s">
        <v>24</v>
      </c>
      <c r="E325" s="4" t="s">
        <v>7</v>
      </c>
      <c r="F325" s="4">
        <v>1</v>
      </c>
      <c r="G325" s="4">
        <v>4286</v>
      </c>
      <c r="H325" s="4">
        <v>15</v>
      </c>
      <c r="I325" s="7">
        <v>46053</v>
      </c>
      <c r="J325" s="7">
        <v>46056</v>
      </c>
      <c r="K325" s="4" t="s">
        <v>79</v>
      </c>
      <c r="L325" s="4" t="str">
        <f t="shared" si="5"/>
        <v>Asha-Desk</v>
      </c>
    </row>
    <row r="326" spans="1:12" x14ac:dyDescent="0.3">
      <c r="A326" s="9">
        <v>1325</v>
      </c>
      <c r="B326" s="9" t="s">
        <v>46</v>
      </c>
      <c r="C326" s="4" t="s">
        <v>42</v>
      </c>
      <c r="D326" s="4" t="s">
        <v>34</v>
      </c>
      <c r="E326" s="4" t="s">
        <v>5</v>
      </c>
      <c r="F326" s="4">
        <v>9</v>
      </c>
      <c r="G326" s="4">
        <v>58442</v>
      </c>
      <c r="H326" s="4">
        <v>12</v>
      </c>
      <c r="I326" s="7">
        <v>46076</v>
      </c>
      <c r="J326" s="7">
        <v>46085</v>
      </c>
      <c r="K326" s="4" t="s">
        <v>79</v>
      </c>
      <c r="L326" s="4" t="str">
        <f t="shared" si="5"/>
        <v>Nitin-Keyboard</v>
      </c>
    </row>
    <row r="327" spans="1:12" x14ac:dyDescent="0.3">
      <c r="A327" s="9">
        <v>1326</v>
      </c>
      <c r="B327" s="9" t="s">
        <v>28</v>
      </c>
      <c r="C327" s="4" t="s">
        <v>23</v>
      </c>
      <c r="D327" s="4" t="s">
        <v>24</v>
      </c>
      <c r="E327" s="4" t="s">
        <v>43</v>
      </c>
      <c r="F327" s="4">
        <v>18</v>
      </c>
      <c r="G327" s="4">
        <v>1830</v>
      </c>
      <c r="H327" s="4">
        <v>10</v>
      </c>
      <c r="I327" s="7">
        <v>46165</v>
      </c>
      <c r="J327" s="7">
        <v>46172</v>
      </c>
      <c r="K327" s="4" t="s">
        <v>78</v>
      </c>
      <c r="L327" s="4" t="str">
        <f t="shared" si="5"/>
        <v>Vikram-Bookshelf</v>
      </c>
    </row>
    <row r="328" spans="1:12" x14ac:dyDescent="0.3">
      <c r="A328" s="9">
        <v>1327</v>
      </c>
      <c r="B328" s="9" t="s">
        <v>46</v>
      </c>
      <c r="C328" s="4" t="s">
        <v>19</v>
      </c>
      <c r="D328" s="4" t="s">
        <v>20</v>
      </c>
      <c r="E328" s="4" t="s">
        <v>51</v>
      </c>
      <c r="F328" s="4">
        <v>15</v>
      </c>
      <c r="G328" s="4">
        <v>449</v>
      </c>
      <c r="H328" s="4">
        <v>5</v>
      </c>
      <c r="I328" s="7">
        <v>46152</v>
      </c>
      <c r="J328" s="7">
        <v>46153</v>
      </c>
      <c r="K328" s="4" t="s">
        <v>78</v>
      </c>
      <c r="L328" s="4" t="str">
        <f t="shared" si="5"/>
        <v>Nitin-Diary</v>
      </c>
    </row>
    <row r="329" spans="1:12" x14ac:dyDescent="0.3">
      <c r="A329" s="9">
        <v>1328</v>
      </c>
      <c r="B329" s="9" t="s">
        <v>22</v>
      </c>
      <c r="C329" s="4" t="s">
        <v>38</v>
      </c>
      <c r="D329" s="4" t="s">
        <v>20</v>
      </c>
      <c r="E329" s="4" t="s">
        <v>36</v>
      </c>
      <c r="F329" s="4">
        <v>4</v>
      </c>
      <c r="G329" s="4">
        <v>132</v>
      </c>
      <c r="H329" s="4">
        <v>0</v>
      </c>
      <c r="I329" s="7">
        <v>46109</v>
      </c>
      <c r="J329" s="7">
        <v>46114</v>
      </c>
      <c r="K329" s="4" t="s">
        <v>49</v>
      </c>
      <c r="L329" s="4" t="str">
        <f t="shared" si="5"/>
        <v>Pooja-Stapler</v>
      </c>
    </row>
    <row r="330" spans="1:12" x14ac:dyDescent="0.3">
      <c r="A330" s="9">
        <v>1329</v>
      </c>
      <c r="B330" s="9" t="s">
        <v>30</v>
      </c>
      <c r="C330" s="4" t="s">
        <v>42</v>
      </c>
      <c r="D330" s="4" t="s">
        <v>20</v>
      </c>
      <c r="E330" s="4" t="s">
        <v>51</v>
      </c>
      <c r="F330" s="4">
        <v>18</v>
      </c>
      <c r="G330" s="4">
        <v>227</v>
      </c>
      <c r="H330" s="4">
        <v>5</v>
      </c>
      <c r="I330" s="7">
        <v>46126</v>
      </c>
      <c r="J330" s="7">
        <v>46136</v>
      </c>
      <c r="K330" s="4" t="s">
        <v>49</v>
      </c>
      <c r="L330" s="4" t="str">
        <f t="shared" si="5"/>
        <v>Neha-Diary</v>
      </c>
    </row>
    <row r="331" spans="1:12" x14ac:dyDescent="0.3">
      <c r="A331" s="9">
        <v>1330</v>
      </c>
      <c r="B331" s="9" t="s">
        <v>47</v>
      </c>
      <c r="C331" s="4" t="s">
        <v>23</v>
      </c>
      <c r="D331" s="4" t="s">
        <v>24</v>
      </c>
      <c r="E331" s="4" t="s">
        <v>7</v>
      </c>
      <c r="F331" s="4">
        <v>13</v>
      </c>
      <c r="G331" s="4">
        <v>12071</v>
      </c>
      <c r="H331" s="4">
        <v>0</v>
      </c>
      <c r="I331" s="7">
        <v>46032</v>
      </c>
      <c r="J331" s="7">
        <v>46036</v>
      </c>
      <c r="K331" s="4" t="s">
        <v>81</v>
      </c>
      <c r="L331" s="4" t="str">
        <f t="shared" si="5"/>
        <v>Ajay-Desk</v>
      </c>
    </row>
    <row r="332" spans="1:12" x14ac:dyDescent="0.3">
      <c r="A332" s="9">
        <v>1331</v>
      </c>
      <c r="B332" s="9" t="s">
        <v>25</v>
      </c>
      <c r="C332" s="4" t="s">
        <v>27</v>
      </c>
      <c r="D332" s="4" t="s">
        <v>34</v>
      </c>
      <c r="E332" s="4" t="s">
        <v>12</v>
      </c>
      <c r="F332" s="4">
        <v>2</v>
      </c>
      <c r="G332" s="4">
        <v>43557</v>
      </c>
      <c r="H332" s="4">
        <v>2</v>
      </c>
      <c r="I332" s="7">
        <v>46190</v>
      </c>
      <c r="J332" s="7">
        <v>46200</v>
      </c>
      <c r="K332" s="4" t="s">
        <v>78</v>
      </c>
      <c r="L332" s="4" t="str">
        <f t="shared" si="5"/>
        <v>Meera-Mouse</v>
      </c>
    </row>
    <row r="333" spans="1:12" x14ac:dyDescent="0.3">
      <c r="A333" s="9">
        <v>1332</v>
      </c>
      <c r="B333" s="9" t="s">
        <v>49</v>
      </c>
      <c r="C333" s="4" t="s">
        <v>42</v>
      </c>
      <c r="D333" s="4" t="s">
        <v>20</v>
      </c>
      <c r="E333" s="4" t="s">
        <v>48</v>
      </c>
      <c r="F333" s="4">
        <v>7</v>
      </c>
      <c r="G333" s="4">
        <v>439</v>
      </c>
      <c r="H333" s="4">
        <v>2</v>
      </c>
      <c r="I333" s="7">
        <v>46154</v>
      </c>
      <c r="J333" s="7">
        <v>46157</v>
      </c>
      <c r="K333" s="4" t="s">
        <v>78</v>
      </c>
      <c r="L333" s="4" t="str">
        <f t="shared" si="5"/>
        <v>Priya-Marker</v>
      </c>
    </row>
    <row r="334" spans="1:12" x14ac:dyDescent="0.3">
      <c r="A334" s="9">
        <v>1333</v>
      </c>
      <c r="B334" s="9" t="s">
        <v>49</v>
      </c>
      <c r="C334" s="4" t="s">
        <v>38</v>
      </c>
      <c r="D334" s="4" t="s">
        <v>20</v>
      </c>
      <c r="E334" s="4" t="s">
        <v>51</v>
      </c>
      <c r="F334" s="4">
        <v>20</v>
      </c>
      <c r="G334" s="4">
        <v>416</v>
      </c>
      <c r="H334" s="4">
        <v>12</v>
      </c>
      <c r="I334" s="7">
        <v>46145</v>
      </c>
      <c r="J334" s="7">
        <v>46146</v>
      </c>
      <c r="K334" s="4" t="s">
        <v>81</v>
      </c>
      <c r="L334" s="4" t="str">
        <f t="shared" si="5"/>
        <v>Priya-Diary</v>
      </c>
    </row>
    <row r="335" spans="1:12" x14ac:dyDescent="0.3">
      <c r="A335" s="9">
        <v>1334</v>
      </c>
      <c r="B335" s="9" t="s">
        <v>39</v>
      </c>
      <c r="C335" s="4" t="s">
        <v>19</v>
      </c>
      <c r="D335" s="4" t="s">
        <v>34</v>
      </c>
      <c r="E335" s="4" t="s">
        <v>40</v>
      </c>
      <c r="F335" s="4">
        <v>15</v>
      </c>
      <c r="G335" s="4">
        <v>39853</v>
      </c>
      <c r="H335" s="4">
        <v>7</v>
      </c>
      <c r="I335" s="7">
        <v>46038</v>
      </c>
      <c r="J335" s="7">
        <v>46047</v>
      </c>
      <c r="K335" s="4" t="s">
        <v>81</v>
      </c>
      <c r="L335" s="4" t="str">
        <f t="shared" si="5"/>
        <v>Deepak-Headset</v>
      </c>
    </row>
    <row r="336" spans="1:12" x14ac:dyDescent="0.3">
      <c r="A336" s="9">
        <v>1335</v>
      </c>
      <c r="B336" s="9" t="s">
        <v>45</v>
      </c>
      <c r="C336" s="4" t="s">
        <v>23</v>
      </c>
      <c r="D336" s="4" t="s">
        <v>24</v>
      </c>
      <c r="E336" s="4" t="s">
        <v>7</v>
      </c>
      <c r="F336" s="4">
        <v>9</v>
      </c>
      <c r="G336" s="4">
        <v>1495</v>
      </c>
      <c r="H336" s="4">
        <v>12</v>
      </c>
      <c r="I336" s="7">
        <v>46168</v>
      </c>
      <c r="J336" s="7">
        <v>46173</v>
      </c>
      <c r="K336" s="4" t="s">
        <v>78</v>
      </c>
      <c r="L336" s="4" t="str">
        <f t="shared" si="5"/>
        <v>Yash-Desk</v>
      </c>
    </row>
    <row r="337" spans="1:12" x14ac:dyDescent="0.3">
      <c r="A337" s="9">
        <v>1336</v>
      </c>
      <c r="B337" s="9" t="s">
        <v>22</v>
      </c>
      <c r="C337" s="4" t="s">
        <v>27</v>
      </c>
      <c r="D337" s="4" t="s">
        <v>24</v>
      </c>
      <c r="E337" s="4" t="s">
        <v>11</v>
      </c>
      <c r="F337" s="4">
        <v>10</v>
      </c>
      <c r="G337" s="4">
        <v>5624</v>
      </c>
      <c r="H337" s="4">
        <v>0</v>
      </c>
      <c r="I337" s="7">
        <v>46086</v>
      </c>
      <c r="J337" s="7">
        <v>46092</v>
      </c>
      <c r="K337" s="4" t="s">
        <v>49</v>
      </c>
      <c r="L337" s="4" t="str">
        <f t="shared" si="5"/>
        <v>Pooja-Cabinet</v>
      </c>
    </row>
    <row r="338" spans="1:12" x14ac:dyDescent="0.3">
      <c r="A338" s="9">
        <v>1337</v>
      </c>
      <c r="B338" s="9" t="s">
        <v>22</v>
      </c>
      <c r="C338" s="4" t="s">
        <v>19</v>
      </c>
      <c r="D338" s="4" t="s">
        <v>20</v>
      </c>
      <c r="E338" s="4" t="s">
        <v>51</v>
      </c>
      <c r="F338" s="4">
        <v>14</v>
      </c>
      <c r="G338" s="4">
        <v>373</v>
      </c>
      <c r="H338" s="4">
        <v>10</v>
      </c>
      <c r="I338" s="7">
        <v>46074</v>
      </c>
      <c r="J338" s="7">
        <v>46080</v>
      </c>
      <c r="K338" s="4" t="s">
        <v>49</v>
      </c>
      <c r="L338" s="4" t="str">
        <f t="shared" si="5"/>
        <v>Pooja-Diary</v>
      </c>
    </row>
    <row r="339" spans="1:12" x14ac:dyDescent="0.3">
      <c r="A339" s="9">
        <v>1338</v>
      </c>
      <c r="B339" s="9" t="s">
        <v>56</v>
      </c>
      <c r="C339" s="4" t="s">
        <v>27</v>
      </c>
      <c r="D339" s="4" t="s">
        <v>34</v>
      </c>
      <c r="E339" s="4" t="s">
        <v>9</v>
      </c>
      <c r="F339" s="4">
        <v>10</v>
      </c>
      <c r="G339" s="4">
        <v>16719</v>
      </c>
      <c r="H339" s="4">
        <v>5</v>
      </c>
      <c r="I339" s="7">
        <v>46177</v>
      </c>
      <c r="J339" s="7">
        <v>46179</v>
      </c>
      <c r="K339" s="4" t="s">
        <v>78</v>
      </c>
      <c r="L339" s="4" t="str">
        <f t="shared" si="5"/>
        <v>Anita-Laptop</v>
      </c>
    </row>
    <row r="340" spans="1:12" x14ac:dyDescent="0.3">
      <c r="A340" s="9">
        <v>1339</v>
      </c>
      <c r="B340" s="9" t="s">
        <v>32</v>
      </c>
      <c r="C340" s="4" t="s">
        <v>27</v>
      </c>
      <c r="D340" s="4" t="s">
        <v>20</v>
      </c>
      <c r="E340" s="4" t="s">
        <v>21</v>
      </c>
      <c r="F340" s="4">
        <v>6</v>
      </c>
      <c r="G340" s="4">
        <v>302</v>
      </c>
      <c r="H340" s="4">
        <v>5</v>
      </c>
      <c r="I340" s="7">
        <v>46142</v>
      </c>
      <c r="J340" s="7">
        <v>46148</v>
      </c>
      <c r="K340" s="4" t="s">
        <v>79</v>
      </c>
      <c r="L340" s="4" t="str">
        <f t="shared" si="5"/>
        <v>Asha-Notebook</v>
      </c>
    </row>
    <row r="341" spans="1:12" x14ac:dyDescent="0.3">
      <c r="A341" s="9">
        <v>1340</v>
      </c>
      <c r="B341" s="9" t="s">
        <v>46</v>
      </c>
      <c r="C341" s="4" t="s">
        <v>23</v>
      </c>
      <c r="D341" s="4" t="s">
        <v>24</v>
      </c>
      <c r="E341" s="4" t="s">
        <v>7</v>
      </c>
      <c r="F341" s="4">
        <v>12</v>
      </c>
      <c r="G341" s="4">
        <v>3857</v>
      </c>
      <c r="H341" s="4">
        <v>12</v>
      </c>
      <c r="I341" s="7">
        <v>46196</v>
      </c>
      <c r="J341" s="7">
        <v>46198</v>
      </c>
      <c r="K341" s="4" t="s">
        <v>81</v>
      </c>
      <c r="L341" s="4" t="str">
        <f t="shared" si="5"/>
        <v>Nitin-Desk</v>
      </c>
    </row>
    <row r="342" spans="1:12" x14ac:dyDescent="0.3">
      <c r="A342" s="9">
        <v>1341</v>
      </c>
      <c r="B342" s="9" t="s">
        <v>54</v>
      </c>
      <c r="C342" s="4" t="s">
        <v>38</v>
      </c>
      <c r="D342" s="4" t="s">
        <v>24</v>
      </c>
      <c r="E342" s="4" t="s">
        <v>7</v>
      </c>
      <c r="F342" s="4">
        <v>19</v>
      </c>
      <c r="G342" s="4">
        <v>6488</v>
      </c>
      <c r="H342" s="4">
        <v>15</v>
      </c>
      <c r="I342" s="7">
        <v>46026</v>
      </c>
      <c r="J342" s="7">
        <v>46030</v>
      </c>
      <c r="K342" s="4" t="s">
        <v>79</v>
      </c>
      <c r="L342" s="4" t="str">
        <f t="shared" si="5"/>
        <v>Sara-Desk</v>
      </c>
    </row>
    <row r="343" spans="1:12" x14ac:dyDescent="0.3">
      <c r="A343" s="9">
        <v>1342</v>
      </c>
      <c r="B343" s="9" t="s">
        <v>56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7">
        <v>46132</v>
      </c>
      <c r="J343" s="7">
        <v>46139</v>
      </c>
      <c r="K343" s="4" t="s">
        <v>49</v>
      </c>
      <c r="L343" s="4" t="str">
        <f t="shared" si="5"/>
        <v>Anita-Printer</v>
      </c>
    </row>
    <row r="344" spans="1:12" x14ac:dyDescent="0.3">
      <c r="A344" s="9">
        <v>1343</v>
      </c>
      <c r="B344" s="9" t="s">
        <v>56</v>
      </c>
      <c r="C344" s="4" t="s">
        <v>31</v>
      </c>
      <c r="D344" s="4" t="s">
        <v>34</v>
      </c>
      <c r="E344" s="4" t="s">
        <v>5</v>
      </c>
      <c r="F344" s="4">
        <v>14</v>
      </c>
      <c r="G344" s="4">
        <v>32719</v>
      </c>
      <c r="H344" s="4">
        <v>15</v>
      </c>
      <c r="I344" s="7">
        <v>46174</v>
      </c>
      <c r="J344" s="7">
        <v>46179</v>
      </c>
      <c r="K344" s="4" t="s">
        <v>78</v>
      </c>
      <c r="L344" s="4" t="str">
        <f t="shared" si="5"/>
        <v>Anita-Keyboard</v>
      </c>
    </row>
    <row r="345" spans="1:12" x14ac:dyDescent="0.3">
      <c r="A345" s="9">
        <v>1344</v>
      </c>
      <c r="B345" s="9" t="s">
        <v>30</v>
      </c>
      <c r="C345" s="4" t="s">
        <v>23</v>
      </c>
      <c r="D345" s="4" t="s">
        <v>20</v>
      </c>
      <c r="E345" s="4" t="s">
        <v>51</v>
      </c>
      <c r="F345" s="4">
        <v>18</v>
      </c>
      <c r="G345" s="4">
        <v>240</v>
      </c>
      <c r="H345" s="4">
        <v>10</v>
      </c>
      <c r="I345" s="7">
        <v>46155</v>
      </c>
      <c r="J345" s="7">
        <v>46156</v>
      </c>
      <c r="K345" s="4" t="s">
        <v>80</v>
      </c>
      <c r="L345" s="4" t="str">
        <f t="shared" si="5"/>
        <v>Neha-Diary</v>
      </c>
    </row>
    <row r="346" spans="1:12" x14ac:dyDescent="0.3">
      <c r="A346" s="9">
        <v>1345</v>
      </c>
      <c r="B346" s="9" t="s">
        <v>32</v>
      </c>
      <c r="C346" s="4" t="s">
        <v>19</v>
      </c>
      <c r="D346" s="4" t="s">
        <v>34</v>
      </c>
      <c r="E346" s="4" t="s">
        <v>6</v>
      </c>
      <c r="F346" s="4">
        <v>12</v>
      </c>
      <c r="G346" s="4">
        <v>50544</v>
      </c>
      <c r="H346" s="4">
        <v>10</v>
      </c>
      <c r="I346" s="7">
        <v>46095</v>
      </c>
      <c r="J346" s="7">
        <v>46097</v>
      </c>
      <c r="K346" s="4" t="s">
        <v>49</v>
      </c>
      <c r="L346" s="4" t="str">
        <f t="shared" si="5"/>
        <v>Asha-Monitor</v>
      </c>
    </row>
    <row r="347" spans="1:12" x14ac:dyDescent="0.3">
      <c r="A347" s="9">
        <v>1346</v>
      </c>
      <c r="B347" s="9" t="s">
        <v>32</v>
      </c>
      <c r="C347" s="4" t="s">
        <v>26</v>
      </c>
      <c r="D347" s="4" t="s">
        <v>24</v>
      </c>
      <c r="E347" s="4" t="s">
        <v>7</v>
      </c>
      <c r="F347" s="4">
        <v>16</v>
      </c>
      <c r="G347" s="4">
        <v>6910</v>
      </c>
      <c r="H347" s="4">
        <v>15</v>
      </c>
      <c r="I347" s="7">
        <v>46140</v>
      </c>
      <c r="J347" s="7">
        <v>46142</v>
      </c>
      <c r="K347" s="4" t="s">
        <v>49</v>
      </c>
      <c r="L347" s="4" t="str">
        <f t="shared" si="5"/>
        <v>Asha-Desk</v>
      </c>
    </row>
    <row r="348" spans="1:12" x14ac:dyDescent="0.3">
      <c r="A348" s="9">
        <v>1347</v>
      </c>
      <c r="B348" s="9" t="s">
        <v>49</v>
      </c>
      <c r="C348" s="4" t="s">
        <v>26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7">
        <v>46037</v>
      </c>
      <c r="J348" s="7">
        <v>46044</v>
      </c>
      <c r="K348" s="4" t="s">
        <v>80</v>
      </c>
      <c r="L348" s="4" t="str">
        <f t="shared" si="5"/>
        <v>Priya-Printer</v>
      </c>
    </row>
    <row r="349" spans="1:12" x14ac:dyDescent="0.3">
      <c r="A349" s="9">
        <v>1348</v>
      </c>
      <c r="B349" s="9" t="s">
        <v>18</v>
      </c>
      <c r="C349" s="4" t="s">
        <v>33</v>
      </c>
      <c r="D349" s="4" t="s">
        <v>20</v>
      </c>
      <c r="E349" s="4" t="s">
        <v>48</v>
      </c>
      <c r="F349" s="4">
        <v>12</v>
      </c>
      <c r="G349" s="4">
        <v>244</v>
      </c>
      <c r="H349" s="4">
        <v>7</v>
      </c>
      <c r="I349" s="7">
        <v>46048</v>
      </c>
      <c r="J349" s="7">
        <v>46053</v>
      </c>
      <c r="K349" s="4" t="s">
        <v>78</v>
      </c>
      <c r="L349" s="4" t="str">
        <f t="shared" si="5"/>
        <v>Ritesh-Marker</v>
      </c>
    </row>
    <row r="350" spans="1:12" x14ac:dyDescent="0.3">
      <c r="A350" s="9">
        <v>1349</v>
      </c>
      <c r="B350" s="9" t="s">
        <v>39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7">
        <v>46079</v>
      </c>
      <c r="J350" s="7">
        <v>46083</v>
      </c>
      <c r="K350" s="4" t="s">
        <v>79</v>
      </c>
      <c r="L350" s="4" t="str">
        <f t="shared" si="5"/>
        <v>Deepak-Printer</v>
      </c>
    </row>
    <row r="351" spans="1:12" x14ac:dyDescent="0.3">
      <c r="A351" s="9">
        <v>1350</v>
      </c>
      <c r="B351" s="9" t="s">
        <v>28</v>
      </c>
      <c r="C351" s="4" t="s">
        <v>42</v>
      </c>
      <c r="D351" s="4" t="s">
        <v>24</v>
      </c>
      <c r="E351" s="4" t="s">
        <v>8</v>
      </c>
      <c r="F351" s="4">
        <v>16</v>
      </c>
      <c r="G351" s="4">
        <v>11790</v>
      </c>
      <c r="H351" s="4">
        <v>12</v>
      </c>
      <c r="I351" s="7">
        <v>46185</v>
      </c>
      <c r="J351" s="7">
        <v>46190</v>
      </c>
      <c r="K351" s="4" t="s">
        <v>49</v>
      </c>
      <c r="L351" s="4" t="str">
        <f t="shared" si="5"/>
        <v>Vikram-Chair</v>
      </c>
    </row>
    <row r="352" spans="1:12" x14ac:dyDescent="0.3">
      <c r="A352" s="9">
        <v>1351</v>
      </c>
      <c r="B352" s="9" t="s">
        <v>41</v>
      </c>
      <c r="C352" s="4" t="s">
        <v>33</v>
      </c>
      <c r="D352" s="4" t="s">
        <v>34</v>
      </c>
      <c r="E352" s="4" t="s">
        <v>6</v>
      </c>
      <c r="F352" s="4">
        <v>12</v>
      </c>
      <c r="G352" s="4">
        <v>1272</v>
      </c>
      <c r="H352" s="4">
        <v>0</v>
      </c>
      <c r="I352" s="7">
        <v>46026</v>
      </c>
      <c r="J352" s="7">
        <v>46029</v>
      </c>
      <c r="K352" s="4" t="s">
        <v>78</v>
      </c>
      <c r="L352" s="4" t="str">
        <f t="shared" si="5"/>
        <v>Nisha-Monitor</v>
      </c>
    </row>
    <row r="353" spans="1:12" x14ac:dyDescent="0.3">
      <c r="A353" s="9">
        <v>1352</v>
      </c>
      <c r="B353" s="9" t="s">
        <v>52</v>
      </c>
      <c r="C353" s="4" t="s">
        <v>26</v>
      </c>
      <c r="D353" s="4" t="s">
        <v>20</v>
      </c>
      <c r="E353" s="4" t="s">
        <v>21</v>
      </c>
      <c r="F353" s="4">
        <v>12</v>
      </c>
      <c r="G353" s="4">
        <v>203</v>
      </c>
      <c r="H353" s="4">
        <v>5</v>
      </c>
      <c r="I353" s="7">
        <v>46024</v>
      </c>
      <c r="J353" s="7">
        <v>46033</v>
      </c>
      <c r="K353" s="4" t="s">
        <v>78</v>
      </c>
      <c r="L353" s="4" t="str">
        <f t="shared" si="5"/>
        <v>Manoj-Notebook</v>
      </c>
    </row>
    <row r="354" spans="1:12" x14ac:dyDescent="0.3">
      <c r="A354" s="9">
        <v>1353</v>
      </c>
      <c r="B354" s="9" t="s">
        <v>45</v>
      </c>
      <c r="C354" s="4" t="s">
        <v>42</v>
      </c>
      <c r="D354" s="4" t="s">
        <v>20</v>
      </c>
      <c r="E354" s="4" t="s">
        <v>21</v>
      </c>
      <c r="F354" s="4">
        <v>6</v>
      </c>
      <c r="G354" s="4">
        <v>495</v>
      </c>
      <c r="H354" s="4">
        <v>2</v>
      </c>
      <c r="I354" s="7">
        <v>46194</v>
      </c>
      <c r="J354" s="7">
        <v>46200</v>
      </c>
      <c r="K354" s="4" t="s">
        <v>80</v>
      </c>
      <c r="L354" s="4" t="str">
        <f t="shared" si="5"/>
        <v>Yash-Notebook</v>
      </c>
    </row>
    <row r="355" spans="1:12" x14ac:dyDescent="0.3">
      <c r="A355" s="9">
        <v>1354</v>
      </c>
      <c r="B355" s="9" t="s">
        <v>45</v>
      </c>
      <c r="C355" s="4" t="s">
        <v>42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7">
        <v>46118</v>
      </c>
      <c r="J355" s="7">
        <v>46120</v>
      </c>
      <c r="K355" s="4" t="s">
        <v>81</v>
      </c>
      <c r="L355" s="4" t="str">
        <f t="shared" si="5"/>
        <v>Yash-Printer</v>
      </c>
    </row>
    <row r="356" spans="1:12" x14ac:dyDescent="0.3">
      <c r="A356" s="9">
        <v>1355</v>
      </c>
      <c r="B356" s="9" t="s">
        <v>29</v>
      </c>
      <c r="C356" s="4" t="s">
        <v>19</v>
      </c>
      <c r="D356" s="4" t="s">
        <v>34</v>
      </c>
      <c r="E356" s="4" t="s">
        <v>9</v>
      </c>
      <c r="F356" s="4">
        <v>18</v>
      </c>
      <c r="G356" s="4">
        <v>35997</v>
      </c>
      <c r="H356" s="4">
        <v>2</v>
      </c>
      <c r="I356" s="7">
        <v>46024</v>
      </c>
      <c r="J356" s="7">
        <v>46031</v>
      </c>
      <c r="K356" s="4" t="s">
        <v>81</v>
      </c>
      <c r="L356" s="4" t="str">
        <f t="shared" si="5"/>
        <v>Arjun-Laptop</v>
      </c>
    </row>
    <row r="357" spans="1:12" x14ac:dyDescent="0.3">
      <c r="A357" s="9">
        <v>1356</v>
      </c>
      <c r="B357" s="9" t="s">
        <v>28</v>
      </c>
      <c r="C357" s="4" t="s">
        <v>38</v>
      </c>
      <c r="D357" s="4" t="s">
        <v>34</v>
      </c>
      <c r="E357" s="4" t="s">
        <v>9</v>
      </c>
      <c r="F357" s="4">
        <v>16</v>
      </c>
      <c r="G357" s="4">
        <v>53457</v>
      </c>
      <c r="H357" s="4">
        <v>10</v>
      </c>
      <c r="I357" s="7">
        <v>46201</v>
      </c>
      <c r="J357" s="7">
        <v>46204</v>
      </c>
      <c r="K357" s="4" t="s">
        <v>78</v>
      </c>
      <c r="L357" s="4" t="str">
        <f t="shared" si="5"/>
        <v>Vikram-Laptop</v>
      </c>
    </row>
    <row r="358" spans="1:12" x14ac:dyDescent="0.3">
      <c r="A358" s="9">
        <v>1357</v>
      </c>
      <c r="B358" s="9" t="s">
        <v>56</v>
      </c>
      <c r="C358" s="4" t="s">
        <v>27</v>
      </c>
      <c r="D358" s="4" t="s">
        <v>20</v>
      </c>
      <c r="E358" s="4" t="s">
        <v>37</v>
      </c>
      <c r="F358" s="4">
        <v>6</v>
      </c>
      <c r="G358" s="4">
        <v>365</v>
      </c>
      <c r="H358" s="4">
        <v>7</v>
      </c>
      <c r="I358" s="7">
        <v>46133</v>
      </c>
      <c r="J358" s="7">
        <v>46140</v>
      </c>
      <c r="K358" s="4" t="s">
        <v>81</v>
      </c>
      <c r="L358" s="4" t="str">
        <f t="shared" si="5"/>
        <v>Anita-Pen Pack</v>
      </c>
    </row>
    <row r="359" spans="1:12" x14ac:dyDescent="0.3">
      <c r="A359" s="9">
        <v>1358</v>
      </c>
      <c r="B359" s="9" t="s">
        <v>39</v>
      </c>
      <c r="C359" s="4" t="s">
        <v>38</v>
      </c>
      <c r="D359" s="4" t="s">
        <v>24</v>
      </c>
      <c r="E359" s="4" t="s">
        <v>7</v>
      </c>
      <c r="F359" s="4">
        <v>7</v>
      </c>
      <c r="G359" s="4">
        <v>6618</v>
      </c>
      <c r="H359" s="4">
        <v>0</v>
      </c>
      <c r="I359" s="7">
        <v>46127</v>
      </c>
      <c r="J359" s="7">
        <v>46129</v>
      </c>
      <c r="K359" s="4" t="s">
        <v>79</v>
      </c>
      <c r="L359" s="4" t="str">
        <f t="shared" si="5"/>
        <v>Deepak-Desk</v>
      </c>
    </row>
    <row r="360" spans="1:12" x14ac:dyDescent="0.3">
      <c r="A360" s="9">
        <v>1359</v>
      </c>
      <c r="B360" s="9" t="s">
        <v>52</v>
      </c>
      <c r="C360" s="4" t="s">
        <v>19</v>
      </c>
      <c r="D360" s="4" t="s">
        <v>34</v>
      </c>
      <c r="E360" s="4" t="s">
        <v>12</v>
      </c>
      <c r="F360" s="4">
        <v>9</v>
      </c>
      <c r="G360" s="4">
        <v>38179</v>
      </c>
      <c r="H360" s="4">
        <v>0</v>
      </c>
      <c r="I360" s="7">
        <v>46096</v>
      </c>
      <c r="J360" s="7">
        <v>46099</v>
      </c>
      <c r="K360" s="4" t="s">
        <v>78</v>
      </c>
      <c r="L360" s="4" t="str">
        <f t="shared" si="5"/>
        <v>Manoj-Mouse</v>
      </c>
    </row>
    <row r="361" spans="1:12" x14ac:dyDescent="0.3">
      <c r="A361" s="9">
        <v>1360</v>
      </c>
      <c r="B361" s="9" t="s">
        <v>18</v>
      </c>
      <c r="C361" s="4" t="s">
        <v>42</v>
      </c>
      <c r="D361" s="4" t="s">
        <v>24</v>
      </c>
      <c r="E361" s="4" t="s">
        <v>10</v>
      </c>
      <c r="F361" s="4">
        <v>19</v>
      </c>
      <c r="G361" s="4">
        <v>6681</v>
      </c>
      <c r="H361" s="4">
        <v>2</v>
      </c>
      <c r="I361" s="7">
        <v>46146</v>
      </c>
      <c r="J361" s="7">
        <v>46150</v>
      </c>
      <c r="K361" s="4" t="s">
        <v>78</v>
      </c>
      <c r="L361" s="4" t="str">
        <f t="shared" si="5"/>
        <v>Ritesh-Table</v>
      </c>
    </row>
    <row r="362" spans="1:12" x14ac:dyDescent="0.3">
      <c r="A362" s="9">
        <v>1361</v>
      </c>
      <c r="B362" s="9" t="s">
        <v>41</v>
      </c>
      <c r="C362" s="4" t="s">
        <v>23</v>
      </c>
      <c r="D362" s="4" t="s">
        <v>24</v>
      </c>
      <c r="E362" s="4" t="s">
        <v>10</v>
      </c>
      <c r="F362" s="4">
        <v>2</v>
      </c>
      <c r="G362" s="4">
        <v>1822</v>
      </c>
      <c r="H362" s="4">
        <v>5</v>
      </c>
      <c r="I362" s="7">
        <v>46141</v>
      </c>
      <c r="J362" s="7">
        <v>46145</v>
      </c>
      <c r="K362" s="4" t="s">
        <v>79</v>
      </c>
      <c r="L362" s="4" t="str">
        <f t="shared" si="5"/>
        <v>Nisha-Table</v>
      </c>
    </row>
    <row r="363" spans="1:12" x14ac:dyDescent="0.3">
      <c r="A363" s="9">
        <v>1362</v>
      </c>
      <c r="B363" s="9" t="s">
        <v>22</v>
      </c>
      <c r="C363" s="4" t="s">
        <v>19</v>
      </c>
      <c r="D363" s="4" t="s">
        <v>24</v>
      </c>
      <c r="E363" s="4" t="s">
        <v>8</v>
      </c>
      <c r="F363" s="4">
        <v>1</v>
      </c>
      <c r="G363" s="4">
        <v>10474</v>
      </c>
      <c r="H363" s="4">
        <v>0</v>
      </c>
      <c r="I363" s="7">
        <v>46094</v>
      </c>
      <c r="J363" s="7">
        <v>46096</v>
      </c>
      <c r="K363" s="4" t="s">
        <v>49</v>
      </c>
      <c r="L363" s="4" t="str">
        <f t="shared" si="5"/>
        <v>Pooja-Chair</v>
      </c>
    </row>
    <row r="364" spans="1:12" x14ac:dyDescent="0.3">
      <c r="A364" s="9">
        <v>1363</v>
      </c>
      <c r="B364" s="9" t="s">
        <v>29</v>
      </c>
      <c r="C364" s="4" t="s">
        <v>27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7">
        <v>46122</v>
      </c>
      <c r="J364" s="7">
        <v>46128</v>
      </c>
      <c r="K364" s="4" t="s">
        <v>78</v>
      </c>
      <c r="L364" s="4" t="str">
        <f t="shared" si="5"/>
        <v>Arjun-Printer</v>
      </c>
    </row>
    <row r="365" spans="1:12" x14ac:dyDescent="0.3">
      <c r="A365" s="9">
        <v>1364</v>
      </c>
      <c r="B365" s="9" t="s">
        <v>30</v>
      </c>
      <c r="C365" s="4" t="s">
        <v>26</v>
      </c>
      <c r="D365" s="4" t="s">
        <v>24</v>
      </c>
      <c r="E365" s="4" t="s">
        <v>11</v>
      </c>
      <c r="F365" s="4">
        <v>16</v>
      </c>
      <c r="G365" s="4">
        <v>1744</v>
      </c>
      <c r="H365" s="4">
        <v>15</v>
      </c>
      <c r="I365" s="7">
        <v>46031</v>
      </c>
      <c r="J365" s="7">
        <v>46033</v>
      </c>
      <c r="K365" s="4" t="s">
        <v>81</v>
      </c>
      <c r="L365" s="4" t="str">
        <f t="shared" si="5"/>
        <v>Neha-Cabinet</v>
      </c>
    </row>
    <row r="366" spans="1:12" x14ac:dyDescent="0.3">
      <c r="A366" s="9">
        <v>1365</v>
      </c>
      <c r="B366" s="9" t="s">
        <v>44</v>
      </c>
      <c r="C366" s="4" t="s">
        <v>33</v>
      </c>
      <c r="D366" s="4" t="s">
        <v>20</v>
      </c>
      <c r="E366" s="4" t="s">
        <v>48</v>
      </c>
      <c r="F366" s="4">
        <v>17</v>
      </c>
      <c r="G366" s="4">
        <v>119</v>
      </c>
      <c r="H366" s="4">
        <v>7</v>
      </c>
      <c r="I366" s="7">
        <v>46070</v>
      </c>
      <c r="J366" s="7">
        <v>46072</v>
      </c>
      <c r="K366" s="4" t="s">
        <v>79</v>
      </c>
      <c r="L366" s="4" t="str">
        <f t="shared" si="5"/>
        <v>Kiran-Marker</v>
      </c>
    </row>
    <row r="367" spans="1:12" x14ac:dyDescent="0.3">
      <c r="A367" s="9">
        <v>1366</v>
      </c>
      <c r="B367" s="9" t="s">
        <v>28</v>
      </c>
      <c r="C367" s="4" t="s">
        <v>23</v>
      </c>
      <c r="D367" s="4" t="s">
        <v>34</v>
      </c>
      <c r="E367" s="4" t="s">
        <v>12</v>
      </c>
      <c r="F367" s="4">
        <v>20</v>
      </c>
      <c r="G367" s="4">
        <v>44312</v>
      </c>
      <c r="H367" s="4">
        <v>10</v>
      </c>
      <c r="I367" s="7">
        <v>46047</v>
      </c>
      <c r="J367" s="7">
        <v>46054</v>
      </c>
      <c r="K367" s="4" t="s">
        <v>49</v>
      </c>
      <c r="L367" s="4" t="str">
        <f t="shared" si="5"/>
        <v>Vikram-Mouse</v>
      </c>
    </row>
    <row r="368" spans="1:12" x14ac:dyDescent="0.3">
      <c r="A368" s="9">
        <v>1367</v>
      </c>
      <c r="B368" s="9" t="s">
        <v>52</v>
      </c>
      <c r="C368" s="4" t="s">
        <v>27</v>
      </c>
      <c r="D368" s="4" t="s">
        <v>20</v>
      </c>
      <c r="E368" s="4" t="s">
        <v>51</v>
      </c>
      <c r="F368" s="4">
        <v>1</v>
      </c>
      <c r="G368" s="4">
        <v>371</v>
      </c>
      <c r="H368" s="4">
        <v>5</v>
      </c>
      <c r="I368" s="7">
        <v>46158</v>
      </c>
      <c r="J368" s="7">
        <v>46168</v>
      </c>
      <c r="K368" s="4" t="s">
        <v>49</v>
      </c>
      <c r="L368" s="4" t="str">
        <f t="shared" si="5"/>
        <v>Manoj-Diary</v>
      </c>
    </row>
    <row r="369" spans="1:12" x14ac:dyDescent="0.3">
      <c r="A369" s="9">
        <v>1368</v>
      </c>
      <c r="B369" s="9" t="s">
        <v>53</v>
      </c>
      <c r="C369" s="4" t="s">
        <v>38</v>
      </c>
      <c r="D369" s="4" t="s">
        <v>20</v>
      </c>
      <c r="E369" s="4" t="s">
        <v>36</v>
      </c>
      <c r="F369" s="4">
        <v>9</v>
      </c>
      <c r="G369" s="4">
        <v>115</v>
      </c>
      <c r="H369" s="4">
        <v>0</v>
      </c>
      <c r="I369" s="7">
        <v>46036</v>
      </c>
      <c r="J369" s="7">
        <v>46045</v>
      </c>
      <c r="K369" s="4" t="s">
        <v>80</v>
      </c>
      <c r="L369" s="4" t="str">
        <f t="shared" si="5"/>
        <v>Sneha-Stapler</v>
      </c>
    </row>
    <row r="370" spans="1:12" x14ac:dyDescent="0.3">
      <c r="A370" s="9">
        <v>1369</v>
      </c>
      <c r="B370" s="9" t="s">
        <v>54</v>
      </c>
      <c r="C370" s="4" t="s">
        <v>27</v>
      </c>
      <c r="D370" s="4" t="s">
        <v>24</v>
      </c>
      <c r="E370" s="4" t="s">
        <v>7</v>
      </c>
      <c r="F370" s="4">
        <v>19</v>
      </c>
      <c r="G370" s="4">
        <v>5840</v>
      </c>
      <c r="H370" s="4">
        <v>5</v>
      </c>
      <c r="I370" s="7">
        <v>46062</v>
      </c>
      <c r="J370" s="7">
        <v>46067</v>
      </c>
      <c r="K370" s="4" t="s">
        <v>78</v>
      </c>
      <c r="L370" s="4" t="str">
        <f t="shared" si="5"/>
        <v>Sara-Desk</v>
      </c>
    </row>
    <row r="371" spans="1:12" x14ac:dyDescent="0.3">
      <c r="A371" s="9">
        <v>1370</v>
      </c>
      <c r="B371" s="9" t="s">
        <v>56</v>
      </c>
      <c r="C371" s="4" t="s">
        <v>38</v>
      </c>
      <c r="D371" s="4" t="s">
        <v>20</v>
      </c>
      <c r="E371" s="4" t="s">
        <v>51</v>
      </c>
      <c r="F371" s="4">
        <v>13</v>
      </c>
      <c r="G371" s="4">
        <v>337</v>
      </c>
      <c r="H371" s="4">
        <v>7</v>
      </c>
      <c r="I371" s="7">
        <v>46184</v>
      </c>
      <c r="J371" s="7">
        <v>46188</v>
      </c>
      <c r="K371" s="4" t="s">
        <v>78</v>
      </c>
      <c r="L371" s="4" t="str">
        <f t="shared" si="5"/>
        <v>Anita-Diary</v>
      </c>
    </row>
    <row r="372" spans="1:12" x14ac:dyDescent="0.3">
      <c r="A372" s="9">
        <v>1371</v>
      </c>
      <c r="B372" s="9" t="s">
        <v>46</v>
      </c>
      <c r="C372" s="4" t="s">
        <v>38</v>
      </c>
      <c r="D372" s="4" t="s">
        <v>24</v>
      </c>
      <c r="E372" s="4" t="s">
        <v>7</v>
      </c>
      <c r="F372" s="4">
        <v>19</v>
      </c>
      <c r="G372" s="4">
        <v>1087</v>
      </c>
      <c r="H372" s="4">
        <v>15</v>
      </c>
      <c r="I372" s="7">
        <v>46072</v>
      </c>
      <c r="J372" s="7">
        <v>46082</v>
      </c>
      <c r="K372" s="4" t="s">
        <v>79</v>
      </c>
      <c r="L372" s="4" t="str">
        <f t="shared" si="5"/>
        <v>Nitin-Desk</v>
      </c>
    </row>
    <row r="373" spans="1:12" x14ac:dyDescent="0.3">
      <c r="A373" s="9">
        <v>1372</v>
      </c>
      <c r="B373" s="9" t="s">
        <v>46</v>
      </c>
      <c r="C373" s="4" t="s">
        <v>23</v>
      </c>
      <c r="D373" s="4" t="s">
        <v>34</v>
      </c>
      <c r="E373" s="4" t="s">
        <v>5</v>
      </c>
      <c r="F373" s="4">
        <v>9</v>
      </c>
      <c r="G373" s="4">
        <v>9551</v>
      </c>
      <c r="H373" s="4">
        <v>10</v>
      </c>
      <c r="I373" s="7">
        <v>46161</v>
      </c>
      <c r="J373" s="7">
        <v>46168</v>
      </c>
      <c r="K373" s="4" t="s">
        <v>78</v>
      </c>
      <c r="L373" s="4" t="str">
        <f t="shared" si="5"/>
        <v>Nitin-Keyboard</v>
      </c>
    </row>
    <row r="374" spans="1:12" x14ac:dyDescent="0.3">
      <c r="A374" s="9">
        <v>1373</v>
      </c>
      <c r="B374" s="9" t="s">
        <v>52</v>
      </c>
      <c r="C374" s="4" t="s">
        <v>27</v>
      </c>
      <c r="D374" s="4" t="s">
        <v>34</v>
      </c>
      <c r="E374" s="4" t="s">
        <v>9</v>
      </c>
      <c r="F374" s="4">
        <v>11</v>
      </c>
      <c r="G374" s="4">
        <v>47930</v>
      </c>
      <c r="H374" s="4">
        <v>12</v>
      </c>
      <c r="I374" s="7">
        <v>46191</v>
      </c>
      <c r="J374" s="7">
        <v>46201</v>
      </c>
      <c r="K374" s="4" t="s">
        <v>79</v>
      </c>
      <c r="L374" s="4" t="str">
        <f t="shared" si="5"/>
        <v>Manoj-Laptop</v>
      </c>
    </row>
    <row r="375" spans="1:12" x14ac:dyDescent="0.3">
      <c r="A375" s="9">
        <v>1374</v>
      </c>
      <c r="B375" s="9" t="s">
        <v>54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7">
        <v>46063</v>
      </c>
      <c r="J375" s="7">
        <v>46066</v>
      </c>
      <c r="K375" s="4" t="s">
        <v>81</v>
      </c>
      <c r="L375" s="4" t="str">
        <f t="shared" si="5"/>
        <v>Sara-Printer</v>
      </c>
    </row>
    <row r="376" spans="1:12" x14ac:dyDescent="0.3">
      <c r="A376" s="9">
        <v>1375</v>
      </c>
      <c r="B376" s="9" t="s">
        <v>44</v>
      </c>
      <c r="C376" s="4" t="s">
        <v>42</v>
      </c>
      <c r="D376" s="4" t="s">
        <v>34</v>
      </c>
      <c r="E376" s="4" t="s">
        <v>6</v>
      </c>
      <c r="F376" s="4">
        <v>20</v>
      </c>
      <c r="G376" s="4">
        <v>56766</v>
      </c>
      <c r="H376" s="4">
        <v>0</v>
      </c>
      <c r="I376" s="7">
        <v>46052</v>
      </c>
      <c r="J376" s="7">
        <v>46061</v>
      </c>
      <c r="K376" s="4" t="s">
        <v>80</v>
      </c>
      <c r="L376" s="4" t="str">
        <f t="shared" si="5"/>
        <v>Kiran-Monitor</v>
      </c>
    </row>
    <row r="377" spans="1:12" x14ac:dyDescent="0.3">
      <c r="A377" s="9">
        <v>1376</v>
      </c>
      <c r="B377" s="9" t="s">
        <v>50</v>
      </c>
      <c r="C377" s="4" t="s">
        <v>31</v>
      </c>
      <c r="D377" s="4" t="s">
        <v>20</v>
      </c>
      <c r="E377" s="4" t="s">
        <v>48</v>
      </c>
      <c r="F377" s="4">
        <v>20</v>
      </c>
      <c r="G377" s="4">
        <v>429</v>
      </c>
      <c r="H377" s="4">
        <v>5</v>
      </c>
      <c r="I377" s="7">
        <v>46178</v>
      </c>
      <c r="J377" s="7">
        <v>46184</v>
      </c>
      <c r="K377" s="4" t="s">
        <v>79</v>
      </c>
      <c r="L377" s="4" t="str">
        <f t="shared" si="5"/>
        <v>Komal-Marker</v>
      </c>
    </row>
    <row r="378" spans="1:12" x14ac:dyDescent="0.3">
      <c r="A378" s="9">
        <v>1377</v>
      </c>
      <c r="B378" s="9" t="s">
        <v>32</v>
      </c>
      <c r="C378" s="4" t="s">
        <v>38</v>
      </c>
      <c r="D378" s="4" t="s">
        <v>24</v>
      </c>
      <c r="E378" s="4" t="s">
        <v>7</v>
      </c>
      <c r="F378" s="4">
        <v>3</v>
      </c>
      <c r="G378" s="4">
        <v>5480</v>
      </c>
      <c r="H378" s="4">
        <v>12</v>
      </c>
      <c r="I378" s="7">
        <v>46105</v>
      </c>
      <c r="J378" s="7">
        <v>46111</v>
      </c>
      <c r="K378" s="4" t="s">
        <v>80</v>
      </c>
      <c r="L378" s="4" t="str">
        <f t="shared" si="5"/>
        <v>Asha-Desk</v>
      </c>
    </row>
    <row r="379" spans="1:12" x14ac:dyDescent="0.3">
      <c r="A379" s="9">
        <v>1378</v>
      </c>
      <c r="B379" s="9" t="s">
        <v>53</v>
      </c>
      <c r="C379" s="4" t="s">
        <v>26</v>
      </c>
      <c r="D379" s="4" t="s">
        <v>34</v>
      </c>
      <c r="E379" s="4" t="s">
        <v>6</v>
      </c>
      <c r="F379" s="4">
        <v>15</v>
      </c>
      <c r="G379" s="4">
        <v>22693</v>
      </c>
      <c r="H379" s="4">
        <v>12</v>
      </c>
      <c r="I379" s="7">
        <v>46074</v>
      </c>
      <c r="J379" s="7">
        <v>46080</v>
      </c>
      <c r="K379" s="4" t="s">
        <v>81</v>
      </c>
      <c r="L379" s="4" t="str">
        <f t="shared" si="5"/>
        <v>Sneha-Monitor</v>
      </c>
    </row>
    <row r="380" spans="1:12" x14ac:dyDescent="0.3">
      <c r="A380" s="9">
        <v>1379</v>
      </c>
      <c r="B380" s="9" t="s">
        <v>45</v>
      </c>
      <c r="C380" s="4" t="s">
        <v>23</v>
      </c>
      <c r="D380" s="4" t="s">
        <v>20</v>
      </c>
      <c r="E380" s="4" t="s">
        <v>21</v>
      </c>
      <c r="F380" s="4">
        <v>11</v>
      </c>
      <c r="G380" s="4">
        <v>136</v>
      </c>
      <c r="H380" s="4">
        <v>15</v>
      </c>
      <c r="I380" s="7">
        <v>46106</v>
      </c>
      <c r="J380" s="7">
        <v>46107</v>
      </c>
      <c r="K380" s="4" t="s">
        <v>79</v>
      </c>
      <c r="L380" s="4" t="str">
        <f t="shared" si="5"/>
        <v>Yash-Notebook</v>
      </c>
    </row>
    <row r="381" spans="1:12" x14ac:dyDescent="0.3">
      <c r="A381" s="9">
        <v>1380</v>
      </c>
      <c r="B381" s="9" t="s">
        <v>50</v>
      </c>
      <c r="C381" s="4" t="s">
        <v>42</v>
      </c>
      <c r="D381" s="4" t="s">
        <v>20</v>
      </c>
      <c r="E381" s="4" t="s">
        <v>51</v>
      </c>
      <c r="F381" s="4">
        <v>3</v>
      </c>
      <c r="G381" s="4">
        <v>412</v>
      </c>
      <c r="H381" s="4">
        <v>7</v>
      </c>
      <c r="I381" s="7">
        <v>46128</v>
      </c>
      <c r="J381" s="7">
        <v>46138</v>
      </c>
      <c r="K381" s="4" t="s">
        <v>80</v>
      </c>
      <c r="L381" s="4" t="str">
        <f t="shared" si="5"/>
        <v>Komal-Diary</v>
      </c>
    </row>
    <row r="382" spans="1:12" x14ac:dyDescent="0.3">
      <c r="A382" s="9">
        <v>1381</v>
      </c>
      <c r="B382" s="9" t="s">
        <v>53</v>
      </c>
      <c r="C382" s="4" t="s">
        <v>33</v>
      </c>
      <c r="D382" s="4" t="s">
        <v>24</v>
      </c>
      <c r="E382" s="4" t="s">
        <v>8</v>
      </c>
      <c r="F382" s="4">
        <v>5</v>
      </c>
      <c r="G382" s="4">
        <v>7484</v>
      </c>
      <c r="H382" s="4">
        <v>2</v>
      </c>
      <c r="I382" s="7">
        <v>46089</v>
      </c>
      <c r="J382" s="7">
        <v>46093</v>
      </c>
      <c r="K382" s="4" t="s">
        <v>79</v>
      </c>
      <c r="L382" s="4" t="str">
        <f t="shared" si="5"/>
        <v>Sneha-Chair</v>
      </c>
    </row>
    <row r="383" spans="1:12" x14ac:dyDescent="0.3">
      <c r="A383" s="9">
        <v>1382</v>
      </c>
      <c r="B383" s="9" t="s">
        <v>47</v>
      </c>
      <c r="C383" s="4" t="s">
        <v>33</v>
      </c>
      <c r="D383" s="4" t="s">
        <v>34</v>
      </c>
      <c r="E383" s="4" t="s">
        <v>9</v>
      </c>
      <c r="F383" s="4">
        <v>11</v>
      </c>
      <c r="G383" s="4">
        <v>36198</v>
      </c>
      <c r="H383" s="4">
        <v>0</v>
      </c>
      <c r="I383" s="7">
        <v>46130</v>
      </c>
      <c r="J383" s="7">
        <v>46134</v>
      </c>
      <c r="K383" s="4" t="s">
        <v>78</v>
      </c>
      <c r="L383" s="4" t="str">
        <f t="shared" si="5"/>
        <v>Ajay-Laptop</v>
      </c>
    </row>
    <row r="384" spans="1:12" x14ac:dyDescent="0.3">
      <c r="A384" s="9">
        <v>1383</v>
      </c>
      <c r="B384" s="9" t="s">
        <v>32</v>
      </c>
      <c r="C384" s="4" t="s">
        <v>19</v>
      </c>
      <c r="D384" s="4" t="s">
        <v>20</v>
      </c>
      <c r="E384" s="4" t="s">
        <v>51</v>
      </c>
      <c r="F384" s="4">
        <v>14</v>
      </c>
      <c r="G384" s="4">
        <v>334</v>
      </c>
      <c r="H384" s="4">
        <v>10</v>
      </c>
      <c r="I384" s="7">
        <v>46196</v>
      </c>
      <c r="J384" s="7">
        <v>46203</v>
      </c>
      <c r="K384" s="4" t="s">
        <v>78</v>
      </c>
      <c r="L384" s="4" t="str">
        <f t="shared" si="5"/>
        <v>Asha-Diary</v>
      </c>
    </row>
    <row r="385" spans="1:12" x14ac:dyDescent="0.3">
      <c r="A385" s="9">
        <v>1384</v>
      </c>
      <c r="B385" s="9" t="s">
        <v>56</v>
      </c>
      <c r="C385" s="4" t="s">
        <v>19</v>
      </c>
      <c r="D385" s="4" t="s">
        <v>34</v>
      </c>
      <c r="E385" s="4" t="s">
        <v>5</v>
      </c>
      <c r="F385" s="4">
        <v>15</v>
      </c>
      <c r="G385" s="4">
        <v>38116</v>
      </c>
      <c r="H385" s="4">
        <v>0</v>
      </c>
      <c r="I385" s="7">
        <v>46074</v>
      </c>
      <c r="J385" s="7">
        <v>46078</v>
      </c>
      <c r="K385" s="4" t="s">
        <v>49</v>
      </c>
      <c r="L385" s="4" t="str">
        <f t="shared" si="5"/>
        <v>Anita-Keyboard</v>
      </c>
    </row>
    <row r="386" spans="1:12" x14ac:dyDescent="0.3">
      <c r="A386" s="9">
        <v>1385</v>
      </c>
      <c r="B386" s="9" t="s">
        <v>28</v>
      </c>
      <c r="C386" s="4" t="s">
        <v>33</v>
      </c>
      <c r="D386" s="4" t="s">
        <v>34</v>
      </c>
      <c r="E386" s="4" t="s">
        <v>5</v>
      </c>
      <c r="F386" s="4">
        <v>12</v>
      </c>
      <c r="G386" s="4">
        <v>61360</v>
      </c>
      <c r="H386" s="4">
        <v>10</v>
      </c>
      <c r="I386" s="7">
        <v>46048</v>
      </c>
      <c r="J386" s="7">
        <v>46053</v>
      </c>
      <c r="K386" s="4" t="s">
        <v>81</v>
      </c>
      <c r="L386" s="4" t="str">
        <f t="shared" si="5"/>
        <v>Vikram-Keyboard</v>
      </c>
    </row>
    <row r="387" spans="1:12" x14ac:dyDescent="0.3">
      <c r="A387" s="9">
        <v>1386</v>
      </c>
      <c r="B387" s="9" t="s">
        <v>29</v>
      </c>
      <c r="C387" s="4" t="s">
        <v>31</v>
      </c>
      <c r="D387" s="4" t="s">
        <v>24</v>
      </c>
      <c r="E387" s="4" t="s">
        <v>8</v>
      </c>
      <c r="F387" s="4">
        <v>9</v>
      </c>
      <c r="G387" s="4">
        <v>7509</v>
      </c>
      <c r="H387" s="4">
        <v>5</v>
      </c>
      <c r="I387" s="7">
        <v>46162</v>
      </c>
      <c r="J387" s="7">
        <v>46171</v>
      </c>
      <c r="K387" s="4" t="s">
        <v>81</v>
      </c>
      <c r="L387" s="4" t="str">
        <f t="shared" ref="L387:L401" si="6">_xlfn.CONCAT(B387, "-", E387)</f>
        <v>Arjun-Chair</v>
      </c>
    </row>
    <row r="388" spans="1:12" x14ac:dyDescent="0.3">
      <c r="A388" s="9">
        <v>1387</v>
      </c>
      <c r="B388" s="9" t="s">
        <v>52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7">
        <v>46102</v>
      </c>
      <c r="J388" s="7">
        <v>46112</v>
      </c>
      <c r="K388" s="4" t="s">
        <v>80</v>
      </c>
      <c r="L388" s="4" t="str">
        <f t="shared" si="6"/>
        <v>Manoj-Printer</v>
      </c>
    </row>
    <row r="389" spans="1:12" x14ac:dyDescent="0.3">
      <c r="A389" s="9">
        <v>1388</v>
      </c>
      <c r="B389" s="9" t="s">
        <v>53</v>
      </c>
      <c r="C389" s="4" t="s">
        <v>31</v>
      </c>
      <c r="D389" s="4" t="s">
        <v>24</v>
      </c>
      <c r="E389" s="4" t="s">
        <v>8</v>
      </c>
      <c r="F389" s="4">
        <v>12</v>
      </c>
      <c r="G389" s="4">
        <v>11662</v>
      </c>
      <c r="H389" s="4">
        <v>12</v>
      </c>
      <c r="I389" s="7">
        <v>46094</v>
      </c>
      <c r="J389" s="7">
        <v>46096</v>
      </c>
      <c r="K389" s="4" t="s">
        <v>79</v>
      </c>
      <c r="L389" s="4" t="str">
        <f t="shared" si="6"/>
        <v>Sneha-Chair</v>
      </c>
    </row>
    <row r="390" spans="1:12" x14ac:dyDescent="0.3">
      <c r="A390" s="9">
        <v>1389</v>
      </c>
      <c r="B390" s="9" t="s">
        <v>32</v>
      </c>
      <c r="C390" s="4" t="s">
        <v>19</v>
      </c>
      <c r="D390" s="4" t="s">
        <v>34</v>
      </c>
      <c r="E390" s="4" t="s">
        <v>40</v>
      </c>
      <c r="F390" s="4">
        <v>3</v>
      </c>
      <c r="G390" s="4">
        <v>56380</v>
      </c>
      <c r="H390" s="4">
        <v>5</v>
      </c>
      <c r="I390" s="7">
        <v>46044</v>
      </c>
      <c r="J390" s="7">
        <v>46048</v>
      </c>
      <c r="K390" s="4" t="s">
        <v>81</v>
      </c>
      <c r="L390" s="4" t="str">
        <f t="shared" si="6"/>
        <v>Asha-Headset</v>
      </c>
    </row>
    <row r="391" spans="1:12" x14ac:dyDescent="0.3">
      <c r="A391" s="9">
        <v>1390</v>
      </c>
      <c r="B391" s="9" t="s">
        <v>55</v>
      </c>
      <c r="C391" s="4" t="s">
        <v>42</v>
      </c>
      <c r="D391" s="4" t="s">
        <v>24</v>
      </c>
      <c r="E391" s="4" t="s">
        <v>7</v>
      </c>
      <c r="F391" s="4">
        <v>9</v>
      </c>
      <c r="G391" s="4">
        <v>7670</v>
      </c>
      <c r="H391" s="4">
        <v>0</v>
      </c>
      <c r="I391" s="7">
        <v>46076</v>
      </c>
      <c r="J391" s="7">
        <v>46081</v>
      </c>
      <c r="K391" s="4" t="s">
        <v>81</v>
      </c>
      <c r="L391" s="4" t="str">
        <f t="shared" si="6"/>
        <v>Rohan-Desk</v>
      </c>
    </row>
    <row r="392" spans="1:12" x14ac:dyDescent="0.3">
      <c r="A392" s="9">
        <v>1391</v>
      </c>
      <c r="B392" s="9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7">
        <v>46100</v>
      </c>
      <c r="J392" s="7">
        <v>46103</v>
      </c>
      <c r="K392" s="4" t="s">
        <v>80</v>
      </c>
      <c r="L392" s="4" t="str">
        <f t="shared" si="6"/>
        <v>Neha-Printer</v>
      </c>
    </row>
    <row r="393" spans="1:12" x14ac:dyDescent="0.3">
      <c r="A393" s="9">
        <v>1392</v>
      </c>
      <c r="B393" s="9" t="s">
        <v>49</v>
      </c>
      <c r="C393" s="4" t="s">
        <v>42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7">
        <v>46124</v>
      </c>
      <c r="J393" s="7">
        <v>46125</v>
      </c>
      <c r="K393" s="4" t="s">
        <v>49</v>
      </c>
      <c r="L393" s="4" t="str">
        <f t="shared" si="6"/>
        <v>Priya-Printer</v>
      </c>
    </row>
    <row r="394" spans="1:12" x14ac:dyDescent="0.3">
      <c r="A394" s="9">
        <v>1393</v>
      </c>
      <c r="B394" s="9" t="s">
        <v>30</v>
      </c>
      <c r="C394" s="4" t="s">
        <v>27</v>
      </c>
      <c r="D394" s="4" t="s">
        <v>34</v>
      </c>
      <c r="E394" s="4" t="s">
        <v>6</v>
      </c>
      <c r="F394" s="4">
        <v>17</v>
      </c>
      <c r="G394" s="4">
        <v>30351</v>
      </c>
      <c r="H394" s="4">
        <v>15</v>
      </c>
      <c r="I394" s="7">
        <v>46047</v>
      </c>
      <c r="J394" s="7">
        <v>46051</v>
      </c>
      <c r="K394" s="4" t="s">
        <v>81</v>
      </c>
      <c r="L394" s="4" t="str">
        <f t="shared" si="6"/>
        <v>Neha-Monitor</v>
      </c>
    </row>
    <row r="395" spans="1:12" x14ac:dyDescent="0.3">
      <c r="A395" s="9">
        <v>1394</v>
      </c>
      <c r="B395" s="9" t="s">
        <v>52</v>
      </c>
      <c r="C395" s="4" t="s">
        <v>19</v>
      </c>
      <c r="D395" s="4" t="s">
        <v>20</v>
      </c>
      <c r="E395" s="4" t="s">
        <v>21</v>
      </c>
      <c r="F395" s="4">
        <v>10</v>
      </c>
      <c r="G395" s="4">
        <v>138</v>
      </c>
      <c r="H395" s="4">
        <v>2</v>
      </c>
      <c r="I395" s="7">
        <v>46056</v>
      </c>
      <c r="J395" s="7">
        <v>46057</v>
      </c>
      <c r="K395" s="4" t="s">
        <v>78</v>
      </c>
      <c r="L395" s="4" t="str">
        <f t="shared" si="6"/>
        <v>Manoj-Notebook</v>
      </c>
    </row>
    <row r="396" spans="1:12" x14ac:dyDescent="0.3">
      <c r="A396" s="9">
        <v>1395</v>
      </c>
      <c r="B396" s="9" t="s">
        <v>52</v>
      </c>
      <c r="C396" s="4" t="s">
        <v>33</v>
      </c>
      <c r="D396" s="4" t="s">
        <v>24</v>
      </c>
      <c r="E396" s="4" t="s">
        <v>43</v>
      </c>
      <c r="F396" s="4">
        <v>18</v>
      </c>
      <c r="G396" s="4">
        <v>10402</v>
      </c>
      <c r="H396" s="4">
        <v>15</v>
      </c>
      <c r="I396" s="7">
        <v>46062</v>
      </c>
      <c r="J396" s="7">
        <v>46067</v>
      </c>
      <c r="K396" s="4" t="s">
        <v>49</v>
      </c>
      <c r="L396" s="4" t="str">
        <f t="shared" si="6"/>
        <v>Manoj-Bookshelf</v>
      </c>
    </row>
    <row r="397" spans="1:12" x14ac:dyDescent="0.3">
      <c r="A397" s="9">
        <v>1396</v>
      </c>
      <c r="B397" s="9" t="s">
        <v>25</v>
      </c>
      <c r="C397" s="4" t="s">
        <v>38</v>
      </c>
      <c r="D397" s="4" t="s">
        <v>20</v>
      </c>
      <c r="E397" s="4" t="s">
        <v>51</v>
      </c>
      <c r="F397" s="4">
        <v>8</v>
      </c>
      <c r="G397" s="4">
        <v>54</v>
      </c>
      <c r="H397" s="4">
        <v>15</v>
      </c>
      <c r="I397" s="7">
        <v>46031</v>
      </c>
      <c r="J397" s="7">
        <v>46035</v>
      </c>
      <c r="K397" s="4" t="s">
        <v>78</v>
      </c>
      <c r="L397" s="4" t="str">
        <f t="shared" si="6"/>
        <v>Meera-Diary</v>
      </c>
    </row>
    <row r="398" spans="1:12" x14ac:dyDescent="0.3">
      <c r="A398" s="9">
        <v>1397</v>
      </c>
      <c r="B398" s="9" t="s">
        <v>25</v>
      </c>
      <c r="C398" s="4" t="s">
        <v>33</v>
      </c>
      <c r="D398" s="4" t="s">
        <v>24</v>
      </c>
      <c r="E398" s="4" t="s">
        <v>10</v>
      </c>
      <c r="F398" s="4">
        <v>1</v>
      </c>
      <c r="G398" s="4">
        <v>8948</v>
      </c>
      <c r="H398" s="4">
        <v>5</v>
      </c>
      <c r="I398" s="7">
        <v>46194</v>
      </c>
      <c r="J398" s="7">
        <v>46201</v>
      </c>
      <c r="K398" s="4" t="s">
        <v>81</v>
      </c>
      <c r="L398" s="4" t="str">
        <f t="shared" si="6"/>
        <v>Meera-Table</v>
      </c>
    </row>
    <row r="399" spans="1:12" x14ac:dyDescent="0.3">
      <c r="A399" s="9">
        <v>1398</v>
      </c>
      <c r="B399" s="9" t="s">
        <v>55</v>
      </c>
      <c r="C399" s="4" t="s">
        <v>42</v>
      </c>
      <c r="D399" s="4" t="s">
        <v>34</v>
      </c>
      <c r="E399" s="4" t="s">
        <v>5</v>
      </c>
      <c r="F399" s="4">
        <v>12</v>
      </c>
      <c r="G399" s="4">
        <v>10668</v>
      </c>
      <c r="H399" s="4">
        <v>0</v>
      </c>
      <c r="I399" s="7">
        <v>46170</v>
      </c>
      <c r="J399" s="7">
        <v>46176</v>
      </c>
      <c r="K399" s="4" t="s">
        <v>78</v>
      </c>
      <c r="L399" s="4" t="str">
        <f t="shared" si="6"/>
        <v>Rohan-Keyboard</v>
      </c>
    </row>
    <row r="400" spans="1:12" x14ac:dyDescent="0.3">
      <c r="A400" s="9">
        <v>1399</v>
      </c>
      <c r="B400" s="9" t="s">
        <v>46</v>
      </c>
      <c r="C400" s="4" t="s">
        <v>31</v>
      </c>
      <c r="D400" s="4" t="s">
        <v>20</v>
      </c>
      <c r="E400" s="4" t="s">
        <v>21</v>
      </c>
      <c r="F400" s="4">
        <v>15</v>
      </c>
      <c r="G400" s="4">
        <v>87</v>
      </c>
      <c r="H400" s="4">
        <v>15</v>
      </c>
      <c r="I400" s="7">
        <v>46089</v>
      </c>
      <c r="J400" s="7">
        <v>46093</v>
      </c>
      <c r="K400" s="4" t="s">
        <v>79</v>
      </c>
      <c r="L400" s="4" t="str">
        <f t="shared" si="6"/>
        <v>Nitin-Notebook</v>
      </c>
    </row>
    <row r="401" spans="1:12" x14ac:dyDescent="0.3">
      <c r="A401" s="9">
        <v>1400</v>
      </c>
      <c r="B401" s="9" t="s">
        <v>39</v>
      </c>
      <c r="C401" s="4" t="s">
        <v>26</v>
      </c>
      <c r="D401" s="4" t="s">
        <v>34</v>
      </c>
      <c r="E401" s="4" t="s">
        <v>35</v>
      </c>
      <c r="F401" s="4">
        <v>13</v>
      </c>
      <c r="G401" s="4">
        <v>52411</v>
      </c>
      <c r="H401" s="4">
        <v>15</v>
      </c>
      <c r="I401" s="7">
        <v>46090</v>
      </c>
      <c r="J401" s="7">
        <v>46092</v>
      </c>
      <c r="K401" s="4" t="s">
        <v>79</v>
      </c>
      <c r="L401" s="4" t="str">
        <f t="shared" si="6"/>
        <v>Deepak-Printer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518F-BD4B-44DA-8D6E-A10422DF122A}">
  <dimension ref="A1:N401"/>
  <sheetViews>
    <sheetView workbookViewId="0">
      <pane ySplit="1" topLeftCell="A2" activePane="bottomLeft" state="frozen"/>
      <selection pane="bottomLeft" sqref="A1:N1"/>
    </sheetView>
  </sheetViews>
  <sheetFormatPr defaultRowHeight="14.4" x14ac:dyDescent="0.3"/>
  <cols>
    <col min="1" max="1" width="8.5546875" bestFit="1" customWidth="1"/>
    <col min="2" max="2" width="9.10937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.33203125" bestFit="1" customWidth="1"/>
    <col min="7" max="7" width="9.6640625" bestFit="1" customWidth="1"/>
    <col min="8" max="8" width="10.77734375" bestFit="1" customWidth="1"/>
    <col min="9" max="9" width="10.6640625" bestFit="1" customWidth="1"/>
    <col min="10" max="10" width="12.6640625" bestFit="1" customWidth="1"/>
    <col min="11" max="11" width="11" bestFit="1" customWidth="1"/>
    <col min="12" max="12" width="14" bestFit="1" customWidth="1"/>
    <col min="13" max="13" width="12.77734375" bestFit="1" customWidth="1"/>
    <col min="14" max="14" width="18.33203125" bestFit="1" customWidth="1"/>
  </cols>
  <sheetData>
    <row r="1" spans="1:14" x14ac:dyDescent="0.3">
      <c r="A1" s="11" t="s">
        <v>0</v>
      </c>
      <c r="B1" s="11" t="s">
        <v>13</v>
      </c>
      <c r="C1" s="10" t="s">
        <v>14</v>
      </c>
      <c r="D1" s="10" t="s">
        <v>15</v>
      </c>
      <c r="E1" s="10" t="s">
        <v>1</v>
      </c>
      <c r="F1" s="10" t="s">
        <v>4</v>
      </c>
      <c r="G1" s="10" t="s">
        <v>16</v>
      </c>
      <c r="H1" s="10" t="s">
        <v>17</v>
      </c>
      <c r="I1" s="10" t="s">
        <v>2</v>
      </c>
      <c r="J1" s="10" t="s">
        <v>3</v>
      </c>
      <c r="K1" s="13" t="s">
        <v>77</v>
      </c>
      <c r="L1" s="8" t="s">
        <v>68</v>
      </c>
      <c r="M1" s="8" t="s">
        <v>69</v>
      </c>
      <c r="N1" s="8" t="s">
        <v>70</v>
      </c>
    </row>
    <row r="2" spans="1:14" x14ac:dyDescent="0.3">
      <c r="A2" s="9">
        <v>1001</v>
      </c>
      <c r="B2" s="9" t="s">
        <v>18</v>
      </c>
      <c r="C2" s="4" t="s">
        <v>19</v>
      </c>
      <c r="D2" s="4" t="s">
        <v>20</v>
      </c>
      <c r="E2" s="4" t="s">
        <v>21</v>
      </c>
      <c r="F2" s="4">
        <v>3</v>
      </c>
      <c r="G2" s="4">
        <v>222</v>
      </c>
      <c r="H2" s="4">
        <v>15</v>
      </c>
      <c r="I2" s="7">
        <v>46081</v>
      </c>
      <c r="J2" s="7">
        <v>46083</v>
      </c>
      <c r="K2" s="4" t="s">
        <v>78</v>
      </c>
      <c r="L2" s="4" t="str">
        <f>_xlfn.CONCAT(LEFT(B2, 3), A2)</f>
        <v>Rit1001</v>
      </c>
      <c r="M2" s="4" t="str">
        <f>_xlfn.CONCAT(LEFT(E2, 3), RIGHT(E2,2))</f>
        <v>Notok</v>
      </c>
      <c r="N2" s="4" t="str">
        <f>REPLACE(E2,2,4,"")</f>
        <v>Nook</v>
      </c>
    </row>
    <row r="3" spans="1:14" x14ac:dyDescent="0.3">
      <c r="A3" s="9">
        <v>1002</v>
      </c>
      <c r="B3" s="9" t="s">
        <v>22</v>
      </c>
      <c r="C3" s="4" t="s">
        <v>23</v>
      </c>
      <c r="D3" s="4" t="s">
        <v>24</v>
      </c>
      <c r="E3" s="4" t="s">
        <v>7</v>
      </c>
      <c r="F3" s="4">
        <v>7</v>
      </c>
      <c r="G3" s="4">
        <v>8448</v>
      </c>
      <c r="H3" s="4">
        <v>12</v>
      </c>
      <c r="I3" s="7">
        <v>46174</v>
      </c>
      <c r="J3" s="7">
        <v>46179</v>
      </c>
      <c r="K3" s="4" t="s">
        <v>79</v>
      </c>
      <c r="L3" s="4" t="str">
        <f t="shared" ref="L3:L66" si="0">_xlfn.CONCAT(LEFT(B3, 3), A3)</f>
        <v>Poo1002</v>
      </c>
      <c r="M3" s="4" t="str">
        <f t="shared" ref="M3:M66" si="1">_xlfn.CONCAT(LEFT(E3, 3), RIGHT(E3,2))</f>
        <v>Dessk</v>
      </c>
      <c r="N3" s="4" t="str">
        <f t="shared" ref="N3:N66" si="2">REPLACE(E3,2,4,"")</f>
        <v>D</v>
      </c>
    </row>
    <row r="4" spans="1:14" x14ac:dyDescent="0.3">
      <c r="A4" s="9">
        <v>1003</v>
      </c>
      <c r="B4" s="9" t="s">
        <v>25</v>
      </c>
      <c r="C4" s="4" t="s">
        <v>26</v>
      </c>
      <c r="D4" s="4" t="s">
        <v>24</v>
      </c>
      <c r="E4" s="4" t="s">
        <v>10</v>
      </c>
      <c r="F4" s="4">
        <v>20</v>
      </c>
      <c r="G4" s="4">
        <v>2123</v>
      </c>
      <c r="H4" s="4">
        <v>15</v>
      </c>
      <c r="I4" s="7">
        <v>46183</v>
      </c>
      <c r="J4" s="7">
        <v>46192</v>
      </c>
      <c r="K4" s="4" t="s">
        <v>80</v>
      </c>
      <c r="L4" s="4" t="str">
        <f t="shared" si="0"/>
        <v>Mee1003</v>
      </c>
      <c r="M4" s="4" t="str">
        <f t="shared" si="1"/>
        <v>Table</v>
      </c>
      <c r="N4" s="4" t="str">
        <f t="shared" si="2"/>
        <v>T</v>
      </c>
    </row>
    <row r="5" spans="1:14" x14ac:dyDescent="0.3">
      <c r="A5" s="9">
        <v>1004</v>
      </c>
      <c r="B5" s="9" t="s">
        <v>22</v>
      </c>
      <c r="C5" s="4" t="s">
        <v>27</v>
      </c>
      <c r="D5" s="4" t="s">
        <v>24</v>
      </c>
      <c r="E5" s="4" t="s">
        <v>10</v>
      </c>
      <c r="F5" s="4">
        <v>16</v>
      </c>
      <c r="G5" s="4">
        <v>11739</v>
      </c>
      <c r="H5" s="4">
        <v>12</v>
      </c>
      <c r="I5" s="7">
        <v>46034</v>
      </c>
      <c r="J5" s="7">
        <v>46040</v>
      </c>
      <c r="K5" s="4" t="s">
        <v>79</v>
      </c>
      <c r="L5" s="4" t="str">
        <f t="shared" si="0"/>
        <v>Poo1004</v>
      </c>
      <c r="M5" s="4" t="str">
        <f t="shared" si="1"/>
        <v>Table</v>
      </c>
      <c r="N5" s="4" t="str">
        <f t="shared" si="2"/>
        <v>T</v>
      </c>
    </row>
    <row r="6" spans="1:14" x14ac:dyDescent="0.3">
      <c r="A6" s="9">
        <v>1005</v>
      </c>
      <c r="B6" s="9" t="s">
        <v>28</v>
      </c>
      <c r="C6" s="4" t="s">
        <v>23</v>
      </c>
      <c r="D6" s="4" t="s">
        <v>20</v>
      </c>
      <c r="E6" s="4" t="s">
        <v>21</v>
      </c>
      <c r="F6" s="4">
        <v>18</v>
      </c>
      <c r="G6" s="4">
        <v>70</v>
      </c>
      <c r="H6" s="4">
        <v>0</v>
      </c>
      <c r="I6" s="7">
        <v>46171</v>
      </c>
      <c r="J6" s="7">
        <v>46179</v>
      </c>
      <c r="K6" s="4" t="s">
        <v>80</v>
      </c>
      <c r="L6" s="4" t="str">
        <f t="shared" si="0"/>
        <v>Vik1005</v>
      </c>
      <c r="M6" s="4" t="str">
        <f t="shared" si="1"/>
        <v>Notok</v>
      </c>
      <c r="N6" s="4" t="str">
        <f t="shared" si="2"/>
        <v>Nook</v>
      </c>
    </row>
    <row r="7" spans="1:14" x14ac:dyDescent="0.3">
      <c r="A7" s="9">
        <v>1006</v>
      </c>
      <c r="B7" s="9" t="s">
        <v>29</v>
      </c>
      <c r="C7" s="4" t="s">
        <v>27</v>
      </c>
      <c r="D7" s="4" t="s">
        <v>24</v>
      </c>
      <c r="E7" s="4" t="s">
        <v>8</v>
      </c>
      <c r="F7" s="4">
        <v>3</v>
      </c>
      <c r="G7" s="4">
        <v>2714</v>
      </c>
      <c r="H7" s="4">
        <v>5</v>
      </c>
      <c r="I7" s="7">
        <v>46055</v>
      </c>
      <c r="J7" s="7">
        <v>46062</v>
      </c>
      <c r="K7" s="4" t="s">
        <v>49</v>
      </c>
      <c r="L7" s="4" t="str">
        <f t="shared" si="0"/>
        <v>Arj1006</v>
      </c>
      <c r="M7" s="4" t="str">
        <f t="shared" si="1"/>
        <v>Chair</v>
      </c>
      <c r="N7" s="4" t="str">
        <f t="shared" si="2"/>
        <v>C</v>
      </c>
    </row>
    <row r="8" spans="1:14" x14ac:dyDescent="0.3">
      <c r="A8" s="9">
        <v>1007</v>
      </c>
      <c r="B8" s="9" t="s">
        <v>25</v>
      </c>
      <c r="C8" s="4" t="s">
        <v>26</v>
      </c>
      <c r="D8" s="4" t="s">
        <v>20</v>
      </c>
      <c r="E8" s="4" t="s">
        <v>21</v>
      </c>
      <c r="F8" s="4">
        <v>19</v>
      </c>
      <c r="G8" s="4">
        <v>149</v>
      </c>
      <c r="H8" s="4">
        <v>7</v>
      </c>
      <c r="I8" s="7">
        <v>46162</v>
      </c>
      <c r="J8" s="7">
        <v>46168</v>
      </c>
      <c r="K8" s="4" t="s">
        <v>80</v>
      </c>
      <c r="L8" s="4" t="str">
        <f t="shared" si="0"/>
        <v>Mee1007</v>
      </c>
      <c r="M8" s="4" t="str">
        <f t="shared" si="1"/>
        <v>Notok</v>
      </c>
      <c r="N8" s="4" t="str">
        <f t="shared" si="2"/>
        <v>Nook</v>
      </c>
    </row>
    <row r="9" spans="1:14" x14ac:dyDescent="0.3">
      <c r="A9" s="9">
        <v>1008</v>
      </c>
      <c r="B9" s="9" t="s">
        <v>30</v>
      </c>
      <c r="C9" s="4" t="s">
        <v>31</v>
      </c>
      <c r="D9" s="4" t="s">
        <v>24</v>
      </c>
      <c r="E9" s="4" t="s">
        <v>8</v>
      </c>
      <c r="F9" s="4">
        <v>1</v>
      </c>
      <c r="G9" s="4">
        <v>1134</v>
      </c>
      <c r="H9" s="4">
        <v>0</v>
      </c>
      <c r="I9" s="7">
        <v>46033</v>
      </c>
      <c r="J9" s="7">
        <v>46041</v>
      </c>
      <c r="K9" s="4" t="s">
        <v>80</v>
      </c>
      <c r="L9" s="4" t="str">
        <f t="shared" si="0"/>
        <v>Neh1008</v>
      </c>
      <c r="M9" s="4" t="str">
        <f t="shared" si="1"/>
        <v>Chair</v>
      </c>
      <c r="N9" s="4" t="str">
        <f t="shared" si="2"/>
        <v>C</v>
      </c>
    </row>
    <row r="10" spans="1:14" x14ac:dyDescent="0.3">
      <c r="A10" s="9">
        <v>1009</v>
      </c>
      <c r="B10" s="9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7">
        <v>46183</v>
      </c>
      <c r="J10" s="7">
        <v>46193</v>
      </c>
      <c r="K10" s="4" t="s">
        <v>80</v>
      </c>
      <c r="L10" s="4" t="str">
        <f t="shared" si="0"/>
        <v>Ash1009</v>
      </c>
      <c r="M10" s="4" t="str">
        <f t="shared" si="1"/>
        <v>Prier</v>
      </c>
      <c r="N10" s="4" t="str">
        <f t="shared" si="2"/>
        <v>Per</v>
      </c>
    </row>
    <row r="11" spans="1:14" x14ac:dyDescent="0.3">
      <c r="A11" s="9">
        <v>1010</v>
      </c>
      <c r="B11" s="9" t="s">
        <v>18</v>
      </c>
      <c r="C11" s="4" t="s">
        <v>23</v>
      </c>
      <c r="D11" s="4" t="s">
        <v>20</v>
      </c>
      <c r="E11" s="4" t="s">
        <v>36</v>
      </c>
      <c r="F11" s="4">
        <v>14</v>
      </c>
      <c r="G11" s="4">
        <v>470</v>
      </c>
      <c r="H11" s="4">
        <v>5</v>
      </c>
      <c r="I11" s="7">
        <v>46062</v>
      </c>
      <c r="J11" s="7">
        <v>46068</v>
      </c>
      <c r="K11" s="4" t="s">
        <v>78</v>
      </c>
      <c r="L11" s="4" t="str">
        <f t="shared" si="0"/>
        <v>Rit1010</v>
      </c>
      <c r="M11" s="4" t="str">
        <f t="shared" si="1"/>
        <v>Staer</v>
      </c>
      <c r="N11" s="4" t="str">
        <f t="shared" si="2"/>
        <v>Ser</v>
      </c>
    </row>
    <row r="12" spans="1:14" x14ac:dyDescent="0.3">
      <c r="A12" s="9">
        <v>1011</v>
      </c>
      <c r="B12" s="9" t="s">
        <v>18</v>
      </c>
      <c r="C12" s="4" t="s">
        <v>23</v>
      </c>
      <c r="D12" s="4" t="s">
        <v>20</v>
      </c>
      <c r="E12" s="4" t="s">
        <v>37</v>
      </c>
      <c r="F12" s="4">
        <v>14</v>
      </c>
      <c r="G12" s="4">
        <v>88</v>
      </c>
      <c r="H12" s="4">
        <v>12</v>
      </c>
      <c r="I12" s="7">
        <v>46161</v>
      </c>
      <c r="J12" s="7">
        <v>46163</v>
      </c>
      <c r="K12" s="4" t="s">
        <v>78</v>
      </c>
      <c r="L12" s="4" t="str">
        <f t="shared" si="0"/>
        <v>Rit1011</v>
      </c>
      <c r="M12" s="4" t="str">
        <f t="shared" si="1"/>
        <v>Penck</v>
      </c>
      <c r="N12" s="4" t="str">
        <f t="shared" si="2"/>
        <v>Pack</v>
      </c>
    </row>
    <row r="13" spans="1:14" x14ac:dyDescent="0.3">
      <c r="A13" s="9">
        <v>1012</v>
      </c>
      <c r="B13" s="9" t="s">
        <v>28</v>
      </c>
      <c r="C13" s="4" t="s">
        <v>38</v>
      </c>
      <c r="D13" s="4" t="s">
        <v>34</v>
      </c>
      <c r="E13" s="4" t="s">
        <v>5</v>
      </c>
      <c r="F13" s="4">
        <v>3</v>
      </c>
      <c r="G13" s="4">
        <v>64615</v>
      </c>
      <c r="H13" s="4">
        <v>10</v>
      </c>
      <c r="I13" s="7">
        <v>46086</v>
      </c>
      <c r="J13" s="7">
        <v>46095</v>
      </c>
      <c r="K13" s="4" t="s">
        <v>49</v>
      </c>
      <c r="L13" s="4" t="str">
        <f t="shared" si="0"/>
        <v>Vik1012</v>
      </c>
      <c r="M13" s="4" t="str">
        <f t="shared" si="1"/>
        <v>Keyrd</v>
      </c>
      <c r="N13" s="4" t="str">
        <f t="shared" si="2"/>
        <v>Kard</v>
      </c>
    </row>
    <row r="14" spans="1:14" x14ac:dyDescent="0.3">
      <c r="A14" s="9">
        <v>1013</v>
      </c>
      <c r="B14" s="9" t="s">
        <v>22</v>
      </c>
      <c r="C14" s="4" t="s">
        <v>31</v>
      </c>
      <c r="D14" s="4" t="s">
        <v>20</v>
      </c>
      <c r="E14" s="4" t="s">
        <v>36</v>
      </c>
      <c r="F14" s="4">
        <v>17</v>
      </c>
      <c r="G14" s="4">
        <v>459</v>
      </c>
      <c r="H14" s="4">
        <v>12</v>
      </c>
      <c r="I14" s="7">
        <v>46095</v>
      </c>
      <c r="J14" s="7">
        <v>46105</v>
      </c>
      <c r="K14" s="4" t="s">
        <v>49</v>
      </c>
      <c r="L14" s="4" t="str">
        <f t="shared" si="0"/>
        <v>Poo1013</v>
      </c>
      <c r="M14" s="4" t="str">
        <f t="shared" si="1"/>
        <v>Staer</v>
      </c>
      <c r="N14" s="4" t="str">
        <f t="shared" si="2"/>
        <v>Ser</v>
      </c>
    </row>
    <row r="15" spans="1:14" x14ac:dyDescent="0.3">
      <c r="A15" s="9">
        <v>1014</v>
      </c>
      <c r="B15" s="9" t="s">
        <v>39</v>
      </c>
      <c r="C15" s="4" t="s">
        <v>23</v>
      </c>
      <c r="D15" s="4" t="s">
        <v>34</v>
      </c>
      <c r="E15" s="4" t="s">
        <v>40</v>
      </c>
      <c r="F15" s="4">
        <v>19</v>
      </c>
      <c r="G15" s="4">
        <v>53683</v>
      </c>
      <c r="H15" s="4">
        <v>12</v>
      </c>
      <c r="I15" s="7">
        <v>46129</v>
      </c>
      <c r="J15" s="7">
        <v>46134</v>
      </c>
      <c r="K15" s="4" t="s">
        <v>49</v>
      </c>
      <c r="L15" s="4" t="str">
        <f t="shared" si="0"/>
        <v>Dee1014</v>
      </c>
      <c r="M15" s="4" t="str">
        <f t="shared" si="1"/>
        <v>Heaet</v>
      </c>
      <c r="N15" s="4" t="str">
        <f t="shared" si="2"/>
        <v>Het</v>
      </c>
    </row>
    <row r="16" spans="1:14" x14ac:dyDescent="0.3">
      <c r="A16" s="9">
        <v>1015</v>
      </c>
      <c r="B16" s="9" t="s">
        <v>41</v>
      </c>
      <c r="C16" s="4" t="s">
        <v>42</v>
      </c>
      <c r="D16" s="4" t="s">
        <v>24</v>
      </c>
      <c r="E16" s="4" t="s">
        <v>43</v>
      </c>
      <c r="F16" s="4">
        <v>11</v>
      </c>
      <c r="G16" s="4">
        <v>14511</v>
      </c>
      <c r="H16" s="4">
        <v>2</v>
      </c>
      <c r="I16" s="7">
        <v>46175</v>
      </c>
      <c r="J16" s="7">
        <v>46185</v>
      </c>
      <c r="K16" s="4" t="s">
        <v>79</v>
      </c>
      <c r="L16" s="4" t="str">
        <f t="shared" si="0"/>
        <v>Nis1015</v>
      </c>
      <c r="M16" s="4" t="str">
        <f t="shared" si="1"/>
        <v>Boolf</v>
      </c>
      <c r="N16" s="4" t="str">
        <f t="shared" si="2"/>
        <v>Bhelf</v>
      </c>
    </row>
    <row r="17" spans="1:14" x14ac:dyDescent="0.3">
      <c r="A17" s="9">
        <v>1016</v>
      </c>
      <c r="B17" s="9" t="s">
        <v>32</v>
      </c>
      <c r="C17" s="4" t="s">
        <v>33</v>
      </c>
      <c r="D17" s="4" t="s">
        <v>34</v>
      </c>
      <c r="E17" s="4" t="s">
        <v>6</v>
      </c>
      <c r="F17" s="4">
        <v>16</v>
      </c>
      <c r="G17" s="4">
        <v>30234</v>
      </c>
      <c r="H17" s="4">
        <v>15</v>
      </c>
      <c r="I17" s="7">
        <v>46137</v>
      </c>
      <c r="J17" s="7">
        <v>46140</v>
      </c>
      <c r="K17" s="4" t="s">
        <v>80</v>
      </c>
      <c r="L17" s="4" t="str">
        <f t="shared" si="0"/>
        <v>Ash1016</v>
      </c>
      <c r="M17" s="4" t="str">
        <f t="shared" si="1"/>
        <v>Monor</v>
      </c>
      <c r="N17" s="4" t="str">
        <f t="shared" si="2"/>
        <v>Mor</v>
      </c>
    </row>
    <row r="18" spans="1:14" x14ac:dyDescent="0.3">
      <c r="A18" s="9">
        <v>1017</v>
      </c>
      <c r="B18" s="9" t="s">
        <v>44</v>
      </c>
      <c r="C18" s="4" t="s">
        <v>38</v>
      </c>
      <c r="D18" s="4" t="s">
        <v>20</v>
      </c>
      <c r="E18" s="4" t="s">
        <v>36</v>
      </c>
      <c r="F18" s="4">
        <v>8</v>
      </c>
      <c r="G18" s="4">
        <v>179</v>
      </c>
      <c r="H18" s="4">
        <v>15</v>
      </c>
      <c r="I18" s="7">
        <v>46082</v>
      </c>
      <c r="J18" s="7">
        <v>46084</v>
      </c>
      <c r="K18" s="4" t="s">
        <v>78</v>
      </c>
      <c r="L18" s="4" t="str">
        <f t="shared" si="0"/>
        <v>Kir1017</v>
      </c>
      <c r="M18" s="4" t="str">
        <f t="shared" si="1"/>
        <v>Staer</v>
      </c>
      <c r="N18" s="4" t="str">
        <f t="shared" si="2"/>
        <v>Ser</v>
      </c>
    </row>
    <row r="19" spans="1:14" x14ac:dyDescent="0.3">
      <c r="A19" s="9">
        <v>1018</v>
      </c>
      <c r="B19" s="9" t="s">
        <v>45</v>
      </c>
      <c r="C19" s="4" t="s">
        <v>27</v>
      </c>
      <c r="D19" s="4" t="s">
        <v>20</v>
      </c>
      <c r="E19" s="4" t="s">
        <v>21</v>
      </c>
      <c r="F19" s="4">
        <v>20</v>
      </c>
      <c r="G19" s="4">
        <v>301</v>
      </c>
      <c r="H19" s="4">
        <v>0</v>
      </c>
      <c r="I19" s="7">
        <v>46089</v>
      </c>
      <c r="J19" s="7">
        <v>46094</v>
      </c>
      <c r="K19" s="4" t="s">
        <v>49</v>
      </c>
      <c r="L19" s="4" t="str">
        <f t="shared" si="0"/>
        <v>Yas1018</v>
      </c>
      <c r="M19" s="4" t="str">
        <f t="shared" si="1"/>
        <v>Notok</v>
      </c>
      <c r="N19" s="4" t="str">
        <f t="shared" si="2"/>
        <v>Nook</v>
      </c>
    </row>
    <row r="20" spans="1:14" x14ac:dyDescent="0.3">
      <c r="A20" s="9">
        <v>1019</v>
      </c>
      <c r="B20" s="9" t="s">
        <v>18</v>
      </c>
      <c r="C20" s="4" t="s">
        <v>42</v>
      </c>
      <c r="D20" s="4" t="s">
        <v>34</v>
      </c>
      <c r="E20" s="4" t="s">
        <v>40</v>
      </c>
      <c r="F20" s="4">
        <v>18</v>
      </c>
      <c r="G20" s="4">
        <v>45652</v>
      </c>
      <c r="H20" s="4">
        <v>10</v>
      </c>
      <c r="I20" s="7">
        <v>46023</v>
      </c>
      <c r="J20" s="7">
        <v>46030</v>
      </c>
      <c r="K20" s="4" t="s">
        <v>79</v>
      </c>
      <c r="L20" s="4" t="str">
        <f t="shared" si="0"/>
        <v>Rit1019</v>
      </c>
      <c r="M20" s="4" t="str">
        <f t="shared" si="1"/>
        <v>Heaet</v>
      </c>
      <c r="N20" s="4" t="str">
        <f t="shared" si="2"/>
        <v>Het</v>
      </c>
    </row>
    <row r="21" spans="1:14" x14ac:dyDescent="0.3">
      <c r="A21" s="9">
        <v>1020</v>
      </c>
      <c r="B21" s="9" t="s">
        <v>44</v>
      </c>
      <c r="C21" s="4" t="s">
        <v>19</v>
      </c>
      <c r="D21" s="4" t="s">
        <v>24</v>
      </c>
      <c r="E21" s="4" t="s">
        <v>7</v>
      </c>
      <c r="F21" s="4">
        <v>5</v>
      </c>
      <c r="G21" s="4">
        <v>4582</v>
      </c>
      <c r="H21" s="4">
        <v>5</v>
      </c>
      <c r="I21" s="7">
        <v>46078</v>
      </c>
      <c r="J21" s="7">
        <v>46083</v>
      </c>
      <c r="K21" s="4" t="s">
        <v>78</v>
      </c>
      <c r="L21" s="4" t="str">
        <f t="shared" si="0"/>
        <v>Kir1020</v>
      </c>
      <c r="M21" s="4" t="str">
        <f t="shared" si="1"/>
        <v>Dessk</v>
      </c>
      <c r="N21" s="4" t="str">
        <f t="shared" si="2"/>
        <v>D</v>
      </c>
    </row>
    <row r="22" spans="1:14" x14ac:dyDescent="0.3">
      <c r="A22" s="9">
        <v>1021</v>
      </c>
      <c r="B22" s="9" t="s">
        <v>46</v>
      </c>
      <c r="C22" s="4" t="s">
        <v>42</v>
      </c>
      <c r="D22" s="4" t="s">
        <v>20</v>
      </c>
      <c r="E22" s="4" t="s">
        <v>21</v>
      </c>
      <c r="F22" s="4">
        <v>3</v>
      </c>
      <c r="G22" s="4">
        <v>484</v>
      </c>
      <c r="H22" s="4">
        <v>2</v>
      </c>
      <c r="I22" s="7">
        <v>46144</v>
      </c>
      <c r="J22" s="7">
        <v>46148</v>
      </c>
      <c r="K22" s="4" t="s">
        <v>80</v>
      </c>
      <c r="L22" s="4" t="str">
        <f t="shared" si="0"/>
        <v>Nit1021</v>
      </c>
      <c r="M22" s="4" t="str">
        <f t="shared" si="1"/>
        <v>Notok</v>
      </c>
      <c r="N22" s="4" t="str">
        <f t="shared" si="2"/>
        <v>Nook</v>
      </c>
    </row>
    <row r="23" spans="1:14" x14ac:dyDescent="0.3">
      <c r="A23" s="9">
        <v>1022</v>
      </c>
      <c r="B23" s="9" t="s">
        <v>28</v>
      </c>
      <c r="C23" s="4" t="s">
        <v>23</v>
      </c>
      <c r="D23" s="4" t="s">
        <v>34</v>
      </c>
      <c r="E23" s="4" t="s">
        <v>6</v>
      </c>
      <c r="F23" s="4">
        <v>15</v>
      </c>
      <c r="G23" s="4">
        <v>11596</v>
      </c>
      <c r="H23" s="4">
        <v>0</v>
      </c>
      <c r="I23" s="7">
        <v>46117</v>
      </c>
      <c r="J23" s="7">
        <v>46121</v>
      </c>
      <c r="K23" s="4" t="s">
        <v>49</v>
      </c>
      <c r="L23" s="4" t="str">
        <f t="shared" si="0"/>
        <v>Vik1022</v>
      </c>
      <c r="M23" s="4" t="str">
        <f t="shared" si="1"/>
        <v>Monor</v>
      </c>
      <c r="N23" s="4" t="str">
        <f t="shared" si="2"/>
        <v>Mor</v>
      </c>
    </row>
    <row r="24" spans="1:14" x14ac:dyDescent="0.3">
      <c r="A24" s="9">
        <v>1023</v>
      </c>
      <c r="B24" s="9" t="s">
        <v>39</v>
      </c>
      <c r="C24" s="4" t="s">
        <v>19</v>
      </c>
      <c r="D24" s="4" t="s">
        <v>24</v>
      </c>
      <c r="E24" s="4" t="s">
        <v>43</v>
      </c>
      <c r="F24" s="4">
        <v>15</v>
      </c>
      <c r="G24" s="4">
        <v>3506</v>
      </c>
      <c r="H24" s="4">
        <v>2</v>
      </c>
      <c r="I24" s="7">
        <v>46193</v>
      </c>
      <c r="J24" s="7">
        <v>46194</v>
      </c>
      <c r="K24" s="4" t="s">
        <v>49</v>
      </c>
      <c r="L24" s="4" t="str">
        <f t="shared" si="0"/>
        <v>Dee1023</v>
      </c>
      <c r="M24" s="4" t="str">
        <f t="shared" si="1"/>
        <v>Boolf</v>
      </c>
      <c r="N24" s="4" t="str">
        <f t="shared" si="2"/>
        <v>Bhelf</v>
      </c>
    </row>
    <row r="25" spans="1:14" x14ac:dyDescent="0.3">
      <c r="A25" s="9">
        <v>1024</v>
      </c>
      <c r="B25" s="9" t="s">
        <v>32</v>
      </c>
      <c r="C25" s="4" t="s">
        <v>38</v>
      </c>
      <c r="D25" s="4" t="s">
        <v>34</v>
      </c>
      <c r="E25" s="4" t="s">
        <v>40</v>
      </c>
      <c r="F25" s="4">
        <v>12</v>
      </c>
      <c r="G25" s="4">
        <v>1682</v>
      </c>
      <c r="H25" s="4">
        <v>5</v>
      </c>
      <c r="I25" s="7">
        <v>46161</v>
      </c>
      <c r="J25" s="7">
        <v>46165</v>
      </c>
      <c r="K25" s="4" t="s">
        <v>78</v>
      </c>
      <c r="L25" s="4" t="str">
        <f t="shared" si="0"/>
        <v>Ash1024</v>
      </c>
      <c r="M25" s="4" t="str">
        <f t="shared" si="1"/>
        <v>Heaet</v>
      </c>
      <c r="N25" s="4" t="str">
        <f t="shared" si="2"/>
        <v>Het</v>
      </c>
    </row>
    <row r="26" spans="1:14" x14ac:dyDescent="0.3">
      <c r="A26" s="9">
        <v>1025</v>
      </c>
      <c r="B26" s="9" t="s">
        <v>25</v>
      </c>
      <c r="C26" s="4" t="s">
        <v>19</v>
      </c>
      <c r="D26" s="4" t="s">
        <v>24</v>
      </c>
      <c r="E26" s="4" t="s">
        <v>7</v>
      </c>
      <c r="F26" s="4">
        <v>18</v>
      </c>
      <c r="G26" s="4">
        <v>7924</v>
      </c>
      <c r="H26" s="4">
        <v>0</v>
      </c>
      <c r="I26" s="7">
        <v>46175</v>
      </c>
      <c r="J26" s="7">
        <v>46181</v>
      </c>
      <c r="K26" s="4" t="s">
        <v>78</v>
      </c>
      <c r="L26" s="4" t="str">
        <f t="shared" si="0"/>
        <v>Mee1025</v>
      </c>
      <c r="M26" s="4" t="str">
        <f t="shared" si="1"/>
        <v>Dessk</v>
      </c>
      <c r="N26" s="4" t="str">
        <f t="shared" si="2"/>
        <v>D</v>
      </c>
    </row>
    <row r="27" spans="1:14" x14ac:dyDescent="0.3">
      <c r="A27" s="9">
        <v>1026</v>
      </c>
      <c r="B27" s="9" t="s">
        <v>47</v>
      </c>
      <c r="C27" s="4" t="s">
        <v>31</v>
      </c>
      <c r="D27" s="4" t="s">
        <v>20</v>
      </c>
      <c r="E27" s="4" t="s">
        <v>48</v>
      </c>
      <c r="F27" s="4">
        <v>17</v>
      </c>
      <c r="G27" s="4">
        <v>323</v>
      </c>
      <c r="H27" s="4">
        <v>10</v>
      </c>
      <c r="I27" s="7">
        <v>46039</v>
      </c>
      <c r="J27" s="7">
        <v>46040</v>
      </c>
      <c r="K27" s="4" t="s">
        <v>49</v>
      </c>
      <c r="L27" s="4" t="str">
        <f t="shared" si="0"/>
        <v>Aja1026</v>
      </c>
      <c r="M27" s="4" t="str">
        <f t="shared" si="1"/>
        <v>Marer</v>
      </c>
      <c r="N27" s="4" t="str">
        <f t="shared" si="2"/>
        <v>Mr</v>
      </c>
    </row>
    <row r="28" spans="1:14" x14ac:dyDescent="0.3">
      <c r="A28" s="9">
        <v>1027</v>
      </c>
      <c r="B28" s="9" t="s">
        <v>49</v>
      </c>
      <c r="C28" s="4" t="s">
        <v>42</v>
      </c>
      <c r="D28" s="4" t="s">
        <v>20</v>
      </c>
      <c r="E28" s="4" t="s">
        <v>48</v>
      </c>
      <c r="F28" s="4">
        <v>4</v>
      </c>
      <c r="G28" s="4">
        <v>264</v>
      </c>
      <c r="H28" s="4">
        <v>0</v>
      </c>
      <c r="I28" s="7">
        <v>46155</v>
      </c>
      <c r="J28" s="7">
        <v>46161</v>
      </c>
      <c r="K28" s="4" t="s">
        <v>81</v>
      </c>
      <c r="L28" s="4" t="str">
        <f t="shared" si="0"/>
        <v>Pri1027</v>
      </c>
      <c r="M28" s="4" t="str">
        <f t="shared" si="1"/>
        <v>Marer</v>
      </c>
      <c r="N28" s="4" t="str">
        <f t="shared" si="2"/>
        <v>Mr</v>
      </c>
    </row>
    <row r="29" spans="1:14" x14ac:dyDescent="0.3">
      <c r="A29" s="9">
        <v>1028</v>
      </c>
      <c r="B29" s="9" t="s">
        <v>45</v>
      </c>
      <c r="C29" s="4" t="s">
        <v>26</v>
      </c>
      <c r="D29" s="4" t="s">
        <v>20</v>
      </c>
      <c r="E29" s="4" t="s">
        <v>36</v>
      </c>
      <c r="F29" s="4">
        <v>13</v>
      </c>
      <c r="G29" s="4">
        <v>433</v>
      </c>
      <c r="H29" s="4">
        <v>2</v>
      </c>
      <c r="I29" s="7">
        <v>46116</v>
      </c>
      <c r="J29" s="7">
        <v>46121</v>
      </c>
      <c r="K29" s="4" t="s">
        <v>80</v>
      </c>
      <c r="L29" s="4" t="str">
        <f t="shared" si="0"/>
        <v>Yas1028</v>
      </c>
      <c r="M29" s="4" t="str">
        <f t="shared" si="1"/>
        <v>Staer</v>
      </c>
      <c r="N29" s="4" t="str">
        <f t="shared" si="2"/>
        <v>Ser</v>
      </c>
    </row>
    <row r="30" spans="1:14" x14ac:dyDescent="0.3">
      <c r="A30" s="9">
        <v>1029</v>
      </c>
      <c r="B30" s="9" t="s">
        <v>30</v>
      </c>
      <c r="C30" s="4" t="s">
        <v>27</v>
      </c>
      <c r="D30" s="4" t="s">
        <v>20</v>
      </c>
      <c r="E30" s="4" t="s">
        <v>36</v>
      </c>
      <c r="F30" s="4">
        <v>18</v>
      </c>
      <c r="G30" s="4">
        <v>443</v>
      </c>
      <c r="H30" s="4">
        <v>5</v>
      </c>
      <c r="I30" s="7">
        <v>46046</v>
      </c>
      <c r="J30" s="7">
        <v>46054</v>
      </c>
      <c r="K30" s="4" t="s">
        <v>80</v>
      </c>
      <c r="L30" s="4" t="str">
        <f t="shared" si="0"/>
        <v>Neh1029</v>
      </c>
      <c r="M30" s="4" t="str">
        <f t="shared" si="1"/>
        <v>Staer</v>
      </c>
      <c r="N30" s="4" t="str">
        <f t="shared" si="2"/>
        <v>Ser</v>
      </c>
    </row>
    <row r="31" spans="1:14" x14ac:dyDescent="0.3">
      <c r="A31" s="9">
        <v>1030</v>
      </c>
      <c r="B31" s="9" t="s">
        <v>50</v>
      </c>
      <c r="C31" s="4" t="s">
        <v>19</v>
      </c>
      <c r="D31" s="4" t="s">
        <v>20</v>
      </c>
      <c r="E31" s="4" t="s">
        <v>51</v>
      </c>
      <c r="F31" s="4">
        <v>13</v>
      </c>
      <c r="G31" s="4">
        <v>336</v>
      </c>
      <c r="H31" s="4">
        <v>10</v>
      </c>
      <c r="I31" s="7">
        <v>46098</v>
      </c>
      <c r="J31" s="7">
        <v>46108</v>
      </c>
      <c r="K31" s="4" t="s">
        <v>78</v>
      </c>
      <c r="L31" s="4" t="str">
        <f t="shared" si="0"/>
        <v>Kom1030</v>
      </c>
      <c r="M31" s="4" t="str">
        <f t="shared" si="1"/>
        <v>Diary</v>
      </c>
      <c r="N31" s="4" t="str">
        <f t="shared" si="2"/>
        <v>D</v>
      </c>
    </row>
    <row r="32" spans="1:14" x14ac:dyDescent="0.3">
      <c r="A32" s="9">
        <v>1031</v>
      </c>
      <c r="B32" s="9" t="s">
        <v>52</v>
      </c>
      <c r="C32" s="4" t="s">
        <v>31</v>
      </c>
      <c r="D32" s="4" t="s">
        <v>20</v>
      </c>
      <c r="E32" s="4" t="s">
        <v>51</v>
      </c>
      <c r="F32" s="4">
        <v>2</v>
      </c>
      <c r="G32" s="4">
        <v>184</v>
      </c>
      <c r="H32" s="4">
        <v>5</v>
      </c>
      <c r="I32" s="7">
        <v>46089</v>
      </c>
      <c r="J32" s="7">
        <v>46093</v>
      </c>
      <c r="K32" s="4" t="s">
        <v>79</v>
      </c>
      <c r="L32" s="4" t="str">
        <f t="shared" si="0"/>
        <v>Man1031</v>
      </c>
      <c r="M32" s="4" t="str">
        <f t="shared" si="1"/>
        <v>Diary</v>
      </c>
      <c r="N32" s="4" t="str">
        <f t="shared" si="2"/>
        <v>D</v>
      </c>
    </row>
    <row r="33" spans="1:14" x14ac:dyDescent="0.3">
      <c r="A33" s="9">
        <v>1032</v>
      </c>
      <c r="B33" s="9" t="s">
        <v>52</v>
      </c>
      <c r="C33" s="4" t="s">
        <v>42</v>
      </c>
      <c r="D33" s="4" t="s">
        <v>34</v>
      </c>
      <c r="E33" s="4" t="s">
        <v>5</v>
      </c>
      <c r="F33" s="4">
        <v>20</v>
      </c>
      <c r="G33" s="4">
        <v>11305</v>
      </c>
      <c r="H33" s="4">
        <v>2</v>
      </c>
      <c r="I33" s="7">
        <v>46163</v>
      </c>
      <c r="J33" s="7">
        <v>46165</v>
      </c>
      <c r="K33" s="4" t="s">
        <v>49</v>
      </c>
      <c r="L33" s="4" t="str">
        <f t="shared" si="0"/>
        <v>Man1032</v>
      </c>
      <c r="M33" s="4" t="str">
        <f t="shared" si="1"/>
        <v>Keyrd</v>
      </c>
      <c r="N33" s="4" t="str">
        <f t="shared" si="2"/>
        <v>Kard</v>
      </c>
    </row>
    <row r="34" spans="1:14" x14ac:dyDescent="0.3">
      <c r="A34" s="9">
        <v>1033</v>
      </c>
      <c r="B34" s="9" t="s">
        <v>18</v>
      </c>
      <c r="C34" s="4" t="s">
        <v>42</v>
      </c>
      <c r="D34" s="4" t="s">
        <v>24</v>
      </c>
      <c r="E34" s="4" t="s">
        <v>7</v>
      </c>
      <c r="F34" s="4">
        <v>9</v>
      </c>
      <c r="G34" s="4">
        <v>4895</v>
      </c>
      <c r="H34" s="4">
        <v>2</v>
      </c>
      <c r="I34" s="7">
        <v>46082</v>
      </c>
      <c r="J34" s="7">
        <v>46084</v>
      </c>
      <c r="K34" s="4" t="s">
        <v>49</v>
      </c>
      <c r="L34" s="4" t="str">
        <f t="shared" si="0"/>
        <v>Rit1033</v>
      </c>
      <c r="M34" s="4" t="str">
        <f t="shared" si="1"/>
        <v>Dessk</v>
      </c>
      <c r="N34" s="4" t="str">
        <f t="shared" si="2"/>
        <v>D</v>
      </c>
    </row>
    <row r="35" spans="1:14" x14ac:dyDescent="0.3">
      <c r="A35" s="9">
        <v>1034</v>
      </c>
      <c r="B35" s="9" t="s">
        <v>53</v>
      </c>
      <c r="C35" s="4" t="s">
        <v>33</v>
      </c>
      <c r="D35" s="4" t="s">
        <v>24</v>
      </c>
      <c r="E35" s="4" t="s">
        <v>8</v>
      </c>
      <c r="F35" s="4">
        <v>17</v>
      </c>
      <c r="G35" s="4">
        <v>5104</v>
      </c>
      <c r="H35" s="4">
        <v>12</v>
      </c>
      <c r="I35" s="7">
        <v>46052</v>
      </c>
      <c r="J35" s="7">
        <v>46061</v>
      </c>
      <c r="K35" s="4" t="s">
        <v>81</v>
      </c>
      <c r="L35" s="4" t="str">
        <f t="shared" si="0"/>
        <v>Sne1034</v>
      </c>
      <c r="M35" s="4" t="str">
        <f t="shared" si="1"/>
        <v>Chair</v>
      </c>
      <c r="N35" s="4" t="str">
        <f t="shared" si="2"/>
        <v>C</v>
      </c>
    </row>
    <row r="36" spans="1:14" x14ac:dyDescent="0.3">
      <c r="A36" s="9">
        <v>1035</v>
      </c>
      <c r="B36" s="9" t="s">
        <v>47</v>
      </c>
      <c r="C36" s="4" t="s">
        <v>42</v>
      </c>
      <c r="D36" s="4" t="s">
        <v>24</v>
      </c>
      <c r="E36" s="4" t="s">
        <v>11</v>
      </c>
      <c r="F36" s="4">
        <v>3</v>
      </c>
      <c r="G36" s="4">
        <v>9149</v>
      </c>
      <c r="H36" s="4">
        <v>0</v>
      </c>
      <c r="I36" s="7">
        <v>46031</v>
      </c>
      <c r="J36" s="7">
        <v>46034</v>
      </c>
      <c r="K36" s="4" t="s">
        <v>80</v>
      </c>
      <c r="L36" s="4" t="str">
        <f t="shared" si="0"/>
        <v>Aja1035</v>
      </c>
      <c r="M36" s="4" t="str">
        <f t="shared" si="1"/>
        <v>Cabet</v>
      </c>
      <c r="N36" s="4" t="str">
        <f t="shared" si="2"/>
        <v>Cet</v>
      </c>
    </row>
    <row r="37" spans="1:14" x14ac:dyDescent="0.3">
      <c r="A37" s="9">
        <v>1036</v>
      </c>
      <c r="B37" s="9" t="s">
        <v>18</v>
      </c>
      <c r="C37" s="4" t="s">
        <v>27</v>
      </c>
      <c r="D37" s="4" t="s">
        <v>20</v>
      </c>
      <c r="E37" s="4" t="s">
        <v>36</v>
      </c>
      <c r="F37" s="4">
        <v>20</v>
      </c>
      <c r="G37" s="4">
        <v>161</v>
      </c>
      <c r="H37" s="4">
        <v>7</v>
      </c>
      <c r="I37" s="7">
        <v>46071</v>
      </c>
      <c r="J37" s="7">
        <v>46077</v>
      </c>
      <c r="K37" s="4" t="s">
        <v>80</v>
      </c>
      <c r="L37" s="4" t="str">
        <f t="shared" si="0"/>
        <v>Rit1036</v>
      </c>
      <c r="M37" s="4" t="str">
        <f t="shared" si="1"/>
        <v>Staer</v>
      </c>
      <c r="N37" s="4" t="str">
        <f t="shared" si="2"/>
        <v>Ser</v>
      </c>
    </row>
    <row r="38" spans="1:14" x14ac:dyDescent="0.3">
      <c r="A38" s="9">
        <v>1037</v>
      </c>
      <c r="B38" s="9" t="s">
        <v>44</v>
      </c>
      <c r="C38" s="4" t="s">
        <v>42</v>
      </c>
      <c r="D38" s="4" t="s">
        <v>24</v>
      </c>
      <c r="E38" s="4" t="s">
        <v>11</v>
      </c>
      <c r="F38" s="4">
        <v>6</v>
      </c>
      <c r="G38" s="4">
        <v>14385</v>
      </c>
      <c r="H38" s="4">
        <v>12</v>
      </c>
      <c r="I38" s="7">
        <v>46033</v>
      </c>
      <c r="J38" s="7">
        <v>46043</v>
      </c>
      <c r="K38" s="4" t="s">
        <v>80</v>
      </c>
      <c r="L38" s="4" t="str">
        <f t="shared" si="0"/>
        <v>Kir1037</v>
      </c>
      <c r="M38" s="4" t="str">
        <f t="shared" si="1"/>
        <v>Cabet</v>
      </c>
      <c r="N38" s="4" t="str">
        <f t="shared" si="2"/>
        <v>Cet</v>
      </c>
    </row>
    <row r="39" spans="1:14" x14ac:dyDescent="0.3">
      <c r="A39" s="9">
        <v>1038</v>
      </c>
      <c r="B39" s="9" t="s">
        <v>53</v>
      </c>
      <c r="C39" s="4" t="s">
        <v>23</v>
      </c>
      <c r="D39" s="4" t="s">
        <v>20</v>
      </c>
      <c r="E39" s="4" t="s">
        <v>36</v>
      </c>
      <c r="F39" s="4">
        <v>17</v>
      </c>
      <c r="G39" s="4">
        <v>223</v>
      </c>
      <c r="H39" s="4">
        <v>7</v>
      </c>
      <c r="I39" s="7">
        <v>46030</v>
      </c>
      <c r="J39" s="7">
        <v>46031</v>
      </c>
      <c r="K39" s="4" t="s">
        <v>81</v>
      </c>
      <c r="L39" s="4" t="str">
        <f t="shared" si="0"/>
        <v>Sne1038</v>
      </c>
      <c r="M39" s="4" t="str">
        <f t="shared" si="1"/>
        <v>Staer</v>
      </c>
      <c r="N39" s="4" t="str">
        <f t="shared" si="2"/>
        <v>Ser</v>
      </c>
    </row>
    <row r="40" spans="1:14" x14ac:dyDescent="0.3">
      <c r="A40" s="9">
        <v>1039</v>
      </c>
      <c r="B40" s="9" t="s">
        <v>46</v>
      </c>
      <c r="C40" s="4" t="s">
        <v>38</v>
      </c>
      <c r="D40" s="4" t="s">
        <v>34</v>
      </c>
      <c r="E40" s="4" t="s">
        <v>6</v>
      </c>
      <c r="F40" s="4">
        <v>5</v>
      </c>
      <c r="G40" s="4">
        <v>60236</v>
      </c>
      <c r="H40" s="4">
        <v>10</v>
      </c>
      <c r="I40" s="7">
        <v>46107</v>
      </c>
      <c r="J40" s="7">
        <v>46110</v>
      </c>
      <c r="K40" s="4" t="s">
        <v>79</v>
      </c>
      <c r="L40" s="4" t="str">
        <f t="shared" si="0"/>
        <v>Nit1039</v>
      </c>
      <c r="M40" s="4" t="str">
        <f t="shared" si="1"/>
        <v>Monor</v>
      </c>
      <c r="N40" s="4" t="str">
        <f t="shared" si="2"/>
        <v>Mor</v>
      </c>
    </row>
    <row r="41" spans="1:14" x14ac:dyDescent="0.3">
      <c r="A41" s="9">
        <v>1040</v>
      </c>
      <c r="B41" s="9" t="s">
        <v>47</v>
      </c>
      <c r="C41" s="4" t="s">
        <v>38</v>
      </c>
      <c r="D41" s="4" t="s">
        <v>24</v>
      </c>
      <c r="E41" s="4" t="s">
        <v>8</v>
      </c>
      <c r="F41" s="4">
        <v>10</v>
      </c>
      <c r="G41" s="4">
        <v>7531</v>
      </c>
      <c r="H41" s="4">
        <v>2</v>
      </c>
      <c r="I41" s="7">
        <v>46171</v>
      </c>
      <c r="J41" s="7">
        <v>46178</v>
      </c>
      <c r="K41" s="4" t="s">
        <v>80</v>
      </c>
      <c r="L41" s="4" t="str">
        <f t="shared" si="0"/>
        <v>Aja1040</v>
      </c>
      <c r="M41" s="4" t="str">
        <f t="shared" si="1"/>
        <v>Chair</v>
      </c>
      <c r="N41" s="4" t="str">
        <f t="shared" si="2"/>
        <v>C</v>
      </c>
    </row>
    <row r="42" spans="1:14" x14ac:dyDescent="0.3">
      <c r="A42" s="9">
        <v>1041</v>
      </c>
      <c r="B42" s="9" t="s">
        <v>52</v>
      </c>
      <c r="C42" s="4" t="s">
        <v>38</v>
      </c>
      <c r="D42" s="4" t="s">
        <v>20</v>
      </c>
      <c r="E42" s="4" t="s">
        <v>48</v>
      </c>
      <c r="F42" s="4">
        <v>9</v>
      </c>
      <c r="G42" s="4">
        <v>71</v>
      </c>
      <c r="H42" s="4">
        <v>7</v>
      </c>
      <c r="I42" s="7">
        <v>46185</v>
      </c>
      <c r="J42" s="7">
        <v>46188</v>
      </c>
      <c r="K42" s="4" t="s">
        <v>78</v>
      </c>
      <c r="L42" s="4" t="str">
        <f t="shared" si="0"/>
        <v>Man1041</v>
      </c>
      <c r="M42" s="4" t="str">
        <f t="shared" si="1"/>
        <v>Marer</v>
      </c>
      <c r="N42" s="4" t="str">
        <f t="shared" si="2"/>
        <v>Mr</v>
      </c>
    </row>
    <row r="43" spans="1:14" x14ac:dyDescent="0.3">
      <c r="A43" s="9">
        <v>1042</v>
      </c>
      <c r="B43" s="9" t="s">
        <v>44</v>
      </c>
      <c r="C43" s="4" t="s">
        <v>33</v>
      </c>
      <c r="D43" s="4" t="s">
        <v>20</v>
      </c>
      <c r="E43" s="4" t="s">
        <v>51</v>
      </c>
      <c r="F43" s="4">
        <v>16</v>
      </c>
      <c r="G43" s="4">
        <v>232</v>
      </c>
      <c r="H43" s="4">
        <v>0</v>
      </c>
      <c r="I43" s="7">
        <v>46081</v>
      </c>
      <c r="J43" s="7">
        <v>46088</v>
      </c>
      <c r="K43" s="4" t="s">
        <v>49</v>
      </c>
      <c r="L43" s="4" t="str">
        <f t="shared" si="0"/>
        <v>Kir1042</v>
      </c>
      <c r="M43" s="4" t="str">
        <f t="shared" si="1"/>
        <v>Diary</v>
      </c>
      <c r="N43" s="4" t="str">
        <f t="shared" si="2"/>
        <v>D</v>
      </c>
    </row>
    <row r="44" spans="1:14" x14ac:dyDescent="0.3">
      <c r="A44" s="9">
        <v>1043</v>
      </c>
      <c r="B44" s="9" t="s">
        <v>47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7">
        <v>46091</v>
      </c>
      <c r="J44" s="7">
        <v>46098</v>
      </c>
      <c r="K44" s="4" t="s">
        <v>49</v>
      </c>
      <c r="L44" s="4" t="str">
        <f t="shared" si="0"/>
        <v>Aja1043</v>
      </c>
      <c r="M44" s="4" t="str">
        <f t="shared" si="1"/>
        <v>Prier</v>
      </c>
      <c r="N44" s="4" t="str">
        <f t="shared" si="2"/>
        <v>Per</v>
      </c>
    </row>
    <row r="45" spans="1:14" x14ac:dyDescent="0.3">
      <c r="A45" s="9">
        <v>1044</v>
      </c>
      <c r="B45" s="9" t="s">
        <v>46</v>
      </c>
      <c r="C45" s="4" t="s">
        <v>38</v>
      </c>
      <c r="D45" s="4" t="s">
        <v>24</v>
      </c>
      <c r="E45" s="4" t="s">
        <v>7</v>
      </c>
      <c r="F45" s="4">
        <v>4</v>
      </c>
      <c r="G45" s="4">
        <v>14731</v>
      </c>
      <c r="H45" s="4">
        <v>2</v>
      </c>
      <c r="I45" s="7">
        <v>46173</v>
      </c>
      <c r="J45" s="7">
        <v>46176</v>
      </c>
      <c r="K45" s="4" t="s">
        <v>79</v>
      </c>
      <c r="L45" s="4" t="str">
        <f t="shared" si="0"/>
        <v>Nit1044</v>
      </c>
      <c r="M45" s="4" t="str">
        <f t="shared" si="1"/>
        <v>Dessk</v>
      </c>
      <c r="N45" s="4" t="str">
        <f t="shared" si="2"/>
        <v>D</v>
      </c>
    </row>
    <row r="46" spans="1:14" x14ac:dyDescent="0.3">
      <c r="A46" s="9">
        <v>1045</v>
      </c>
      <c r="B46" s="9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7">
        <v>46038</v>
      </c>
      <c r="J46" s="7">
        <v>46039</v>
      </c>
      <c r="K46" s="4" t="s">
        <v>49</v>
      </c>
      <c r="L46" s="4" t="str">
        <f t="shared" si="0"/>
        <v>Ash1045</v>
      </c>
      <c r="M46" s="4" t="str">
        <f t="shared" si="1"/>
        <v>Prier</v>
      </c>
      <c r="N46" s="4" t="str">
        <f t="shared" si="2"/>
        <v>Per</v>
      </c>
    </row>
    <row r="47" spans="1:14" x14ac:dyDescent="0.3">
      <c r="A47" s="9">
        <v>1046</v>
      </c>
      <c r="B47" s="9" t="s">
        <v>54</v>
      </c>
      <c r="C47" s="4" t="s">
        <v>38</v>
      </c>
      <c r="D47" s="4" t="s">
        <v>34</v>
      </c>
      <c r="E47" s="4" t="s">
        <v>6</v>
      </c>
      <c r="F47" s="4">
        <v>3</v>
      </c>
      <c r="G47" s="4">
        <v>19443</v>
      </c>
      <c r="H47" s="4">
        <v>10</v>
      </c>
      <c r="I47" s="7">
        <v>46153</v>
      </c>
      <c r="J47" s="7">
        <v>46158</v>
      </c>
      <c r="K47" s="4" t="s">
        <v>49</v>
      </c>
      <c r="L47" s="4" t="str">
        <f t="shared" si="0"/>
        <v>Sar1046</v>
      </c>
      <c r="M47" s="4" t="str">
        <f t="shared" si="1"/>
        <v>Monor</v>
      </c>
      <c r="N47" s="4" t="str">
        <f t="shared" si="2"/>
        <v>Mor</v>
      </c>
    </row>
    <row r="48" spans="1:14" x14ac:dyDescent="0.3">
      <c r="A48" s="9">
        <v>1047</v>
      </c>
      <c r="B48" s="9" t="s">
        <v>55</v>
      </c>
      <c r="C48" s="4" t="s">
        <v>38</v>
      </c>
      <c r="D48" s="4" t="s">
        <v>24</v>
      </c>
      <c r="E48" s="4" t="s">
        <v>11</v>
      </c>
      <c r="F48" s="4">
        <v>11</v>
      </c>
      <c r="G48" s="4">
        <v>9976</v>
      </c>
      <c r="H48" s="4">
        <v>12</v>
      </c>
      <c r="I48" s="7">
        <v>46200</v>
      </c>
      <c r="J48" s="7">
        <v>46209</v>
      </c>
      <c r="K48" s="4" t="s">
        <v>78</v>
      </c>
      <c r="L48" s="4" t="str">
        <f t="shared" si="0"/>
        <v>Roh1047</v>
      </c>
      <c r="M48" s="4" t="str">
        <f t="shared" si="1"/>
        <v>Cabet</v>
      </c>
      <c r="N48" s="4" t="str">
        <f t="shared" si="2"/>
        <v>Cet</v>
      </c>
    </row>
    <row r="49" spans="1:14" x14ac:dyDescent="0.3">
      <c r="A49" s="9">
        <v>1048</v>
      </c>
      <c r="B49" s="9" t="s">
        <v>56</v>
      </c>
      <c r="C49" s="4" t="s">
        <v>27</v>
      </c>
      <c r="D49" s="4" t="s">
        <v>34</v>
      </c>
      <c r="E49" s="4" t="s">
        <v>9</v>
      </c>
      <c r="F49" s="4">
        <v>14</v>
      </c>
      <c r="G49" s="4">
        <v>11762</v>
      </c>
      <c r="H49" s="4">
        <v>7</v>
      </c>
      <c r="I49" s="7">
        <v>46180</v>
      </c>
      <c r="J49" s="7">
        <v>46186</v>
      </c>
      <c r="K49" s="4" t="s">
        <v>80</v>
      </c>
      <c r="L49" s="4" t="str">
        <f t="shared" si="0"/>
        <v>Ani1048</v>
      </c>
      <c r="M49" s="4" t="str">
        <f t="shared" si="1"/>
        <v>Lapop</v>
      </c>
      <c r="N49" s="4" t="str">
        <f t="shared" si="2"/>
        <v>Lp</v>
      </c>
    </row>
    <row r="50" spans="1:14" x14ac:dyDescent="0.3">
      <c r="A50" s="9">
        <v>1049</v>
      </c>
      <c r="B50" s="9" t="s">
        <v>50</v>
      </c>
      <c r="C50" s="4" t="s">
        <v>27</v>
      </c>
      <c r="D50" s="4" t="s">
        <v>34</v>
      </c>
      <c r="E50" s="4" t="s">
        <v>6</v>
      </c>
      <c r="F50" s="4">
        <v>2</v>
      </c>
      <c r="G50" s="4">
        <v>40789</v>
      </c>
      <c r="H50" s="4">
        <v>0</v>
      </c>
      <c r="I50" s="7">
        <v>46102</v>
      </c>
      <c r="J50" s="7">
        <v>46108</v>
      </c>
      <c r="K50" s="4" t="s">
        <v>80</v>
      </c>
      <c r="L50" s="4" t="str">
        <f t="shared" si="0"/>
        <v>Kom1049</v>
      </c>
      <c r="M50" s="4" t="str">
        <f t="shared" si="1"/>
        <v>Monor</v>
      </c>
      <c r="N50" s="4" t="str">
        <f t="shared" si="2"/>
        <v>Mor</v>
      </c>
    </row>
    <row r="51" spans="1:14" x14ac:dyDescent="0.3">
      <c r="A51" s="9">
        <v>1050</v>
      </c>
      <c r="B51" s="9" t="s">
        <v>32</v>
      </c>
      <c r="C51" s="4" t="s">
        <v>27</v>
      </c>
      <c r="D51" s="4" t="s">
        <v>20</v>
      </c>
      <c r="E51" s="4" t="s">
        <v>51</v>
      </c>
      <c r="F51" s="4">
        <v>12</v>
      </c>
      <c r="G51" s="4">
        <v>360</v>
      </c>
      <c r="H51" s="4">
        <v>5</v>
      </c>
      <c r="I51" s="7">
        <v>46127</v>
      </c>
      <c r="J51" s="7">
        <v>46137</v>
      </c>
      <c r="K51" s="4" t="s">
        <v>49</v>
      </c>
      <c r="L51" s="4" t="str">
        <f t="shared" si="0"/>
        <v>Ash1050</v>
      </c>
      <c r="M51" s="4" t="str">
        <f t="shared" si="1"/>
        <v>Diary</v>
      </c>
      <c r="N51" s="4" t="str">
        <f t="shared" si="2"/>
        <v>D</v>
      </c>
    </row>
    <row r="52" spans="1:14" x14ac:dyDescent="0.3">
      <c r="A52" s="9">
        <v>1051</v>
      </c>
      <c r="B52" s="9" t="s">
        <v>55</v>
      </c>
      <c r="C52" s="4" t="s">
        <v>23</v>
      </c>
      <c r="D52" s="4" t="s">
        <v>20</v>
      </c>
      <c r="E52" s="4" t="s">
        <v>36</v>
      </c>
      <c r="F52" s="4">
        <v>12</v>
      </c>
      <c r="G52" s="4">
        <v>47</v>
      </c>
      <c r="H52" s="4">
        <v>2</v>
      </c>
      <c r="I52" s="7">
        <v>46037</v>
      </c>
      <c r="J52" s="7">
        <v>46045</v>
      </c>
      <c r="K52" s="4" t="s">
        <v>78</v>
      </c>
      <c r="L52" s="4" t="str">
        <f t="shared" si="0"/>
        <v>Roh1051</v>
      </c>
      <c r="M52" s="4" t="str">
        <f t="shared" si="1"/>
        <v>Staer</v>
      </c>
      <c r="N52" s="4" t="str">
        <f t="shared" si="2"/>
        <v>Ser</v>
      </c>
    </row>
    <row r="53" spans="1:14" x14ac:dyDescent="0.3">
      <c r="A53" s="9">
        <v>1052</v>
      </c>
      <c r="B53" s="9" t="s">
        <v>53</v>
      </c>
      <c r="C53" s="4" t="s">
        <v>19</v>
      </c>
      <c r="D53" s="4" t="s">
        <v>20</v>
      </c>
      <c r="E53" s="4" t="s">
        <v>21</v>
      </c>
      <c r="F53" s="4">
        <v>17</v>
      </c>
      <c r="G53" s="4">
        <v>172</v>
      </c>
      <c r="H53" s="4">
        <v>10</v>
      </c>
      <c r="I53" s="7">
        <v>46159</v>
      </c>
      <c r="J53" s="7">
        <v>46165</v>
      </c>
      <c r="K53" s="4" t="s">
        <v>79</v>
      </c>
      <c r="L53" s="4" t="str">
        <f t="shared" si="0"/>
        <v>Sne1052</v>
      </c>
      <c r="M53" s="4" t="str">
        <f t="shared" si="1"/>
        <v>Notok</v>
      </c>
      <c r="N53" s="4" t="str">
        <f t="shared" si="2"/>
        <v>Nook</v>
      </c>
    </row>
    <row r="54" spans="1:14" x14ac:dyDescent="0.3">
      <c r="A54" s="9">
        <v>1053</v>
      </c>
      <c r="B54" s="9" t="s">
        <v>22</v>
      </c>
      <c r="C54" s="4" t="s">
        <v>33</v>
      </c>
      <c r="D54" s="4" t="s">
        <v>24</v>
      </c>
      <c r="E54" s="4" t="s">
        <v>8</v>
      </c>
      <c r="F54" s="4">
        <v>1</v>
      </c>
      <c r="G54" s="4">
        <v>9749</v>
      </c>
      <c r="H54" s="4">
        <v>15</v>
      </c>
      <c r="I54" s="7">
        <v>46064</v>
      </c>
      <c r="J54" s="7">
        <v>46070</v>
      </c>
      <c r="K54" s="4" t="s">
        <v>80</v>
      </c>
      <c r="L54" s="4" t="str">
        <f t="shared" si="0"/>
        <v>Poo1053</v>
      </c>
      <c r="M54" s="4" t="str">
        <f t="shared" si="1"/>
        <v>Chair</v>
      </c>
      <c r="N54" s="4" t="str">
        <f t="shared" si="2"/>
        <v>C</v>
      </c>
    </row>
    <row r="55" spans="1:14" x14ac:dyDescent="0.3">
      <c r="A55" s="9">
        <v>1054</v>
      </c>
      <c r="B55" s="9" t="s">
        <v>28</v>
      </c>
      <c r="C55" s="4" t="s">
        <v>27</v>
      </c>
      <c r="D55" s="4" t="s">
        <v>24</v>
      </c>
      <c r="E55" s="4" t="s">
        <v>10</v>
      </c>
      <c r="F55" s="4">
        <v>8</v>
      </c>
      <c r="G55" s="4">
        <v>9798</v>
      </c>
      <c r="H55" s="4">
        <v>12</v>
      </c>
      <c r="I55" s="7">
        <v>46200</v>
      </c>
      <c r="J55" s="7">
        <v>46201</v>
      </c>
      <c r="K55" s="4" t="s">
        <v>81</v>
      </c>
      <c r="L55" s="4" t="str">
        <f t="shared" si="0"/>
        <v>Vik1054</v>
      </c>
      <c r="M55" s="4" t="str">
        <f t="shared" si="1"/>
        <v>Table</v>
      </c>
      <c r="N55" s="4" t="str">
        <f t="shared" si="2"/>
        <v>T</v>
      </c>
    </row>
    <row r="56" spans="1:14" x14ac:dyDescent="0.3">
      <c r="A56" s="9">
        <v>1055</v>
      </c>
      <c r="B56" s="9" t="s">
        <v>46</v>
      </c>
      <c r="C56" s="4" t="s">
        <v>19</v>
      </c>
      <c r="D56" s="4" t="s">
        <v>20</v>
      </c>
      <c r="E56" s="4" t="s">
        <v>37</v>
      </c>
      <c r="F56" s="4">
        <v>18</v>
      </c>
      <c r="G56" s="4">
        <v>185</v>
      </c>
      <c r="H56" s="4">
        <v>15</v>
      </c>
      <c r="I56" s="7">
        <v>46077</v>
      </c>
      <c r="J56" s="7">
        <v>46078</v>
      </c>
      <c r="K56" s="4" t="s">
        <v>78</v>
      </c>
      <c r="L56" s="4" t="str">
        <f t="shared" si="0"/>
        <v>Nit1055</v>
      </c>
      <c r="M56" s="4" t="str">
        <f t="shared" si="1"/>
        <v>Penck</v>
      </c>
      <c r="N56" s="4" t="str">
        <f t="shared" si="2"/>
        <v>Pack</v>
      </c>
    </row>
    <row r="57" spans="1:14" x14ac:dyDescent="0.3">
      <c r="A57" s="9">
        <v>1056</v>
      </c>
      <c r="B57" s="9" t="s">
        <v>18</v>
      </c>
      <c r="C57" s="4" t="s">
        <v>26</v>
      </c>
      <c r="D57" s="4" t="s">
        <v>24</v>
      </c>
      <c r="E57" s="4" t="s">
        <v>7</v>
      </c>
      <c r="F57" s="4">
        <v>3</v>
      </c>
      <c r="G57" s="4">
        <v>9771</v>
      </c>
      <c r="H57" s="4">
        <v>5</v>
      </c>
      <c r="I57" s="7">
        <v>46133</v>
      </c>
      <c r="J57" s="7">
        <v>46139</v>
      </c>
      <c r="K57" s="4" t="s">
        <v>80</v>
      </c>
      <c r="L57" s="4" t="str">
        <f t="shared" si="0"/>
        <v>Rit1056</v>
      </c>
      <c r="M57" s="4" t="str">
        <f t="shared" si="1"/>
        <v>Dessk</v>
      </c>
      <c r="N57" s="4" t="str">
        <f t="shared" si="2"/>
        <v>D</v>
      </c>
    </row>
    <row r="58" spans="1:14" x14ac:dyDescent="0.3">
      <c r="A58" s="9">
        <v>1057</v>
      </c>
      <c r="B58" s="9" t="s">
        <v>56</v>
      </c>
      <c r="C58" s="4" t="s">
        <v>26</v>
      </c>
      <c r="D58" s="4" t="s">
        <v>24</v>
      </c>
      <c r="E58" s="4" t="s">
        <v>8</v>
      </c>
      <c r="F58" s="4">
        <v>2</v>
      </c>
      <c r="G58" s="4">
        <v>9531</v>
      </c>
      <c r="H58" s="4">
        <v>15</v>
      </c>
      <c r="I58" s="7">
        <v>46067</v>
      </c>
      <c r="J58" s="7">
        <v>46076</v>
      </c>
      <c r="K58" s="4" t="s">
        <v>81</v>
      </c>
      <c r="L58" s="4" t="str">
        <f t="shared" si="0"/>
        <v>Ani1057</v>
      </c>
      <c r="M58" s="4" t="str">
        <f t="shared" si="1"/>
        <v>Chair</v>
      </c>
      <c r="N58" s="4" t="str">
        <f t="shared" si="2"/>
        <v>C</v>
      </c>
    </row>
    <row r="59" spans="1:14" x14ac:dyDescent="0.3">
      <c r="A59" s="9">
        <v>1058</v>
      </c>
      <c r="B59" s="9" t="s">
        <v>50</v>
      </c>
      <c r="C59" s="4" t="s">
        <v>38</v>
      </c>
      <c r="D59" s="4" t="s">
        <v>24</v>
      </c>
      <c r="E59" s="4" t="s">
        <v>8</v>
      </c>
      <c r="F59" s="4">
        <v>10</v>
      </c>
      <c r="G59" s="4">
        <v>5532</v>
      </c>
      <c r="H59" s="4">
        <v>7</v>
      </c>
      <c r="I59" s="7">
        <v>46074</v>
      </c>
      <c r="J59" s="7">
        <v>46084</v>
      </c>
      <c r="K59" s="4" t="s">
        <v>80</v>
      </c>
      <c r="L59" s="4" t="str">
        <f t="shared" si="0"/>
        <v>Kom1058</v>
      </c>
      <c r="M59" s="4" t="str">
        <f t="shared" si="1"/>
        <v>Chair</v>
      </c>
      <c r="N59" s="4" t="str">
        <f t="shared" si="2"/>
        <v>C</v>
      </c>
    </row>
    <row r="60" spans="1:14" x14ac:dyDescent="0.3">
      <c r="A60" s="9">
        <v>1059</v>
      </c>
      <c r="B60" s="9" t="s">
        <v>52</v>
      </c>
      <c r="C60" s="4" t="s">
        <v>27</v>
      </c>
      <c r="D60" s="4" t="s">
        <v>20</v>
      </c>
      <c r="E60" s="4" t="s">
        <v>48</v>
      </c>
      <c r="F60" s="4">
        <v>20</v>
      </c>
      <c r="G60" s="4">
        <v>112</v>
      </c>
      <c r="H60" s="4">
        <v>10</v>
      </c>
      <c r="I60" s="7">
        <v>46113</v>
      </c>
      <c r="J60" s="7">
        <v>46122</v>
      </c>
      <c r="K60" s="4" t="s">
        <v>81</v>
      </c>
      <c r="L60" s="4" t="str">
        <f t="shared" si="0"/>
        <v>Man1059</v>
      </c>
      <c r="M60" s="4" t="str">
        <f t="shared" si="1"/>
        <v>Marer</v>
      </c>
      <c r="N60" s="4" t="str">
        <f t="shared" si="2"/>
        <v>Mr</v>
      </c>
    </row>
    <row r="61" spans="1:14" x14ac:dyDescent="0.3">
      <c r="A61" s="9">
        <v>1060</v>
      </c>
      <c r="B61" s="9" t="s">
        <v>47</v>
      </c>
      <c r="C61" s="4" t="s">
        <v>19</v>
      </c>
      <c r="D61" s="4" t="s">
        <v>24</v>
      </c>
      <c r="E61" s="4" t="s">
        <v>43</v>
      </c>
      <c r="F61" s="4">
        <v>9</v>
      </c>
      <c r="G61" s="4">
        <v>9727</v>
      </c>
      <c r="H61" s="4">
        <v>2</v>
      </c>
      <c r="I61" s="7">
        <v>46024</v>
      </c>
      <c r="J61" s="7">
        <v>46030</v>
      </c>
      <c r="K61" s="4" t="s">
        <v>79</v>
      </c>
      <c r="L61" s="4" t="str">
        <f t="shared" si="0"/>
        <v>Aja1060</v>
      </c>
      <c r="M61" s="4" t="str">
        <f t="shared" si="1"/>
        <v>Boolf</v>
      </c>
      <c r="N61" s="4" t="str">
        <f t="shared" si="2"/>
        <v>Bhelf</v>
      </c>
    </row>
    <row r="62" spans="1:14" x14ac:dyDescent="0.3">
      <c r="A62" s="9">
        <v>1061</v>
      </c>
      <c r="B62" s="9" t="s">
        <v>54</v>
      </c>
      <c r="C62" s="4" t="s">
        <v>19</v>
      </c>
      <c r="D62" s="4" t="s">
        <v>34</v>
      </c>
      <c r="E62" s="4" t="s">
        <v>40</v>
      </c>
      <c r="F62" s="4">
        <v>16</v>
      </c>
      <c r="G62" s="4">
        <v>59084</v>
      </c>
      <c r="H62" s="4">
        <v>0</v>
      </c>
      <c r="I62" s="7">
        <v>46060</v>
      </c>
      <c r="J62" s="7">
        <v>46069</v>
      </c>
      <c r="K62" s="4" t="s">
        <v>79</v>
      </c>
      <c r="L62" s="4" t="str">
        <f t="shared" si="0"/>
        <v>Sar1061</v>
      </c>
      <c r="M62" s="4" t="str">
        <f t="shared" si="1"/>
        <v>Heaet</v>
      </c>
      <c r="N62" s="4" t="str">
        <f t="shared" si="2"/>
        <v>Het</v>
      </c>
    </row>
    <row r="63" spans="1:14" x14ac:dyDescent="0.3">
      <c r="A63" s="9">
        <v>1062</v>
      </c>
      <c r="B63" s="9" t="s">
        <v>39</v>
      </c>
      <c r="C63" s="4" t="s">
        <v>42</v>
      </c>
      <c r="D63" s="4" t="s">
        <v>24</v>
      </c>
      <c r="E63" s="4" t="s">
        <v>10</v>
      </c>
      <c r="F63" s="4">
        <v>8</v>
      </c>
      <c r="G63" s="4">
        <v>8360</v>
      </c>
      <c r="H63" s="4">
        <v>2</v>
      </c>
      <c r="I63" s="7">
        <v>46190</v>
      </c>
      <c r="J63" s="7">
        <v>46200</v>
      </c>
      <c r="K63" s="4" t="s">
        <v>81</v>
      </c>
      <c r="L63" s="4" t="str">
        <f t="shared" si="0"/>
        <v>Dee1062</v>
      </c>
      <c r="M63" s="4" t="str">
        <f t="shared" si="1"/>
        <v>Table</v>
      </c>
      <c r="N63" s="4" t="str">
        <f t="shared" si="2"/>
        <v>T</v>
      </c>
    </row>
    <row r="64" spans="1:14" x14ac:dyDescent="0.3">
      <c r="A64" s="9">
        <v>1063</v>
      </c>
      <c r="B64" s="9" t="s">
        <v>52</v>
      </c>
      <c r="C64" s="4" t="s">
        <v>26</v>
      </c>
      <c r="D64" s="4" t="s">
        <v>34</v>
      </c>
      <c r="E64" s="4" t="s">
        <v>6</v>
      </c>
      <c r="F64" s="4">
        <v>7</v>
      </c>
      <c r="G64" s="4">
        <v>66744</v>
      </c>
      <c r="H64" s="4">
        <v>7</v>
      </c>
      <c r="I64" s="7">
        <v>46148</v>
      </c>
      <c r="J64" s="7">
        <v>46155</v>
      </c>
      <c r="K64" s="4" t="s">
        <v>78</v>
      </c>
      <c r="L64" s="4" t="str">
        <f t="shared" si="0"/>
        <v>Man1063</v>
      </c>
      <c r="M64" s="4" t="str">
        <f t="shared" si="1"/>
        <v>Monor</v>
      </c>
      <c r="N64" s="4" t="str">
        <f t="shared" si="2"/>
        <v>Mor</v>
      </c>
    </row>
    <row r="65" spans="1:14" x14ac:dyDescent="0.3">
      <c r="A65" s="9">
        <v>1064</v>
      </c>
      <c r="B65" s="9" t="s">
        <v>28</v>
      </c>
      <c r="C65" s="4" t="s">
        <v>23</v>
      </c>
      <c r="D65" s="4" t="s">
        <v>20</v>
      </c>
      <c r="E65" s="4" t="s">
        <v>48</v>
      </c>
      <c r="F65" s="4">
        <v>20</v>
      </c>
      <c r="G65" s="4">
        <v>191</v>
      </c>
      <c r="H65" s="4">
        <v>7</v>
      </c>
      <c r="I65" s="7">
        <v>46185</v>
      </c>
      <c r="J65" s="7">
        <v>46195</v>
      </c>
      <c r="K65" s="4" t="s">
        <v>49</v>
      </c>
      <c r="L65" s="4" t="str">
        <f t="shared" si="0"/>
        <v>Vik1064</v>
      </c>
      <c r="M65" s="4" t="str">
        <f t="shared" si="1"/>
        <v>Marer</v>
      </c>
      <c r="N65" s="4" t="str">
        <f t="shared" si="2"/>
        <v>Mr</v>
      </c>
    </row>
    <row r="66" spans="1:14" x14ac:dyDescent="0.3">
      <c r="A66" s="9">
        <v>1065</v>
      </c>
      <c r="B66" s="9" t="s">
        <v>41</v>
      </c>
      <c r="C66" s="4" t="s">
        <v>42</v>
      </c>
      <c r="D66" s="4" t="s">
        <v>24</v>
      </c>
      <c r="E66" s="4" t="s">
        <v>43</v>
      </c>
      <c r="F66" s="4">
        <v>1</v>
      </c>
      <c r="G66" s="4">
        <v>7730</v>
      </c>
      <c r="H66" s="4">
        <v>5</v>
      </c>
      <c r="I66" s="7">
        <v>46192</v>
      </c>
      <c r="J66" s="7">
        <v>46195</v>
      </c>
      <c r="K66" s="4" t="s">
        <v>81</v>
      </c>
      <c r="L66" s="4" t="str">
        <f t="shared" si="0"/>
        <v>Nis1065</v>
      </c>
      <c r="M66" s="4" t="str">
        <f t="shared" si="1"/>
        <v>Boolf</v>
      </c>
      <c r="N66" s="4" t="str">
        <f t="shared" si="2"/>
        <v>Bhelf</v>
      </c>
    </row>
    <row r="67" spans="1:14" x14ac:dyDescent="0.3">
      <c r="A67" s="9">
        <v>1066</v>
      </c>
      <c r="B67" s="9" t="s">
        <v>45</v>
      </c>
      <c r="C67" s="4" t="s">
        <v>27</v>
      </c>
      <c r="D67" s="4" t="s">
        <v>24</v>
      </c>
      <c r="E67" s="4" t="s">
        <v>43</v>
      </c>
      <c r="F67" s="4">
        <v>15</v>
      </c>
      <c r="G67" s="4">
        <v>11987</v>
      </c>
      <c r="H67" s="4">
        <v>5</v>
      </c>
      <c r="I67" s="7">
        <v>46082</v>
      </c>
      <c r="J67" s="7">
        <v>46083</v>
      </c>
      <c r="K67" s="4" t="s">
        <v>78</v>
      </c>
      <c r="L67" s="4" t="str">
        <f t="shared" ref="L67:L101" si="3">_xlfn.CONCAT(LEFT(B67, 3), A67)</f>
        <v>Yas1066</v>
      </c>
      <c r="M67" s="4" t="str">
        <f t="shared" ref="M67:M101" si="4">_xlfn.CONCAT(LEFT(E67, 3), RIGHT(E67,2))</f>
        <v>Boolf</v>
      </c>
      <c r="N67" s="4" t="str">
        <f t="shared" ref="N67:N101" si="5">REPLACE(E67,2,4,"")</f>
        <v>Bhelf</v>
      </c>
    </row>
    <row r="68" spans="1:14" x14ac:dyDescent="0.3">
      <c r="A68" s="9">
        <v>1067</v>
      </c>
      <c r="B68" s="9" t="s">
        <v>32</v>
      </c>
      <c r="C68" s="4" t="s">
        <v>42</v>
      </c>
      <c r="D68" s="4" t="s">
        <v>24</v>
      </c>
      <c r="E68" s="4" t="s">
        <v>11</v>
      </c>
      <c r="F68" s="4">
        <v>14</v>
      </c>
      <c r="G68" s="4">
        <v>10869</v>
      </c>
      <c r="H68" s="4">
        <v>0</v>
      </c>
      <c r="I68" s="7">
        <v>46058</v>
      </c>
      <c r="J68" s="7">
        <v>46062</v>
      </c>
      <c r="K68" s="4" t="s">
        <v>49</v>
      </c>
      <c r="L68" s="4" t="str">
        <f t="shared" si="3"/>
        <v>Ash1067</v>
      </c>
      <c r="M68" s="4" t="str">
        <f t="shared" si="4"/>
        <v>Cabet</v>
      </c>
      <c r="N68" s="4" t="str">
        <f t="shared" si="5"/>
        <v>Cet</v>
      </c>
    </row>
    <row r="69" spans="1:14" x14ac:dyDescent="0.3">
      <c r="A69" s="9">
        <v>1068</v>
      </c>
      <c r="B69" s="9" t="s">
        <v>50</v>
      </c>
      <c r="C69" s="4" t="s">
        <v>42</v>
      </c>
      <c r="D69" s="4" t="s">
        <v>34</v>
      </c>
      <c r="E69" s="4" t="s">
        <v>9</v>
      </c>
      <c r="F69" s="4">
        <v>15</v>
      </c>
      <c r="G69" s="4">
        <v>14534</v>
      </c>
      <c r="H69" s="4">
        <v>5</v>
      </c>
      <c r="I69" s="7">
        <v>46196</v>
      </c>
      <c r="J69" s="7">
        <v>46199</v>
      </c>
      <c r="K69" s="4" t="s">
        <v>49</v>
      </c>
      <c r="L69" s="4" t="str">
        <f t="shared" si="3"/>
        <v>Kom1068</v>
      </c>
      <c r="M69" s="4" t="str">
        <f t="shared" si="4"/>
        <v>Lapop</v>
      </c>
      <c r="N69" s="4" t="str">
        <f t="shared" si="5"/>
        <v>Lp</v>
      </c>
    </row>
    <row r="70" spans="1:14" x14ac:dyDescent="0.3">
      <c r="A70" s="9">
        <v>1069</v>
      </c>
      <c r="B70" s="9" t="s">
        <v>50</v>
      </c>
      <c r="C70" s="4" t="s">
        <v>31</v>
      </c>
      <c r="D70" s="4" t="s">
        <v>24</v>
      </c>
      <c r="E70" s="4" t="s">
        <v>8</v>
      </c>
      <c r="F70" s="4">
        <v>9</v>
      </c>
      <c r="G70" s="4">
        <v>4415</v>
      </c>
      <c r="H70" s="4">
        <v>5</v>
      </c>
      <c r="I70" s="7">
        <v>46039</v>
      </c>
      <c r="J70" s="7">
        <v>46046</v>
      </c>
      <c r="K70" s="4" t="s">
        <v>78</v>
      </c>
      <c r="L70" s="4" t="str">
        <f t="shared" si="3"/>
        <v>Kom1069</v>
      </c>
      <c r="M70" s="4" t="str">
        <f t="shared" si="4"/>
        <v>Chair</v>
      </c>
      <c r="N70" s="4" t="str">
        <f t="shared" si="5"/>
        <v>C</v>
      </c>
    </row>
    <row r="71" spans="1:14" x14ac:dyDescent="0.3">
      <c r="A71" s="9">
        <v>1070</v>
      </c>
      <c r="B71" s="9" t="s">
        <v>50</v>
      </c>
      <c r="C71" s="4" t="s">
        <v>42</v>
      </c>
      <c r="D71" s="4" t="s">
        <v>20</v>
      </c>
      <c r="E71" s="4" t="s">
        <v>36</v>
      </c>
      <c r="F71" s="4">
        <v>10</v>
      </c>
      <c r="G71" s="4">
        <v>233</v>
      </c>
      <c r="H71" s="4">
        <v>7</v>
      </c>
      <c r="I71" s="7">
        <v>46076</v>
      </c>
      <c r="J71" s="7">
        <v>46077</v>
      </c>
      <c r="K71" s="4" t="s">
        <v>49</v>
      </c>
      <c r="L71" s="4" t="str">
        <f t="shared" si="3"/>
        <v>Kom1070</v>
      </c>
      <c r="M71" s="4" t="str">
        <f t="shared" si="4"/>
        <v>Staer</v>
      </c>
      <c r="N71" s="4" t="str">
        <f t="shared" si="5"/>
        <v>Ser</v>
      </c>
    </row>
    <row r="72" spans="1:14" x14ac:dyDescent="0.3">
      <c r="A72" s="9">
        <v>1071</v>
      </c>
      <c r="B72" s="9" t="s">
        <v>56</v>
      </c>
      <c r="C72" s="4" t="s">
        <v>26</v>
      </c>
      <c r="D72" s="4" t="s">
        <v>34</v>
      </c>
      <c r="E72" s="4" t="s">
        <v>12</v>
      </c>
      <c r="F72" s="4">
        <v>18</v>
      </c>
      <c r="G72" s="4">
        <v>32197</v>
      </c>
      <c r="H72" s="4">
        <v>5</v>
      </c>
      <c r="I72" s="7">
        <v>46129</v>
      </c>
      <c r="J72" s="7">
        <v>46137</v>
      </c>
      <c r="K72" s="4" t="s">
        <v>79</v>
      </c>
      <c r="L72" s="4" t="str">
        <f t="shared" si="3"/>
        <v>Ani1071</v>
      </c>
      <c r="M72" s="4" t="str">
        <f t="shared" si="4"/>
        <v>Mouse</v>
      </c>
      <c r="N72" s="4" t="str">
        <f t="shared" si="5"/>
        <v>M</v>
      </c>
    </row>
    <row r="73" spans="1:14" x14ac:dyDescent="0.3">
      <c r="A73" s="9">
        <v>1072</v>
      </c>
      <c r="B73" s="9" t="s">
        <v>22</v>
      </c>
      <c r="C73" s="4" t="s">
        <v>27</v>
      </c>
      <c r="D73" s="4" t="s">
        <v>34</v>
      </c>
      <c r="E73" s="4" t="s">
        <v>12</v>
      </c>
      <c r="F73" s="4">
        <v>20</v>
      </c>
      <c r="G73" s="4">
        <v>58779</v>
      </c>
      <c r="H73" s="4">
        <v>0</v>
      </c>
      <c r="I73" s="7">
        <v>46035</v>
      </c>
      <c r="J73" s="7">
        <v>46036</v>
      </c>
      <c r="K73" s="4" t="s">
        <v>80</v>
      </c>
      <c r="L73" s="4" t="str">
        <f t="shared" si="3"/>
        <v>Poo1072</v>
      </c>
      <c r="M73" s="4" t="str">
        <f t="shared" si="4"/>
        <v>Mouse</v>
      </c>
      <c r="N73" s="4" t="str">
        <f t="shared" si="5"/>
        <v>M</v>
      </c>
    </row>
    <row r="74" spans="1:14" x14ac:dyDescent="0.3">
      <c r="A74" s="9">
        <v>1073</v>
      </c>
      <c r="B74" s="9" t="s">
        <v>55</v>
      </c>
      <c r="C74" s="4" t="s">
        <v>23</v>
      </c>
      <c r="D74" s="4" t="s">
        <v>24</v>
      </c>
      <c r="E74" s="4" t="s">
        <v>11</v>
      </c>
      <c r="F74" s="4">
        <v>4</v>
      </c>
      <c r="G74" s="4">
        <v>2453</v>
      </c>
      <c r="H74" s="4">
        <v>7</v>
      </c>
      <c r="I74" s="7">
        <v>46126</v>
      </c>
      <c r="J74" s="7">
        <v>46129</v>
      </c>
      <c r="K74" s="4" t="s">
        <v>81</v>
      </c>
      <c r="L74" s="4" t="str">
        <f t="shared" si="3"/>
        <v>Roh1073</v>
      </c>
      <c r="M74" s="4" t="str">
        <f t="shared" si="4"/>
        <v>Cabet</v>
      </c>
      <c r="N74" s="4" t="str">
        <f t="shared" si="5"/>
        <v>Cet</v>
      </c>
    </row>
    <row r="75" spans="1:14" x14ac:dyDescent="0.3">
      <c r="A75" s="9">
        <v>1074</v>
      </c>
      <c r="B75" s="9" t="s">
        <v>28</v>
      </c>
      <c r="C75" s="4" t="s">
        <v>31</v>
      </c>
      <c r="D75" s="4" t="s">
        <v>20</v>
      </c>
      <c r="E75" s="4" t="s">
        <v>48</v>
      </c>
      <c r="F75" s="4">
        <v>11</v>
      </c>
      <c r="G75" s="4">
        <v>390</v>
      </c>
      <c r="H75" s="4">
        <v>15</v>
      </c>
      <c r="I75" s="7">
        <v>46114</v>
      </c>
      <c r="J75" s="7">
        <v>46123</v>
      </c>
      <c r="K75" s="4" t="s">
        <v>49</v>
      </c>
      <c r="L75" s="4" t="str">
        <f t="shared" si="3"/>
        <v>Vik1074</v>
      </c>
      <c r="M75" s="4" t="str">
        <f t="shared" si="4"/>
        <v>Marer</v>
      </c>
      <c r="N75" s="4" t="str">
        <f t="shared" si="5"/>
        <v>Mr</v>
      </c>
    </row>
    <row r="76" spans="1:14" x14ac:dyDescent="0.3">
      <c r="A76" s="9">
        <v>1075</v>
      </c>
      <c r="B76" s="9" t="s">
        <v>41</v>
      </c>
      <c r="C76" s="4" t="s">
        <v>42</v>
      </c>
      <c r="D76" s="4" t="s">
        <v>34</v>
      </c>
      <c r="E76" s="4" t="s">
        <v>12</v>
      </c>
      <c r="F76" s="4">
        <v>4</v>
      </c>
      <c r="G76" s="4">
        <v>64773</v>
      </c>
      <c r="H76" s="4">
        <v>10</v>
      </c>
      <c r="I76" s="7">
        <v>46185</v>
      </c>
      <c r="J76" s="7">
        <v>46186</v>
      </c>
      <c r="K76" s="4" t="s">
        <v>81</v>
      </c>
      <c r="L76" s="4" t="str">
        <f t="shared" si="3"/>
        <v>Nis1075</v>
      </c>
      <c r="M76" s="4" t="str">
        <f t="shared" si="4"/>
        <v>Mouse</v>
      </c>
      <c r="N76" s="4" t="str">
        <f t="shared" si="5"/>
        <v>M</v>
      </c>
    </row>
    <row r="77" spans="1:14" x14ac:dyDescent="0.3">
      <c r="A77" s="9">
        <v>1076</v>
      </c>
      <c r="B77" s="9" t="s">
        <v>49</v>
      </c>
      <c r="C77" s="4" t="s">
        <v>23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7">
        <v>46045</v>
      </c>
      <c r="J77" s="7">
        <v>46055</v>
      </c>
      <c r="K77" s="4" t="s">
        <v>49</v>
      </c>
      <c r="L77" s="4" t="str">
        <f t="shared" si="3"/>
        <v>Pri1076</v>
      </c>
      <c r="M77" s="4" t="str">
        <f t="shared" si="4"/>
        <v>Prier</v>
      </c>
      <c r="N77" s="4" t="str">
        <f t="shared" si="5"/>
        <v>Per</v>
      </c>
    </row>
    <row r="78" spans="1:14" x14ac:dyDescent="0.3">
      <c r="A78" s="9">
        <v>1077</v>
      </c>
      <c r="B78" s="9" t="s">
        <v>53</v>
      </c>
      <c r="C78" s="4" t="s">
        <v>27</v>
      </c>
      <c r="D78" s="4" t="s">
        <v>20</v>
      </c>
      <c r="E78" s="4" t="s">
        <v>21</v>
      </c>
      <c r="F78" s="4">
        <v>1</v>
      </c>
      <c r="G78" s="4">
        <v>123</v>
      </c>
      <c r="H78" s="4">
        <v>10</v>
      </c>
      <c r="I78" s="7">
        <v>46113</v>
      </c>
      <c r="J78" s="7">
        <v>46121</v>
      </c>
      <c r="K78" s="4" t="s">
        <v>81</v>
      </c>
      <c r="L78" s="4" t="str">
        <f t="shared" si="3"/>
        <v>Sne1077</v>
      </c>
      <c r="M78" s="4" t="str">
        <f t="shared" si="4"/>
        <v>Notok</v>
      </c>
      <c r="N78" s="4" t="str">
        <f t="shared" si="5"/>
        <v>Nook</v>
      </c>
    </row>
    <row r="79" spans="1:14" x14ac:dyDescent="0.3">
      <c r="A79" s="9">
        <v>1078</v>
      </c>
      <c r="B79" s="9" t="s">
        <v>50</v>
      </c>
      <c r="C79" s="4" t="s">
        <v>23</v>
      </c>
      <c r="D79" s="4" t="s">
        <v>34</v>
      </c>
      <c r="E79" s="4" t="s">
        <v>5</v>
      </c>
      <c r="F79" s="4">
        <v>11</v>
      </c>
      <c r="G79" s="4">
        <v>24278</v>
      </c>
      <c r="H79" s="4">
        <v>12</v>
      </c>
      <c r="I79" s="7">
        <v>46084</v>
      </c>
      <c r="J79" s="7">
        <v>46090</v>
      </c>
      <c r="K79" s="4" t="s">
        <v>49</v>
      </c>
      <c r="L79" s="4" t="str">
        <f t="shared" si="3"/>
        <v>Kom1078</v>
      </c>
      <c r="M79" s="4" t="str">
        <f t="shared" si="4"/>
        <v>Keyrd</v>
      </c>
      <c r="N79" s="4" t="str">
        <f t="shared" si="5"/>
        <v>Kard</v>
      </c>
    </row>
    <row r="80" spans="1:14" x14ac:dyDescent="0.3">
      <c r="A80" s="9">
        <v>1079</v>
      </c>
      <c r="B80" s="9" t="s">
        <v>28</v>
      </c>
      <c r="C80" s="4" t="s">
        <v>38</v>
      </c>
      <c r="D80" s="4" t="s">
        <v>34</v>
      </c>
      <c r="E80" s="4" t="s">
        <v>40</v>
      </c>
      <c r="F80" s="4">
        <v>19</v>
      </c>
      <c r="G80" s="4">
        <v>48956</v>
      </c>
      <c r="H80" s="4">
        <v>12</v>
      </c>
      <c r="I80" s="7">
        <v>46170</v>
      </c>
      <c r="J80" s="7">
        <v>46177</v>
      </c>
      <c r="K80" s="4" t="s">
        <v>81</v>
      </c>
      <c r="L80" s="4" t="str">
        <f t="shared" si="3"/>
        <v>Vik1079</v>
      </c>
      <c r="M80" s="4" t="str">
        <f t="shared" si="4"/>
        <v>Heaet</v>
      </c>
      <c r="N80" s="4" t="str">
        <f t="shared" si="5"/>
        <v>Het</v>
      </c>
    </row>
    <row r="81" spans="1:14" x14ac:dyDescent="0.3">
      <c r="A81" s="9">
        <v>1080</v>
      </c>
      <c r="B81" s="9" t="s">
        <v>25</v>
      </c>
      <c r="C81" s="4" t="s">
        <v>26</v>
      </c>
      <c r="D81" s="4" t="s">
        <v>34</v>
      </c>
      <c r="E81" s="4" t="s">
        <v>40</v>
      </c>
      <c r="F81" s="4">
        <v>12</v>
      </c>
      <c r="G81" s="4">
        <v>54161</v>
      </c>
      <c r="H81" s="4">
        <v>15</v>
      </c>
      <c r="I81" s="7">
        <v>46133</v>
      </c>
      <c r="J81" s="7">
        <v>46143</v>
      </c>
      <c r="K81" s="4" t="s">
        <v>80</v>
      </c>
      <c r="L81" s="4" t="str">
        <f t="shared" si="3"/>
        <v>Mee1080</v>
      </c>
      <c r="M81" s="4" t="str">
        <f t="shared" si="4"/>
        <v>Heaet</v>
      </c>
      <c r="N81" s="4" t="str">
        <f t="shared" si="5"/>
        <v>Het</v>
      </c>
    </row>
    <row r="82" spans="1:14" x14ac:dyDescent="0.3">
      <c r="A82" s="9">
        <v>1081</v>
      </c>
      <c r="B82" s="9" t="s">
        <v>45</v>
      </c>
      <c r="C82" s="4" t="s">
        <v>19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7">
        <v>46058</v>
      </c>
      <c r="J82" s="7">
        <v>46060</v>
      </c>
      <c r="K82" s="4" t="s">
        <v>81</v>
      </c>
      <c r="L82" s="4" t="str">
        <f t="shared" si="3"/>
        <v>Yas1081</v>
      </c>
      <c r="M82" s="4" t="str">
        <f t="shared" si="4"/>
        <v>Prier</v>
      </c>
      <c r="N82" s="4" t="str">
        <f t="shared" si="5"/>
        <v>Per</v>
      </c>
    </row>
    <row r="83" spans="1:14" x14ac:dyDescent="0.3">
      <c r="A83" s="9">
        <v>1082</v>
      </c>
      <c r="B83" s="9" t="s">
        <v>25</v>
      </c>
      <c r="C83" s="4" t="s">
        <v>19</v>
      </c>
      <c r="D83" s="4" t="s">
        <v>20</v>
      </c>
      <c r="E83" s="4" t="s">
        <v>21</v>
      </c>
      <c r="F83" s="4">
        <v>7</v>
      </c>
      <c r="G83" s="4">
        <v>133</v>
      </c>
      <c r="H83" s="4">
        <v>10</v>
      </c>
      <c r="I83" s="7">
        <v>46075</v>
      </c>
      <c r="J83" s="7">
        <v>46085</v>
      </c>
      <c r="K83" s="4" t="s">
        <v>81</v>
      </c>
      <c r="L83" s="4" t="str">
        <f t="shared" si="3"/>
        <v>Mee1082</v>
      </c>
      <c r="M83" s="4" t="str">
        <f t="shared" si="4"/>
        <v>Notok</v>
      </c>
      <c r="N83" s="4" t="str">
        <f t="shared" si="5"/>
        <v>Nook</v>
      </c>
    </row>
    <row r="84" spans="1:14" x14ac:dyDescent="0.3">
      <c r="A84" s="9">
        <v>1083</v>
      </c>
      <c r="B84" s="9" t="s">
        <v>53</v>
      </c>
      <c r="C84" s="4" t="s">
        <v>33</v>
      </c>
      <c r="D84" s="4" t="s">
        <v>20</v>
      </c>
      <c r="E84" s="4" t="s">
        <v>51</v>
      </c>
      <c r="F84" s="4">
        <v>4</v>
      </c>
      <c r="G84" s="4">
        <v>397</v>
      </c>
      <c r="H84" s="4">
        <v>7</v>
      </c>
      <c r="I84" s="7">
        <v>46185</v>
      </c>
      <c r="J84" s="7">
        <v>46193</v>
      </c>
      <c r="K84" s="4" t="s">
        <v>78</v>
      </c>
      <c r="L84" s="4" t="str">
        <f t="shared" si="3"/>
        <v>Sne1083</v>
      </c>
      <c r="M84" s="4" t="str">
        <f t="shared" si="4"/>
        <v>Diary</v>
      </c>
      <c r="N84" s="4" t="str">
        <f t="shared" si="5"/>
        <v>D</v>
      </c>
    </row>
    <row r="85" spans="1:14" x14ac:dyDescent="0.3">
      <c r="A85" s="9">
        <v>1084</v>
      </c>
      <c r="B85" s="9" t="s">
        <v>47</v>
      </c>
      <c r="C85" s="4" t="s">
        <v>31</v>
      </c>
      <c r="D85" s="4" t="s">
        <v>24</v>
      </c>
      <c r="E85" s="4" t="s">
        <v>8</v>
      </c>
      <c r="F85" s="4">
        <v>4</v>
      </c>
      <c r="G85" s="4">
        <v>6901</v>
      </c>
      <c r="H85" s="4">
        <v>10</v>
      </c>
      <c r="I85" s="7">
        <v>46047</v>
      </c>
      <c r="J85" s="7">
        <v>46057</v>
      </c>
      <c r="K85" s="4" t="s">
        <v>79</v>
      </c>
      <c r="L85" s="4" t="str">
        <f t="shared" si="3"/>
        <v>Aja1084</v>
      </c>
      <c r="M85" s="4" t="str">
        <f t="shared" si="4"/>
        <v>Chair</v>
      </c>
      <c r="N85" s="4" t="str">
        <f t="shared" si="5"/>
        <v>C</v>
      </c>
    </row>
    <row r="86" spans="1:14" x14ac:dyDescent="0.3">
      <c r="A86" s="9">
        <v>1085</v>
      </c>
      <c r="B86" s="9" t="s">
        <v>32</v>
      </c>
      <c r="C86" s="4" t="s">
        <v>38</v>
      </c>
      <c r="D86" s="4" t="s">
        <v>34</v>
      </c>
      <c r="E86" s="4" t="s">
        <v>9</v>
      </c>
      <c r="F86" s="4">
        <v>19</v>
      </c>
      <c r="G86" s="4">
        <v>45307</v>
      </c>
      <c r="H86" s="4">
        <v>12</v>
      </c>
      <c r="I86" s="7">
        <v>46146</v>
      </c>
      <c r="J86" s="7">
        <v>46150</v>
      </c>
      <c r="K86" s="4" t="s">
        <v>80</v>
      </c>
      <c r="L86" s="4" t="str">
        <f t="shared" si="3"/>
        <v>Ash1085</v>
      </c>
      <c r="M86" s="4" t="str">
        <f t="shared" si="4"/>
        <v>Lapop</v>
      </c>
      <c r="N86" s="4" t="str">
        <f t="shared" si="5"/>
        <v>Lp</v>
      </c>
    </row>
    <row r="87" spans="1:14" x14ac:dyDescent="0.3">
      <c r="A87" s="9">
        <v>1086</v>
      </c>
      <c r="B87" s="9" t="s">
        <v>32</v>
      </c>
      <c r="C87" s="4" t="s">
        <v>19</v>
      </c>
      <c r="D87" s="4" t="s">
        <v>20</v>
      </c>
      <c r="E87" s="4" t="s">
        <v>51</v>
      </c>
      <c r="F87" s="4">
        <v>15</v>
      </c>
      <c r="G87" s="4">
        <v>40</v>
      </c>
      <c r="H87" s="4">
        <v>10</v>
      </c>
      <c r="I87" s="7">
        <v>46045</v>
      </c>
      <c r="J87" s="7">
        <v>46049</v>
      </c>
      <c r="K87" s="4" t="s">
        <v>80</v>
      </c>
      <c r="L87" s="4" t="str">
        <f t="shared" si="3"/>
        <v>Ash1086</v>
      </c>
      <c r="M87" s="4" t="str">
        <f t="shared" si="4"/>
        <v>Diary</v>
      </c>
      <c r="N87" s="4" t="str">
        <f t="shared" si="5"/>
        <v>D</v>
      </c>
    </row>
    <row r="88" spans="1:14" x14ac:dyDescent="0.3">
      <c r="A88" s="9">
        <v>1087</v>
      </c>
      <c r="B88" s="9" t="s">
        <v>18</v>
      </c>
      <c r="C88" s="4" t="s">
        <v>31</v>
      </c>
      <c r="D88" s="4" t="s">
        <v>20</v>
      </c>
      <c r="E88" s="4" t="s">
        <v>37</v>
      </c>
      <c r="F88" s="4">
        <v>13</v>
      </c>
      <c r="G88" s="4">
        <v>387</v>
      </c>
      <c r="H88" s="4">
        <v>7</v>
      </c>
      <c r="I88" s="7">
        <v>46171</v>
      </c>
      <c r="J88" s="7">
        <v>46176</v>
      </c>
      <c r="K88" s="4" t="s">
        <v>80</v>
      </c>
      <c r="L88" s="4" t="str">
        <f t="shared" si="3"/>
        <v>Rit1087</v>
      </c>
      <c r="M88" s="4" t="str">
        <f t="shared" si="4"/>
        <v>Penck</v>
      </c>
      <c r="N88" s="4" t="str">
        <f t="shared" si="5"/>
        <v>Pack</v>
      </c>
    </row>
    <row r="89" spans="1:14" x14ac:dyDescent="0.3">
      <c r="A89" s="9">
        <v>1088</v>
      </c>
      <c r="B89" s="9" t="s">
        <v>39</v>
      </c>
      <c r="C89" s="4" t="s">
        <v>33</v>
      </c>
      <c r="D89" s="4" t="s">
        <v>34</v>
      </c>
      <c r="E89" s="4" t="s">
        <v>40</v>
      </c>
      <c r="F89" s="4">
        <v>20</v>
      </c>
      <c r="G89" s="4">
        <v>41165</v>
      </c>
      <c r="H89" s="4">
        <v>0</v>
      </c>
      <c r="I89" s="7">
        <v>46068</v>
      </c>
      <c r="J89" s="7">
        <v>46069</v>
      </c>
      <c r="K89" s="4" t="s">
        <v>79</v>
      </c>
      <c r="L89" s="4" t="str">
        <f t="shared" si="3"/>
        <v>Dee1088</v>
      </c>
      <c r="M89" s="4" t="str">
        <f t="shared" si="4"/>
        <v>Heaet</v>
      </c>
      <c r="N89" s="4" t="str">
        <f t="shared" si="5"/>
        <v>Het</v>
      </c>
    </row>
    <row r="90" spans="1:14" x14ac:dyDescent="0.3">
      <c r="A90" s="9">
        <v>1089</v>
      </c>
      <c r="B90" s="9" t="s">
        <v>44</v>
      </c>
      <c r="C90" s="4" t="s">
        <v>19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7">
        <v>46066</v>
      </c>
      <c r="J90" s="7">
        <v>46071</v>
      </c>
      <c r="K90" s="4" t="s">
        <v>80</v>
      </c>
      <c r="L90" s="4" t="str">
        <f t="shared" si="3"/>
        <v>Kir1089</v>
      </c>
      <c r="M90" s="4" t="str">
        <f t="shared" si="4"/>
        <v>Prier</v>
      </c>
      <c r="N90" s="4" t="str">
        <f t="shared" si="5"/>
        <v>Per</v>
      </c>
    </row>
    <row r="91" spans="1:14" x14ac:dyDescent="0.3">
      <c r="A91" s="9">
        <v>1090</v>
      </c>
      <c r="B91" s="9" t="s">
        <v>47</v>
      </c>
      <c r="C91" s="4" t="s">
        <v>31</v>
      </c>
      <c r="D91" s="4" t="s">
        <v>34</v>
      </c>
      <c r="E91" s="4" t="s">
        <v>6</v>
      </c>
      <c r="F91" s="4">
        <v>19</v>
      </c>
      <c r="G91" s="4">
        <v>66139</v>
      </c>
      <c r="H91" s="4">
        <v>5</v>
      </c>
      <c r="I91" s="7">
        <v>46088</v>
      </c>
      <c r="J91" s="7">
        <v>46095</v>
      </c>
      <c r="K91" s="4" t="s">
        <v>80</v>
      </c>
      <c r="L91" s="4" t="str">
        <f t="shared" si="3"/>
        <v>Aja1090</v>
      </c>
      <c r="M91" s="4" t="str">
        <f t="shared" si="4"/>
        <v>Monor</v>
      </c>
      <c r="N91" s="4" t="str">
        <f t="shared" si="5"/>
        <v>Mor</v>
      </c>
    </row>
    <row r="92" spans="1:14" x14ac:dyDescent="0.3">
      <c r="A92" s="9">
        <v>1091</v>
      </c>
      <c r="B92" s="9" t="s">
        <v>53</v>
      </c>
      <c r="C92" s="4" t="s">
        <v>23</v>
      </c>
      <c r="D92" s="4" t="s">
        <v>20</v>
      </c>
      <c r="E92" s="4" t="s">
        <v>51</v>
      </c>
      <c r="F92" s="4">
        <v>2</v>
      </c>
      <c r="G92" s="4">
        <v>305</v>
      </c>
      <c r="H92" s="4">
        <v>0</v>
      </c>
      <c r="I92" s="7">
        <v>46136</v>
      </c>
      <c r="J92" s="7">
        <v>46144</v>
      </c>
      <c r="K92" s="4" t="s">
        <v>78</v>
      </c>
      <c r="L92" s="4" t="str">
        <f t="shared" si="3"/>
        <v>Sne1091</v>
      </c>
      <c r="M92" s="4" t="str">
        <f t="shared" si="4"/>
        <v>Diary</v>
      </c>
      <c r="N92" s="4" t="str">
        <f t="shared" si="5"/>
        <v>D</v>
      </c>
    </row>
    <row r="93" spans="1:14" x14ac:dyDescent="0.3">
      <c r="A93" s="9">
        <v>1092</v>
      </c>
      <c r="B93" s="9" t="s">
        <v>25</v>
      </c>
      <c r="C93" s="4" t="s">
        <v>26</v>
      </c>
      <c r="D93" s="4" t="s">
        <v>34</v>
      </c>
      <c r="E93" s="4" t="s">
        <v>40</v>
      </c>
      <c r="F93" s="4">
        <v>9</v>
      </c>
      <c r="G93" s="4">
        <v>23438</v>
      </c>
      <c r="H93" s="4">
        <v>2</v>
      </c>
      <c r="I93" s="7">
        <v>46049</v>
      </c>
      <c r="J93" s="7">
        <v>46055</v>
      </c>
      <c r="K93" s="4" t="s">
        <v>49</v>
      </c>
      <c r="L93" s="4" t="str">
        <f t="shared" si="3"/>
        <v>Mee1092</v>
      </c>
      <c r="M93" s="4" t="str">
        <f t="shared" si="4"/>
        <v>Heaet</v>
      </c>
      <c r="N93" s="4" t="str">
        <f t="shared" si="5"/>
        <v>Het</v>
      </c>
    </row>
    <row r="94" spans="1:14" x14ac:dyDescent="0.3">
      <c r="A94" s="9">
        <v>1093</v>
      </c>
      <c r="B94" s="9" t="s">
        <v>45</v>
      </c>
      <c r="C94" s="4" t="s">
        <v>27</v>
      </c>
      <c r="D94" s="4" t="s">
        <v>24</v>
      </c>
      <c r="E94" s="4" t="s">
        <v>10</v>
      </c>
      <c r="F94" s="4">
        <v>6</v>
      </c>
      <c r="G94" s="4">
        <v>8224</v>
      </c>
      <c r="H94" s="4">
        <v>15</v>
      </c>
      <c r="I94" s="7">
        <v>46175</v>
      </c>
      <c r="J94" s="7">
        <v>46185</v>
      </c>
      <c r="K94" s="4" t="s">
        <v>81</v>
      </c>
      <c r="L94" s="4" t="str">
        <f t="shared" si="3"/>
        <v>Yas1093</v>
      </c>
      <c r="M94" s="4" t="str">
        <f t="shared" si="4"/>
        <v>Table</v>
      </c>
      <c r="N94" s="4" t="str">
        <f t="shared" si="5"/>
        <v>T</v>
      </c>
    </row>
    <row r="95" spans="1:14" x14ac:dyDescent="0.3">
      <c r="A95" s="9">
        <v>1094</v>
      </c>
      <c r="B95" s="9" t="s">
        <v>45</v>
      </c>
      <c r="C95" s="4" t="s">
        <v>42</v>
      </c>
      <c r="D95" s="4" t="s">
        <v>34</v>
      </c>
      <c r="E95" s="4" t="s">
        <v>12</v>
      </c>
      <c r="F95" s="4">
        <v>4</v>
      </c>
      <c r="G95" s="4">
        <v>7073</v>
      </c>
      <c r="H95" s="4">
        <v>0</v>
      </c>
      <c r="I95" s="7">
        <v>46101</v>
      </c>
      <c r="J95" s="7">
        <v>46105</v>
      </c>
      <c r="K95" s="4" t="s">
        <v>49</v>
      </c>
      <c r="L95" s="4" t="str">
        <f t="shared" si="3"/>
        <v>Yas1094</v>
      </c>
      <c r="M95" s="4" t="str">
        <f t="shared" si="4"/>
        <v>Mouse</v>
      </c>
      <c r="N95" s="4" t="str">
        <f t="shared" si="5"/>
        <v>M</v>
      </c>
    </row>
    <row r="96" spans="1:14" x14ac:dyDescent="0.3">
      <c r="A96" s="9">
        <v>1095</v>
      </c>
      <c r="B96" s="9" t="s">
        <v>45</v>
      </c>
      <c r="C96" s="4" t="s">
        <v>27</v>
      </c>
      <c r="D96" s="4" t="s">
        <v>34</v>
      </c>
      <c r="E96" s="4" t="s">
        <v>40</v>
      </c>
      <c r="F96" s="4">
        <v>18</v>
      </c>
      <c r="G96" s="4">
        <v>587</v>
      </c>
      <c r="H96" s="4">
        <v>2</v>
      </c>
      <c r="I96" s="7">
        <v>46167</v>
      </c>
      <c r="J96" s="7">
        <v>46171</v>
      </c>
      <c r="K96" s="4" t="s">
        <v>79</v>
      </c>
      <c r="L96" s="4" t="str">
        <f t="shared" si="3"/>
        <v>Yas1095</v>
      </c>
      <c r="M96" s="4" t="str">
        <f t="shared" si="4"/>
        <v>Heaet</v>
      </c>
      <c r="N96" s="4" t="str">
        <f t="shared" si="5"/>
        <v>Het</v>
      </c>
    </row>
    <row r="97" spans="1:14" x14ac:dyDescent="0.3">
      <c r="A97" s="9">
        <v>1096</v>
      </c>
      <c r="B97" s="9" t="s">
        <v>47</v>
      </c>
      <c r="C97" s="4" t="s">
        <v>23</v>
      </c>
      <c r="D97" s="4" t="s">
        <v>24</v>
      </c>
      <c r="E97" s="4" t="s">
        <v>10</v>
      </c>
      <c r="F97" s="4">
        <v>15</v>
      </c>
      <c r="G97" s="4">
        <v>14724</v>
      </c>
      <c r="H97" s="4">
        <v>15</v>
      </c>
      <c r="I97" s="7">
        <v>46054</v>
      </c>
      <c r="J97" s="7">
        <v>46061</v>
      </c>
      <c r="K97" s="4" t="s">
        <v>79</v>
      </c>
      <c r="L97" s="4" t="str">
        <f t="shared" si="3"/>
        <v>Aja1096</v>
      </c>
      <c r="M97" s="4" t="str">
        <f t="shared" si="4"/>
        <v>Table</v>
      </c>
      <c r="N97" s="4" t="str">
        <f t="shared" si="5"/>
        <v>T</v>
      </c>
    </row>
    <row r="98" spans="1:14" x14ac:dyDescent="0.3">
      <c r="A98" s="9">
        <v>1097</v>
      </c>
      <c r="B98" s="9" t="s">
        <v>50</v>
      </c>
      <c r="C98" s="4" t="s">
        <v>26</v>
      </c>
      <c r="D98" s="4" t="s">
        <v>34</v>
      </c>
      <c r="E98" s="4" t="s">
        <v>12</v>
      </c>
      <c r="F98" s="4">
        <v>10</v>
      </c>
      <c r="G98" s="4">
        <v>28980</v>
      </c>
      <c r="H98" s="4">
        <v>10</v>
      </c>
      <c r="I98" s="7">
        <v>46089</v>
      </c>
      <c r="J98" s="7">
        <v>46094</v>
      </c>
      <c r="K98" s="4" t="s">
        <v>80</v>
      </c>
      <c r="L98" s="4" t="str">
        <f t="shared" si="3"/>
        <v>Kom1097</v>
      </c>
      <c r="M98" s="4" t="str">
        <f t="shared" si="4"/>
        <v>Mouse</v>
      </c>
      <c r="N98" s="4" t="str">
        <f t="shared" si="5"/>
        <v>M</v>
      </c>
    </row>
    <row r="99" spans="1:14" x14ac:dyDescent="0.3">
      <c r="A99" s="9">
        <v>1098</v>
      </c>
      <c r="B99" s="9" t="s">
        <v>28</v>
      </c>
      <c r="C99" s="4" t="s">
        <v>27</v>
      </c>
      <c r="D99" s="4" t="s">
        <v>20</v>
      </c>
      <c r="E99" s="4" t="s">
        <v>51</v>
      </c>
      <c r="F99" s="4">
        <v>17</v>
      </c>
      <c r="G99" s="4">
        <v>345</v>
      </c>
      <c r="H99" s="4">
        <v>2</v>
      </c>
      <c r="I99" s="7">
        <v>46126</v>
      </c>
      <c r="J99" s="7">
        <v>46127</v>
      </c>
      <c r="K99" s="4" t="s">
        <v>81</v>
      </c>
      <c r="L99" s="4" t="str">
        <f t="shared" si="3"/>
        <v>Vik1098</v>
      </c>
      <c r="M99" s="4" t="str">
        <f t="shared" si="4"/>
        <v>Diary</v>
      </c>
      <c r="N99" s="4" t="str">
        <f t="shared" si="5"/>
        <v>D</v>
      </c>
    </row>
    <row r="100" spans="1:14" x14ac:dyDescent="0.3">
      <c r="A100" s="9">
        <v>1099</v>
      </c>
      <c r="B100" s="9" t="s">
        <v>28</v>
      </c>
      <c r="C100" s="4" t="s">
        <v>31</v>
      </c>
      <c r="D100" s="4" t="s">
        <v>24</v>
      </c>
      <c r="E100" s="4" t="s">
        <v>7</v>
      </c>
      <c r="F100" s="4">
        <v>1</v>
      </c>
      <c r="G100" s="4">
        <v>5165</v>
      </c>
      <c r="H100" s="4">
        <v>2</v>
      </c>
      <c r="I100" s="7">
        <v>46058</v>
      </c>
      <c r="J100" s="7">
        <v>46060</v>
      </c>
      <c r="K100" s="4" t="s">
        <v>78</v>
      </c>
      <c r="L100" s="4" t="str">
        <f t="shared" si="3"/>
        <v>Vik1099</v>
      </c>
      <c r="M100" s="4" t="str">
        <f t="shared" si="4"/>
        <v>Dessk</v>
      </c>
      <c r="N100" s="4" t="str">
        <f t="shared" si="5"/>
        <v>D</v>
      </c>
    </row>
    <row r="101" spans="1:14" x14ac:dyDescent="0.3">
      <c r="A101" s="9">
        <v>1100</v>
      </c>
      <c r="B101" s="9" t="s">
        <v>18</v>
      </c>
      <c r="C101" s="4" t="s">
        <v>31</v>
      </c>
      <c r="D101" s="4" t="s">
        <v>20</v>
      </c>
      <c r="E101" s="4" t="s">
        <v>21</v>
      </c>
      <c r="F101" s="4">
        <v>11</v>
      </c>
      <c r="G101" s="4">
        <v>296</v>
      </c>
      <c r="H101" s="4">
        <v>10</v>
      </c>
      <c r="I101" s="7">
        <v>46027</v>
      </c>
      <c r="J101" s="7">
        <v>46031</v>
      </c>
      <c r="K101" s="4" t="s">
        <v>81</v>
      </c>
      <c r="L101" s="4" t="str">
        <f t="shared" si="3"/>
        <v>Rit1100</v>
      </c>
      <c r="M101" s="4" t="str">
        <f t="shared" si="4"/>
        <v>Notok</v>
      </c>
      <c r="N101" s="4" t="str">
        <f t="shared" si="5"/>
        <v>Nook</v>
      </c>
    </row>
    <row r="102" spans="1:14" x14ac:dyDescent="0.3">
      <c r="A102" s="9">
        <v>1101</v>
      </c>
      <c r="B102" s="9" t="s">
        <v>29</v>
      </c>
      <c r="C102" s="4" t="s">
        <v>26</v>
      </c>
      <c r="D102" s="4" t="s">
        <v>34</v>
      </c>
      <c r="E102" s="4" t="s">
        <v>12</v>
      </c>
      <c r="F102" s="4">
        <v>9</v>
      </c>
      <c r="G102" s="4">
        <v>37361</v>
      </c>
      <c r="H102" s="4">
        <v>10</v>
      </c>
      <c r="I102" s="7">
        <v>46141</v>
      </c>
      <c r="J102" s="7">
        <v>46142</v>
      </c>
      <c r="K102" s="4" t="s">
        <v>80</v>
      </c>
      <c r="L102" s="4" t="str">
        <f t="shared" ref="L102:L165" si="6">_xlfn.CONCAT(LEFT(B102, 3), A102)</f>
        <v>Arj1101</v>
      </c>
      <c r="M102" s="4" t="str">
        <f t="shared" ref="M102:M165" si="7">_xlfn.CONCAT(LEFT(E102, 3), RIGHT(E102,2))</f>
        <v>Mouse</v>
      </c>
      <c r="N102" s="4" t="str">
        <f t="shared" ref="N102:N165" si="8">REPLACE(E102,2,4,"")</f>
        <v>M</v>
      </c>
    </row>
    <row r="103" spans="1:14" x14ac:dyDescent="0.3">
      <c r="A103" s="9">
        <v>1102</v>
      </c>
      <c r="B103" s="9" t="s">
        <v>52</v>
      </c>
      <c r="C103" s="4" t="s">
        <v>27</v>
      </c>
      <c r="D103" s="4" t="s">
        <v>34</v>
      </c>
      <c r="E103" s="4" t="s">
        <v>6</v>
      </c>
      <c r="F103" s="4">
        <v>12</v>
      </c>
      <c r="G103" s="4">
        <v>63402</v>
      </c>
      <c r="H103" s="4">
        <v>7</v>
      </c>
      <c r="I103" s="7">
        <v>46106</v>
      </c>
      <c r="J103" s="7">
        <v>46113</v>
      </c>
      <c r="K103" s="4" t="s">
        <v>81</v>
      </c>
      <c r="L103" s="4" t="str">
        <f t="shared" si="6"/>
        <v>Man1102</v>
      </c>
      <c r="M103" s="4" t="str">
        <f t="shared" si="7"/>
        <v>Monor</v>
      </c>
      <c r="N103" s="4" t="str">
        <f t="shared" si="8"/>
        <v>Mor</v>
      </c>
    </row>
    <row r="104" spans="1:14" x14ac:dyDescent="0.3">
      <c r="A104" s="9">
        <v>1103</v>
      </c>
      <c r="B104" s="9" t="s">
        <v>22</v>
      </c>
      <c r="C104" s="4" t="s">
        <v>19</v>
      </c>
      <c r="D104" s="4" t="s">
        <v>24</v>
      </c>
      <c r="E104" s="4" t="s">
        <v>10</v>
      </c>
      <c r="F104" s="4">
        <v>7</v>
      </c>
      <c r="G104" s="4">
        <v>11925</v>
      </c>
      <c r="H104" s="4">
        <v>5</v>
      </c>
      <c r="I104" s="7">
        <v>46040</v>
      </c>
      <c r="J104" s="7">
        <v>46041</v>
      </c>
      <c r="K104" s="4" t="s">
        <v>49</v>
      </c>
      <c r="L104" s="4" t="str">
        <f t="shared" si="6"/>
        <v>Poo1103</v>
      </c>
      <c r="M104" s="4" t="str">
        <f t="shared" si="7"/>
        <v>Table</v>
      </c>
      <c r="N104" s="4" t="str">
        <f t="shared" si="8"/>
        <v>T</v>
      </c>
    </row>
    <row r="105" spans="1:14" x14ac:dyDescent="0.3">
      <c r="A105" s="9">
        <v>1104</v>
      </c>
      <c r="B105" s="9" t="s">
        <v>22</v>
      </c>
      <c r="C105" s="4" t="s">
        <v>42</v>
      </c>
      <c r="D105" s="4" t="s">
        <v>24</v>
      </c>
      <c r="E105" s="4" t="s">
        <v>7</v>
      </c>
      <c r="F105" s="4">
        <v>10</v>
      </c>
      <c r="G105" s="4">
        <v>12848</v>
      </c>
      <c r="H105" s="4">
        <v>15</v>
      </c>
      <c r="I105" s="7">
        <v>46060</v>
      </c>
      <c r="J105" s="7">
        <v>46064</v>
      </c>
      <c r="K105" s="4" t="s">
        <v>49</v>
      </c>
      <c r="L105" s="4" t="str">
        <f t="shared" si="6"/>
        <v>Poo1104</v>
      </c>
      <c r="M105" s="4" t="str">
        <f t="shared" si="7"/>
        <v>Dessk</v>
      </c>
      <c r="N105" s="4" t="str">
        <f t="shared" si="8"/>
        <v>D</v>
      </c>
    </row>
    <row r="106" spans="1:14" x14ac:dyDescent="0.3">
      <c r="A106" s="9">
        <v>1105</v>
      </c>
      <c r="B106" s="9" t="s">
        <v>56</v>
      </c>
      <c r="C106" s="4" t="s">
        <v>27</v>
      </c>
      <c r="D106" s="4" t="s">
        <v>20</v>
      </c>
      <c r="E106" s="4" t="s">
        <v>48</v>
      </c>
      <c r="F106" s="4">
        <v>2</v>
      </c>
      <c r="G106" s="4">
        <v>493</v>
      </c>
      <c r="H106" s="4">
        <v>12</v>
      </c>
      <c r="I106" s="7">
        <v>46057</v>
      </c>
      <c r="J106" s="7">
        <v>46066</v>
      </c>
      <c r="K106" s="4" t="s">
        <v>81</v>
      </c>
      <c r="L106" s="4" t="str">
        <f t="shared" si="6"/>
        <v>Ani1105</v>
      </c>
      <c r="M106" s="4" t="str">
        <f t="shared" si="7"/>
        <v>Marer</v>
      </c>
      <c r="N106" s="4" t="str">
        <f t="shared" si="8"/>
        <v>Mr</v>
      </c>
    </row>
    <row r="107" spans="1:14" x14ac:dyDescent="0.3">
      <c r="A107" s="9">
        <v>1106</v>
      </c>
      <c r="B107" s="9" t="s">
        <v>29</v>
      </c>
      <c r="C107" s="4" t="s">
        <v>42</v>
      </c>
      <c r="D107" s="4" t="s">
        <v>24</v>
      </c>
      <c r="E107" s="4" t="s">
        <v>10</v>
      </c>
      <c r="F107" s="4">
        <v>20</v>
      </c>
      <c r="G107" s="4">
        <v>2141</v>
      </c>
      <c r="H107" s="4">
        <v>2</v>
      </c>
      <c r="I107" s="7">
        <v>46091</v>
      </c>
      <c r="J107" s="7">
        <v>46097</v>
      </c>
      <c r="K107" s="4" t="s">
        <v>49</v>
      </c>
      <c r="L107" s="4" t="str">
        <f t="shared" si="6"/>
        <v>Arj1106</v>
      </c>
      <c r="M107" s="4" t="str">
        <f t="shared" si="7"/>
        <v>Table</v>
      </c>
      <c r="N107" s="4" t="str">
        <f t="shared" si="8"/>
        <v>T</v>
      </c>
    </row>
    <row r="108" spans="1:14" x14ac:dyDescent="0.3">
      <c r="A108" s="9">
        <v>1107</v>
      </c>
      <c r="B108" s="9" t="s">
        <v>50</v>
      </c>
      <c r="C108" s="4" t="s">
        <v>23</v>
      </c>
      <c r="D108" s="4" t="s">
        <v>34</v>
      </c>
      <c r="E108" s="4" t="s">
        <v>9</v>
      </c>
      <c r="F108" s="4">
        <v>4</v>
      </c>
      <c r="G108" s="4">
        <v>14291</v>
      </c>
      <c r="H108" s="4">
        <v>2</v>
      </c>
      <c r="I108" s="7">
        <v>46076</v>
      </c>
      <c r="J108" s="7">
        <v>46078</v>
      </c>
      <c r="K108" s="4" t="s">
        <v>78</v>
      </c>
      <c r="L108" s="4" t="str">
        <f t="shared" si="6"/>
        <v>Kom1107</v>
      </c>
      <c r="M108" s="4" t="str">
        <f t="shared" si="7"/>
        <v>Lapop</v>
      </c>
      <c r="N108" s="4" t="str">
        <f t="shared" si="8"/>
        <v>Lp</v>
      </c>
    </row>
    <row r="109" spans="1:14" x14ac:dyDescent="0.3">
      <c r="A109" s="9">
        <v>1108</v>
      </c>
      <c r="B109" s="9" t="s">
        <v>41</v>
      </c>
      <c r="C109" s="4" t="s">
        <v>33</v>
      </c>
      <c r="D109" s="4" t="s">
        <v>24</v>
      </c>
      <c r="E109" s="4" t="s">
        <v>8</v>
      </c>
      <c r="F109" s="4">
        <v>15</v>
      </c>
      <c r="G109" s="4">
        <v>13843</v>
      </c>
      <c r="H109" s="4">
        <v>7</v>
      </c>
      <c r="I109" s="7">
        <v>46119</v>
      </c>
      <c r="J109" s="7">
        <v>46127</v>
      </c>
      <c r="K109" s="4" t="s">
        <v>79</v>
      </c>
      <c r="L109" s="4" t="str">
        <f t="shared" si="6"/>
        <v>Nis1108</v>
      </c>
      <c r="M109" s="4" t="str">
        <f t="shared" si="7"/>
        <v>Chair</v>
      </c>
      <c r="N109" s="4" t="str">
        <f t="shared" si="8"/>
        <v>C</v>
      </c>
    </row>
    <row r="110" spans="1:14" x14ac:dyDescent="0.3">
      <c r="A110" s="9">
        <v>1109</v>
      </c>
      <c r="B110" s="9" t="s">
        <v>25</v>
      </c>
      <c r="C110" s="4" t="s">
        <v>31</v>
      </c>
      <c r="D110" s="4" t="s">
        <v>24</v>
      </c>
      <c r="E110" s="4" t="s">
        <v>43</v>
      </c>
      <c r="F110" s="4">
        <v>19</v>
      </c>
      <c r="G110" s="4">
        <v>6512</v>
      </c>
      <c r="H110" s="4">
        <v>10</v>
      </c>
      <c r="I110" s="7">
        <v>46033</v>
      </c>
      <c r="J110" s="7">
        <v>46037</v>
      </c>
      <c r="K110" s="4" t="s">
        <v>79</v>
      </c>
      <c r="L110" s="4" t="str">
        <f t="shared" si="6"/>
        <v>Mee1109</v>
      </c>
      <c r="M110" s="4" t="str">
        <f t="shared" si="7"/>
        <v>Boolf</v>
      </c>
      <c r="N110" s="4" t="str">
        <f t="shared" si="8"/>
        <v>Bhelf</v>
      </c>
    </row>
    <row r="111" spans="1:14" x14ac:dyDescent="0.3">
      <c r="A111" s="9">
        <v>1110</v>
      </c>
      <c r="B111" s="9" t="s">
        <v>47</v>
      </c>
      <c r="C111" s="4" t="s">
        <v>38</v>
      </c>
      <c r="D111" s="4" t="s">
        <v>24</v>
      </c>
      <c r="E111" s="4" t="s">
        <v>10</v>
      </c>
      <c r="F111" s="4">
        <v>14</v>
      </c>
      <c r="G111" s="4">
        <v>6793</v>
      </c>
      <c r="H111" s="4">
        <v>7</v>
      </c>
      <c r="I111" s="7">
        <v>46077</v>
      </c>
      <c r="J111" s="7">
        <v>46082</v>
      </c>
      <c r="K111" s="4" t="s">
        <v>49</v>
      </c>
      <c r="L111" s="4" t="str">
        <f t="shared" si="6"/>
        <v>Aja1110</v>
      </c>
      <c r="M111" s="4" t="str">
        <f t="shared" si="7"/>
        <v>Table</v>
      </c>
      <c r="N111" s="4" t="str">
        <f t="shared" si="8"/>
        <v>T</v>
      </c>
    </row>
    <row r="112" spans="1:14" x14ac:dyDescent="0.3">
      <c r="A112" s="9">
        <v>1111</v>
      </c>
      <c r="B112" s="9" t="s">
        <v>45</v>
      </c>
      <c r="C112" s="4" t="s">
        <v>23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7">
        <v>46133</v>
      </c>
      <c r="J112" s="7">
        <v>46141</v>
      </c>
      <c r="K112" s="4" t="s">
        <v>49</v>
      </c>
      <c r="L112" s="4" t="str">
        <f t="shared" si="6"/>
        <v>Yas1111</v>
      </c>
      <c r="M112" s="4" t="str">
        <f t="shared" si="7"/>
        <v>Prier</v>
      </c>
      <c r="N112" s="4" t="str">
        <f t="shared" si="8"/>
        <v>Per</v>
      </c>
    </row>
    <row r="113" spans="1:14" x14ac:dyDescent="0.3">
      <c r="A113" s="9">
        <v>1112</v>
      </c>
      <c r="B113" s="9" t="s">
        <v>25</v>
      </c>
      <c r="C113" s="4" t="s">
        <v>42</v>
      </c>
      <c r="D113" s="4" t="s">
        <v>24</v>
      </c>
      <c r="E113" s="4" t="s">
        <v>43</v>
      </c>
      <c r="F113" s="4">
        <v>7</v>
      </c>
      <c r="G113" s="4">
        <v>1959</v>
      </c>
      <c r="H113" s="4">
        <v>15</v>
      </c>
      <c r="I113" s="7">
        <v>46090</v>
      </c>
      <c r="J113" s="7">
        <v>46100</v>
      </c>
      <c r="K113" s="4" t="s">
        <v>78</v>
      </c>
      <c r="L113" s="4" t="str">
        <f t="shared" si="6"/>
        <v>Mee1112</v>
      </c>
      <c r="M113" s="4" t="str">
        <f t="shared" si="7"/>
        <v>Boolf</v>
      </c>
      <c r="N113" s="4" t="str">
        <f t="shared" si="8"/>
        <v>Bhelf</v>
      </c>
    </row>
    <row r="114" spans="1:14" x14ac:dyDescent="0.3">
      <c r="A114" s="9">
        <v>1113</v>
      </c>
      <c r="B114" s="9" t="s">
        <v>28</v>
      </c>
      <c r="C114" s="4" t="s">
        <v>42</v>
      </c>
      <c r="D114" s="4" t="s">
        <v>24</v>
      </c>
      <c r="E114" s="4" t="s">
        <v>11</v>
      </c>
      <c r="F114" s="4">
        <v>13</v>
      </c>
      <c r="G114" s="4">
        <v>6719</v>
      </c>
      <c r="H114" s="4">
        <v>15</v>
      </c>
      <c r="I114" s="7">
        <v>46076</v>
      </c>
      <c r="J114" s="7">
        <v>46081</v>
      </c>
      <c r="K114" s="4" t="s">
        <v>80</v>
      </c>
      <c r="L114" s="4" t="str">
        <f t="shared" si="6"/>
        <v>Vik1113</v>
      </c>
      <c r="M114" s="4" t="str">
        <f t="shared" si="7"/>
        <v>Cabet</v>
      </c>
      <c r="N114" s="4" t="str">
        <f t="shared" si="8"/>
        <v>Cet</v>
      </c>
    </row>
    <row r="115" spans="1:14" x14ac:dyDescent="0.3">
      <c r="A115" s="9">
        <v>1114</v>
      </c>
      <c r="B115" s="9" t="s">
        <v>22</v>
      </c>
      <c r="C115" s="4" t="s">
        <v>27</v>
      </c>
      <c r="D115" s="4" t="s">
        <v>20</v>
      </c>
      <c r="E115" s="4" t="s">
        <v>48</v>
      </c>
      <c r="F115" s="4">
        <v>13</v>
      </c>
      <c r="G115" s="4">
        <v>32</v>
      </c>
      <c r="H115" s="4">
        <v>15</v>
      </c>
      <c r="I115" s="7">
        <v>46066</v>
      </c>
      <c r="J115" s="7">
        <v>46069</v>
      </c>
      <c r="K115" s="4" t="s">
        <v>78</v>
      </c>
      <c r="L115" s="4" t="str">
        <f t="shared" si="6"/>
        <v>Poo1114</v>
      </c>
      <c r="M115" s="4" t="str">
        <f t="shared" si="7"/>
        <v>Marer</v>
      </c>
      <c r="N115" s="4" t="str">
        <f t="shared" si="8"/>
        <v>Mr</v>
      </c>
    </row>
    <row r="116" spans="1:14" x14ac:dyDescent="0.3">
      <c r="A116" s="9">
        <v>1115</v>
      </c>
      <c r="B116" s="9" t="s">
        <v>56</v>
      </c>
      <c r="C116" s="4" t="s">
        <v>42</v>
      </c>
      <c r="D116" s="4" t="s">
        <v>20</v>
      </c>
      <c r="E116" s="4" t="s">
        <v>48</v>
      </c>
      <c r="F116" s="4">
        <v>9</v>
      </c>
      <c r="G116" s="4">
        <v>303</v>
      </c>
      <c r="H116" s="4">
        <v>10</v>
      </c>
      <c r="I116" s="7">
        <v>46149</v>
      </c>
      <c r="J116" s="7">
        <v>46157</v>
      </c>
      <c r="K116" s="4" t="s">
        <v>49</v>
      </c>
      <c r="L116" s="4" t="str">
        <f t="shared" si="6"/>
        <v>Ani1115</v>
      </c>
      <c r="M116" s="4" t="str">
        <f t="shared" si="7"/>
        <v>Marer</v>
      </c>
      <c r="N116" s="4" t="str">
        <f t="shared" si="8"/>
        <v>Mr</v>
      </c>
    </row>
    <row r="117" spans="1:14" x14ac:dyDescent="0.3">
      <c r="A117" s="9">
        <v>1116</v>
      </c>
      <c r="B117" s="9" t="s">
        <v>22</v>
      </c>
      <c r="C117" s="4" t="s">
        <v>27</v>
      </c>
      <c r="D117" s="4" t="s">
        <v>24</v>
      </c>
      <c r="E117" s="4" t="s">
        <v>11</v>
      </c>
      <c r="F117" s="4">
        <v>2</v>
      </c>
      <c r="G117" s="4">
        <v>12692</v>
      </c>
      <c r="H117" s="4">
        <v>15</v>
      </c>
      <c r="I117" s="7">
        <v>46049</v>
      </c>
      <c r="J117" s="7">
        <v>46051</v>
      </c>
      <c r="K117" s="4" t="s">
        <v>78</v>
      </c>
      <c r="L117" s="4" t="str">
        <f t="shared" si="6"/>
        <v>Poo1116</v>
      </c>
      <c r="M117" s="4" t="str">
        <f t="shared" si="7"/>
        <v>Cabet</v>
      </c>
      <c r="N117" s="4" t="str">
        <f t="shared" si="8"/>
        <v>Cet</v>
      </c>
    </row>
    <row r="118" spans="1:14" x14ac:dyDescent="0.3">
      <c r="A118" s="9">
        <v>1117</v>
      </c>
      <c r="B118" s="9" t="s">
        <v>53</v>
      </c>
      <c r="C118" s="4" t="s">
        <v>42</v>
      </c>
      <c r="D118" s="4" t="s">
        <v>34</v>
      </c>
      <c r="E118" s="4" t="s">
        <v>5</v>
      </c>
      <c r="F118" s="4">
        <v>16</v>
      </c>
      <c r="G118" s="4">
        <v>33162</v>
      </c>
      <c r="H118" s="4">
        <v>7</v>
      </c>
      <c r="I118" s="7">
        <v>46147</v>
      </c>
      <c r="J118" s="7">
        <v>46155</v>
      </c>
      <c r="K118" s="4" t="s">
        <v>49</v>
      </c>
      <c r="L118" s="4" t="str">
        <f t="shared" si="6"/>
        <v>Sne1117</v>
      </c>
      <c r="M118" s="4" t="str">
        <f t="shared" si="7"/>
        <v>Keyrd</v>
      </c>
      <c r="N118" s="4" t="str">
        <f t="shared" si="8"/>
        <v>Kard</v>
      </c>
    </row>
    <row r="119" spans="1:14" x14ac:dyDescent="0.3">
      <c r="A119" s="9">
        <v>1118</v>
      </c>
      <c r="B119" s="9" t="s">
        <v>25</v>
      </c>
      <c r="C119" s="4" t="s">
        <v>26</v>
      </c>
      <c r="D119" s="4" t="s">
        <v>24</v>
      </c>
      <c r="E119" s="4" t="s">
        <v>10</v>
      </c>
      <c r="F119" s="4">
        <v>18</v>
      </c>
      <c r="G119" s="4">
        <v>9118</v>
      </c>
      <c r="H119" s="4">
        <v>5</v>
      </c>
      <c r="I119" s="7">
        <v>46178</v>
      </c>
      <c r="J119" s="7">
        <v>46187</v>
      </c>
      <c r="K119" s="4" t="s">
        <v>49</v>
      </c>
      <c r="L119" s="4" t="str">
        <f t="shared" si="6"/>
        <v>Mee1118</v>
      </c>
      <c r="M119" s="4" t="str">
        <f t="shared" si="7"/>
        <v>Table</v>
      </c>
      <c r="N119" s="4" t="str">
        <f t="shared" si="8"/>
        <v>T</v>
      </c>
    </row>
    <row r="120" spans="1:14" x14ac:dyDescent="0.3">
      <c r="A120" s="9">
        <v>1119</v>
      </c>
      <c r="B120" s="9" t="s">
        <v>30</v>
      </c>
      <c r="C120" s="4" t="s">
        <v>42</v>
      </c>
      <c r="D120" s="4" t="s">
        <v>24</v>
      </c>
      <c r="E120" s="4" t="s">
        <v>8</v>
      </c>
      <c r="F120" s="4">
        <v>2</v>
      </c>
      <c r="G120" s="4">
        <v>3706</v>
      </c>
      <c r="H120" s="4">
        <v>5</v>
      </c>
      <c r="I120" s="7">
        <v>46184</v>
      </c>
      <c r="J120" s="7">
        <v>46192</v>
      </c>
      <c r="K120" s="4" t="s">
        <v>81</v>
      </c>
      <c r="L120" s="4" t="str">
        <f t="shared" si="6"/>
        <v>Neh1119</v>
      </c>
      <c r="M120" s="4" t="str">
        <f t="shared" si="7"/>
        <v>Chair</v>
      </c>
      <c r="N120" s="4" t="str">
        <f t="shared" si="8"/>
        <v>C</v>
      </c>
    </row>
    <row r="121" spans="1:14" x14ac:dyDescent="0.3">
      <c r="A121" s="9">
        <v>1120</v>
      </c>
      <c r="B121" s="9" t="s">
        <v>32</v>
      </c>
      <c r="C121" s="4" t="s">
        <v>38</v>
      </c>
      <c r="D121" s="4" t="s">
        <v>20</v>
      </c>
      <c r="E121" s="4" t="s">
        <v>36</v>
      </c>
      <c r="F121" s="4">
        <v>10</v>
      </c>
      <c r="G121" s="4">
        <v>438</v>
      </c>
      <c r="H121" s="4">
        <v>10</v>
      </c>
      <c r="I121" s="7">
        <v>46061</v>
      </c>
      <c r="J121" s="7">
        <v>46065</v>
      </c>
      <c r="K121" s="4" t="s">
        <v>81</v>
      </c>
      <c r="L121" s="4" t="str">
        <f t="shared" si="6"/>
        <v>Ash1120</v>
      </c>
      <c r="M121" s="4" t="str">
        <f t="shared" si="7"/>
        <v>Staer</v>
      </c>
      <c r="N121" s="4" t="str">
        <f t="shared" si="8"/>
        <v>Ser</v>
      </c>
    </row>
    <row r="122" spans="1:14" x14ac:dyDescent="0.3">
      <c r="A122" s="9">
        <v>1121</v>
      </c>
      <c r="B122" s="9" t="s">
        <v>49</v>
      </c>
      <c r="C122" s="4" t="s">
        <v>19</v>
      </c>
      <c r="D122" s="4" t="s">
        <v>34</v>
      </c>
      <c r="E122" s="4" t="s">
        <v>5</v>
      </c>
      <c r="F122" s="4">
        <v>4</v>
      </c>
      <c r="G122" s="4">
        <v>55809</v>
      </c>
      <c r="H122" s="4">
        <v>2</v>
      </c>
      <c r="I122" s="7">
        <v>46103</v>
      </c>
      <c r="J122" s="7">
        <v>46108</v>
      </c>
      <c r="K122" s="4" t="s">
        <v>49</v>
      </c>
      <c r="L122" s="4" t="str">
        <f t="shared" si="6"/>
        <v>Pri1121</v>
      </c>
      <c r="M122" s="4" t="str">
        <f t="shared" si="7"/>
        <v>Keyrd</v>
      </c>
      <c r="N122" s="4" t="str">
        <f t="shared" si="8"/>
        <v>Kard</v>
      </c>
    </row>
    <row r="123" spans="1:14" x14ac:dyDescent="0.3">
      <c r="A123" s="9">
        <v>1122</v>
      </c>
      <c r="B123" s="9" t="s">
        <v>39</v>
      </c>
      <c r="C123" s="4" t="s">
        <v>26</v>
      </c>
      <c r="D123" s="4" t="s">
        <v>34</v>
      </c>
      <c r="E123" s="4" t="s">
        <v>5</v>
      </c>
      <c r="F123" s="4">
        <v>14</v>
      </c>
      <c r="G123" s="4">
        <v>49990</v>
      </c>
      <c r="H123" s="4">
        <v>10</v>
      </c>
      <c r="I123" s="7">
        <v>46132</v>
      </c>
      <c r="J123" s="7">
        <v>46135</v>
      </c>
      <c r="K123" s="4" t="s">
        <v>49</v>
      </c>
      <c r="L123" s="4" t="str">
        <f t="shared" si="6"/>
        <v>Dee1122</v>
      </c>
      <c r="M123" s="4" t="str">
        <f t="shared" si="7"/>
        <v>Keyrd</v>
      </c>
      <c r="N123" s="4" t="str">
        <f t="shared" si="8"/>
        <v>Kard</v>
      </c>
    </row>
    <row r="124" spans="1:14" x14ac:dyDescent="0.3">
      <c r="A124" s="9">
        <v>1123</v>
      </c>
      <c r="B124" s="9" t="s">
        <v>32</v>
      </c>
      <c r="C124" s="4" t="s">
        <v>31</v>
      </c>
      <c r="D124" s="4" t="s">
        <v>34</v>
      </c>
      <c r="E124" s="4" t="s">
        <v>6</v>
      </c>
      <c r="F124" s="4">
        <v>16</v>
      </c>
      <c r="G124" s="4">
        <v>1332</v>
      </c>
      <c r="H124" s="4">
        <v>7</v>
      </c>
      <c r="I124" s="7">
        <v>46107</v>
      </c>
      <c r="J124" s="7">
        <v>46109</v>
      </c>
      <c r="K124" s="4" t="s">
        <v>49</v>
      </c>
      <c r="L124" s="4" t="str">
        <f t="shared" si="6"/>
        <v>Ash1123</v>
      </c>
      <c r="M124" s="4" t="str">
        <f t="shared" si="7"/>
        <v>Monor</v>
      </c>
      <c r="N124" s="4" t="str">
        <f t="shared" si="8"/>
        <v>Mor</v>
      </c>
    </row>
    <row r="125" spans="1:14" x14ac:dyDescent="0.3">
      <c r="A125" s="9">
        <v>1124</v>
      </c>
      <c r="B125" s="9" t="s">
        <v>29</v>
      </c>
      <c r="C125" s="4" t="s">
        <v>38</v>
      </c>
      <c r="D125" s="4" t="s">
        <v>24</v>
      </c>
      <c r="E125" s="4" t="s">
        <v>11</v>
      </c>
      <c r="F125" s="4">
        <v>4</v>
      </c>
      <c r="G125" s="4">
        <v>14195</v>
      </c>
      <c r="H125" s="4">
        <v>15</v>
      </c>
      <c r="I125" s="7">
        <v>46182</v>
      </c>
      <c r="J125" s="7">
        <v>46189</v>
      </c>
      <c r="K125" s="4" t="s">
        <v>81</v>
      </c>
      <c r="L125" s="4" t="str">
        <f t="shared" si="6"/>
        <v>Arj1124</v>
      </c>
      <c r="M125" s="4" t="str">
        <f t="shared" si="7"/>
        <v>Cabet</v>
      </c>
      <c r="N125" s="4" t="str">
        <f t="shared" si="8"/>
        <v>Cet</v>
      </c>
    </row>
    <row r="126" spans="1:14" x14ac:dyDescent="0.3">
      <c r="A126" s="9">
        <v>1125</v>
      </c>
      <c r="B126" s="9" t="s">
        <v>47</v>
      </c>
      <c r="C126" s="4" t="s">
        <v>33</v>
      </c>
      <c r="D126" s="4" t="s">
        <v>20</v>
      </c>
      <c r="E126" s="4" t="s">
        <v>21</v>
      </c>
      <c r="F126" s="4">
        <v>6</v>
      </c>
      <c r="G126" s="4">
        <v>30</v>
      </c>
      <c r="H126" s="4">
        <v>2</v>
      </c>
      <c r="I126" s="7">
        <v>46133</v>
      </c>
      <c r="J126" s="7">
        <v>46138</v>
      </c>
      <c r="K126" s="4" t="s">
        <v>80</v>
      </c>
      <c r="L126" s="4" t="str">
        <f t="shared" si="6"/>
        <v>Aja1125</v>
      </c>
      <c r="M126" s="4" t="str">
        <f t="shared" si="7"/>
        <v>Notok</v>
      </c>
      <c r="N126" s="4" t="str">
        <f t="shared" si="8"/>
        <v>Nook</v>
      </c>
    </row>
    <row r="127" spans="1:14" x14ac:dyDescent="0.3">
      <c r="A127" s="9">
        <v>1126</v>
      </c>
      <c r="B127" s="9" t="s">
        <v>44</v>
      </c>
      <c r="C127" s="4" t="s">
        <v>26</v>
      </c>
      <c r="D127" s="4" t="s">
        <v>34</v>
      </c>
      <c r="E127" s="4" t="s">
        <v>5</v>
      </c>
      <c r="F127" s="4">
        <v>17</v>
      </c>
      <c r="G127" s="4">
        <v>19390</v>
      </c>
      <c r="H127" s="4">
        <v>12</v>
      </c>
      <c r="I127" s="7">
        <v>46201</v>
      </c>
      <c r="J127" s="7">
        <v>46206</v>
      </c>
      <c r="K127" s="4" t="s">
        <v>49</v>
      </c>
      <c r="L127" s="4" t="str">
        <f t="shared" si="6"/>
        <v>Kir1126</v>
      </c>
      <c r="M127" s="4" t="str">
        <f t="shared" si="7"/>
        <v>Keyrd</v>
      </c>
      <c r="N127" s="4" t="str">
        <f t="shared" si="8"/>
        <v>Kard</v>
      </c>
    </row>
    <row r="128" spans="1:14" x14ac:dyDescent="0.3">
      <c r="A128" s="9">
        <v>1127</v>
      </c>
      <c r="B128" s="9" t="s">
        <v>28</v>
      </c>
      <c r="C128" s="4" t="s">
        <v>33</v>
      </c>
      <c r="D128" s="4" t="s">
        <v>24</v>
      </c>
      <c r="E128" s="4" t="s">
        <v>8</v>
      </c>
      <c r="F128" s="4">
        <v>15</v>
      </c>
      <c r="G128" s="4">
        <v>11694</v>
      </c>
      <c r="H128" s="4">
        <v>12</v>
      </c>
      <c r="I128" s="7">
        <v>46170</v>
      </c>
      <c r="J128" s="7">
        <v>46179</v>
      </c>
      <c r="K128" s="4" t="s">
        <v>49</v>
      </c>
      <c r="L128" s="4" t="str">
        <f t="shared" si="6"/>
        <v>Vik1127</v>
      </c>
      <c r="M128" s="4" t="str">
        <f t="shared" si="7"/>
        <v>Chair</v>
      </c>
      <c r="N128" s="4" t="str">
        <f t="shared" si="8"/>
        <v>C</v>
      </c>
    </row>
    <row r="129" spans="1:14" x14ac:dyDescent="0.3">
      <c r="A129" s="9">
        <v>1128</v>
      </c>
      <c r="B129" s="9" t="s">
        <v>30</v>
      </c>
      <c r="C129" s="4" t="s">
        <v>26</v>
      </c>
      <c r="D129" s="4" t="s">
        <v>34</v>
      </c>
      <c r="E129" s="4" t="s">
        <v>12</v>
      </c>
      <c r="F129" s="4">
        <v>6</v>
      </c>
      <c r="G129" s="4">
        <v>5001</v>
      </c>
      <c r="H129" s="4">
        <v>7</v>
      </c>
      <c r="I129" s="7">
        <v>46044</v>
      </c>
      <c r="J129" s="7">
        <v>46050</v>
      </c>
      <c r="K129" s="4" t="s">
        <v>49</v>
      </c>
      <c r="L129" s="4" t="str">
        <f t="shared" si="6"/>
        <v>Neh1128</v>
      </c>
      <c r="M129" s="4" t="str">
        <f t="shared" si="7"/>
        <v>Mouse</v>
      </c>
      <c r="N129" s="4" t="str">
        <f t="shared" si="8"/>
        <v>M</v>
      </c>
    </row>
    <row r="130" spans="1:14" x14ac:dyDescent="0.3">
      <c r="A130" s="9">
        <v>1129</v>
      </c>
      <c r="B130" s="9" t="s">
        <v>55</v>
      </c>
      <c r="C130" s="4" t="s">
        <v>23</v>
      </c>
      <c r="D130" s="4" t="s">
        <v>20</v>
      </c>
      <c r="E130" s="4" t="s">
        <v>48</v>
      </c>
      <c r="F130" s="4">
        <v>15</v>
      </c>
      <c r="G130" s="4">
        <v>75</v>
      </c>
      <c r="H130" s="4">
        <v>7</v>
      </c>
      <c r="I130" s="7">
        <v>46160</v>
      </c>
      <c r="J130" s="7">
        <v>46164</v>
      </c>
      <c r="K130" s="4" t="s">
        <v>49</v>
      </c>
      <c r="L130" s="4" t="str">
        <f t="shared" si="6"/>
        <v>Roh1129</v>
      </c>
      <c r="M130" s="4" t="str">
        <f t="shared" si="7"/>
        <v>Marer</v>
      </c>
      <c r="N130" s="4" t="str">
        <f t="shared" si="8"/>
        <v>Mr</v>
      </c>
    </row>
    <row r="131" spans="1:14" x14ac:dyDescent="0.3">
      <c r="A131" s="9">
        <v>1130</v>
      </c>
      <c r="B131" s="9" t="s">
        <v>46</v>
      </c>
      <c r="C131" s="4" t="s">
        <v>33</v>
      </c>
      <c r="D131" s="4" t="s">
        <v>20</v>
      </c>
      <c r="E131" s="4" t="s">
        <v>21</v>
      </c>
      <c r="F131" s="4">
        <v>12</v>
      </c>
      <c r="G131" s="4">
        <v>50</v>
      </c>
      <c r="H131" s="4">
        <v>2</v>
      </c>
      <c r="I131" s="7">
        <v>46125</v>
      </c>
      <c r="J131" s="7">
        <v>46131</v>
      </c>
      <c r="K131" s="4" t="s">
        <v>80</v>
      </c>
      <c r="L131" s="4" t="str">
        <f t="shared" si="6"/>
        <v>Nit1130</v>
      </c>
      <c r="M131" s="4" t="str">
        <f t="shared" si="7"/>
        <v>Notok</v>
      </c>
      <c r="N131" s="4" t="str">
        <f t="shared" si="8"/>
        <v>Nook</v>
      </c>
    </row>
    <row r="132" spans="1:14" x14ac:dyDescent="0.3">
      <c r="A132" s="9">
        <v>1131</v>
      </c>
      <c r="B132" s="9" t="s">
        <v>25</v>
      </c>
      <c r="C132" s="4" t="s">
        <v>31</v>
      </c>
      <c r="D132" s="4" t="s">
        <v>24</v>
      </c>
      <c r="E132" s="4" t="s">
        <v>10</v>
      </c>
      <c r="F132" s="4">
        <v>13</v>
      </c>
      <c r="G132" s="4">
        <v>3083</v>
      </c>
      <c r="H132" s="4">
        <v>7</v>
      </c>
      <c r="I132" s="7">
        <v>46168</v>
      </c>
      <c r="J132" s="7">
        <v>46173</v>
      </c>
      <c r="K132" s="4" t="s">
        <v>81</v>
      </c>
      <c r="L132" s="4" t="str">
        <f t="shared" si="6"/>
        <v>Mee1131</v>
      </c>
      <c r="M132" s="4" t="str">
        <f t="shared" si="7"/>
        <v>Table</v>
      </c>
      <c r="N132" s="4" t="str">
        <f t="shared" si="8"/>
        <v>T</v>
      </c>
    </row>
    <row r="133" spans="1:14" x14ac:dyDescent="0.3">
      <c r="A133" s="9">
        <v>1132</v>
      </c>
      <c r="B133" s="9" t="s">
        <v>18</v>
      </c>
      <c r="C133" s="4" t="s">
        <v>31</v>
      </c>
      <c r="D133" s="4" t="s">
        <v>20</v>
      </c>
      <c r="E133" s="4" t="s">
        <v>48</v>
      </c>
      <c r="F133" s="4">
        <v>10</v>
      </c>
      <c r="G133" s="4">
        <v>270</v>
      </c>
      <c r="H133" s="4">
        <v>7</v>
      </c>
      <c r="I133" s="7">
        <v>46024</v>
      </c>
      <c r="J133" s="7">
        <v>46034</v>
      </c>
      <c r="K133" s="4" t="s">
        <v>80</v>
      </c>
      <c r="L133" s="4" t="str">
        <f t="shared" si="6"/>
        <v>Rit1132</v>
      </c>
      <c r="M133" s="4" t="str">
        <f t="shared" si="7"/>
        <v>Marer</v>
      </c>
      <c r="N133" s="4" t="str">
        <f t="shared" si="8"/>
        <v>Mr</v>
      </c>
    </row>
    <row r="134" spans="1:14" x14ac:dyDescent="0.3">
      <c r="A134" s="9">
        <v>1133</v>
      </c>
      <c r="B134" s="9" t="s">
        <v>18</v>
      </c>
      <c r="C134" s="4" t="s">
        <v>19</v>
      </c>
      <c r="D134" s="4" t="s">
        <v>24</v>
      </c>
      <c r="E134" s="4" t="s">
        <v>11</v>
      </c>
      <c r="F134" s="4">
        <v>6</v>
      </c>
      <c r="G134" s="4">
        <v>9037</v>
      </c>
      <c r="H134" s="4">
        <v>2</v>
      </c>
      <c r="I134" s="7">
        <v>46112</v>
      </c>
      <c r="J134" s="7">
        <v>46121</v>
      </c>
      <c r="K134" s="4" t="s">
        <v>81</v>
      </c>
      <c r="L134" s="4" t="str">
        <f t="shared" si="6"/>
        <v>Rit1133</v>
      </c>
      <c r="M134" s="4" t="str">
        <f t="shared" si="7"/>
        <v>Cabet</v>
      </c>
      <c r="N134" s="4" t="str">
        <f t="shared" si="8"/>
        <v>Cet</v>
      </c>
    </row>
    <row r="135" spans="1:14" x14ac:dyDescent="0.3">
      <c r="A135" s="9">
        <v>1134</v>
      </c>
      <c r="B135" s="9" t="s">
        <v>54</v>
      </c>
      <c r="C135" s="4" t="s">
        <v>31</v>
      </c>
      <c r="D135" s="4" t="s">
        <v>34</v>
      </c>
      <c r="E135" s="4" t="s">
        <v>12</v>
      </c>
      <c r="F135" s="4">
        <v>10</v>
      </c>
      <c r="G135" s="4">
        <v>29217</v>
      </c>
      <c r="H135" s="4">
        <v>15</v>
      </c>
      <c r="I135" s="7">
        <v>46148</v>
      </c>
      <c r="J135" s="7">
        <v>46150</v>
      </c>
      <c r="K135" s="4" t="s">
        <v>80</v>
      </c>
      <c r="L135" s="4" t="str">
        <f t="shared" si="6"/>
        <v>Sar1134</v>
      </c>
      <c r="M135" s="4" t="str">
        <f t="shared" si="7"/>
        <v>Mouse</v>
      </c>
      <c r="N135" s="4" t="str">
        <f t="shared" si="8"/>
        <v>M</v>
      </c>
    </row>
    <row r="136" spans="1:14" x14ac:dyDescent="0.3">
      <c r="A136" s="9">
        <v>1135</v>
      </c>
      <c r="B136" s="9" t="s">
        <v>47</v>
      </c>
      <c r="C136" s="4" t="s">
        <v>42</v>
      </c>
      <c r="D136" s="4" t="s">
        <v>34</v>
      </c>
      <c r="E136" s="4" t="s">
        <v>5</v>
      </c>
      <c r="F136" s="4">
        <v>14</v>
      </c>
      <c r="G136" s="4">
        <v>68534</v>
      </c>
      <c r="H136" s="4">
        <v>0</v>
      </c>
      <c r="I136" s="7">
        <v>46041</v>
      </c>
      <c r="J136" s="7">
        <v>46042</v>
      </c>
      <c r="K136" s="4" t="s">
        <v>78</v>
      </c>
      <c r="L136" s="4" t="str">
        <f t="shared" si="6"/>
        <v>Aja1135</v>
      </c>
      <c r="M136" s="4" t="str">
        <f t="shared" si="7"/>
        <v>Keyrd</v>
      </c>
      <c r="N136" s="4" t="str">
        <f t="shared" si="8"/>
        <v>Kard</v>
      </c>
    </row>
    <row r="137" spans="1:14" x14ac:dyDescent="0.3">
      <c r="A137" s="9">
        <v>1136</v>
      </c>
      <c r="B137" s="9" t="s">
        <v>29</v>
      </c>
      <c r="C137" s="4" t="s">
        <v>42</v>
      </c>
      <c r="D137" s="4" t="s">
        <v>24</v>
      </c>
      <c r="E137" s="4" t="s">
        <v>11</v>
      </c>
      <c r="F137" s="4">
        <v>19</v>
      </c>
      <c r="G137" s="4">
        <v>14528</v>
      </c>
      <c r="H137" s="4">
        <v>12</v>
      </c>
      <c r="I137" s="7">
        <v>46056</v>
      </c>
      <c r="J137" s="7">
        <v>46062</v>
      </c>
      <c r="K137" s="4" t="s">
        <v>80</v>
      </c>
      <c r="L137" s="4" t="str">
        <f t="shared" si="6"/>
        <v>Arj1136</v>
      </c>
      <c r="M137" s="4" t="str">
        <f t="shared" si="7"/>
        <v>Cabet</v>
      </c>
      <c r="N137" s="4" t="str">
        <f t="shared" si="8"/>
        <v>Cet</v>
      </c>
    </row>
    <row r="138" spans="1:14" x14ac:dyDescent="0.3">
      <c r="A138" s="9">
        <v>1137</v>
      </c>
      <c r="B138" s="9" t="s">
        <v>50</v>
      </c>
      <c r="C138" s="4" t="s">
        <v>19</v>
      </c>
      <c r="D138" s="4" t="s">
        <v>20</v>
      </c>
      <c r="E138" s="4" t="s">
        <v>37</v>
      </c>
      <c r="F138" s="4">
        <v>16</v>
      </c>
      <c r="G138" s="4">
        <v>270</v>
      </c>
      <c r="H138" s="4">
        <v>10</v>
      </c>
      <c r="I138" s="7">
        <v>46184</v>
      </c>
      <c r="J138" s="7">
        <v>46190</v>
      </c>
      <c r="K138" s="4" t="s">
        <v>49</v>
      </c>
      <c r="L138" s="4" t="str">
        <f t="shared" si="6"/>
        <v>Kom1137</v>
      </c>
      <c r="M138" s="4" t="str">
        <f t="shared" si="7"/>
        <v>Penck</v>
      </c>
      <c r="N138" s="4" t="str">
        <f t="shared" si="8"/>
        <v>Pack</v>
      </c>
    </row>
    <row r="139" spans="1:14" x14ac:dyDescent="0.3">
      <c r="A139" s="9">
        <v>1138</v>
      </c>
      <c r="B139" s="9" t="s">
        <v>53</v>
      </c>
      <c r="C139" s="4" t="s">
        <v>42</v>
      </c>
      <c r="D139" s="4" t="s">
        <v>24</v>
      </c>
      <c r="E139" s="4" t="s">
        <v>7</v>
      </c>
      <c r="F139" s="4">
        <v>5</v>
      </c>
      <c r="G139" s="4">
        <v>14466</v>
      </c>
      <c r="H139" s="4">
        <v>2</v>
      </c>
      <c r="I139" s="7">
        <v>46084</v>
      </c>
      <c r="J139" s="7">
        <v>46092</v>
      </c>
      <c r="K139" s="4" t="s">
        <v>81</v>
      </c>
      <c r="L139" s="4" t="str">
        <f t="shared" si="6"/>
        <v>Sne1138</v>
      </c>
      <c r="M139" s="4" t="str">
        <f t="shared" si="7"/>
        <v>Dessk</v>
      </c>
      <c r="N139" s="4" t="str">
        <f t="shared" si="8"/>
        <v>D</v>
      </c>
    </row>
    <row r="140" spans="1:14" x14ac:dyDescent="0.3">
      <c r="A140" s="9">
        <v>1139</v>
      </c>
      <c r="B140" s="9" t="s">
        <v>53</v>
      </c>
      <c r="C140" s="4" t="s">
        <v>33</v>
      </c>
      <c r="D140" s="4" t="s">
        <v>34</v>
      </c>
      <c r="E140" s="4" t="s">
        <v>12</v>
      </c>
      <c r="F140" s="4">
        <v>17</v>
      </c>
      <c r="G140" s="4">
        <v>28839</v>
      </c>
      <c r="H140" s="4">
        <v>10</v>
      </c>
      <c r="I140" s="7">
        <v>46093</v>
      </c>
      <c r="J140" s="7">
        <v>46099</v>
      </c>
      <c r="K140" s="4" t="s">
        <v>78</v>
      </c>
      <c r="L140" s="4" t="str">
        <f t="shared" si="6"/>
        <v>Sne1139</v>
      </c>
      <c r="M140" s="4" t="str">
        <f t="shared" si="7"/>
        <v>Mouse</v>
      </c>
      <c r="N140" s="4" t="str">
        <f t="shared" si="8"/>
        <v>M</v>
      </c>
    </row>
    <row r="141" spans="1:14" x14ac:dyDescent="0.3">
      <c r="A141" s="9">
        <v>1140</v>
      </c>
      <c r="B141" s="9" t="s">
        <v>54</v>
      </c>
      <c r="C141" s="4" t="s">
        <v>38</v>
      </c>
      <c r="D141" s="4" t="s">
        <v>34</v>
      </c>
      <c r="E141" s="4" t="s">
        <v>40</v>
      </c>
      <c r="F141" s="4">
        <v>5</v>
      </c>
      <c r="G141" s="4">
        <v>68012</v>
      </c>
      <c r="H141" s="4">
        <v>5</v>
      </c>
      <c r="I141" s="7">
        <v>46061</v>
      </c>
      <c r="J141" s="7">
        <v>46065</v>
      </c>
      <c r="K141" s="4" t="s">
        <v>78</v>
      </c>
      <c r="L141" s="4" t="str">
        <f t="shared" si="6"/>
        <v>Sar1140</v>
      </c>
      <c r="M141" s="4" t="str">
        <f t="shared" si="7"/>
        <v>Heaet</v>
      </c>
      <c r="N141" s="4" t="str">
        <f t="shared" si="8"/>
        <v>Het</v>
      </c>
    </row>
    <row r="142" spans="1:14" x14ac:dyDescent="0.3">
      <c r="A142" s="9">
        <v>1141</v>
      </c>
      <c r="B142" s="9" t="s">
        <v>18</v>
      </c>
      <c r="C142" s="4" t="s">
        <v>23</v>
      </c>
      <c r="D142" s="4" t="s">
        <v>24</v>
      </c>
      <c r="E142" s="4" t="s">
        <v>43</v>
      </c>
      <c r="F142" s="4">
        <v>20</v>
      </c>
      <c r="G142" s="4">
        <v>6835</v>
      </c>
      <c r="H142" s="4">
        <v>2</v>
      </c>
      <c r="I142" s="7">
        <v>46043</v>
      </c>
      <c r="J142" s="7">
        <v>46053</v>
      </c>
      <c r="K142" s="4" t="s">
        <v>78</v>
      </c>
      <c r="L142" s="4" t="str">
        <f t="shared" si="6"/>
        <v>Rit1141</v>
      </c>
      <c r="M142" s="4" t="str">
        <f t="shared" si="7"/>
        <v>Boolf</v>
      </c>
      <c r="N142" s="4" t="str">
        <f t="shared" si="8"/>
        <v>Bhelf</v>
      </c>
    </row>
    <row r="143" spans="1:14" x14ac:dyDescent="0.3">
      <c r="A143" s="9">
        <v>1142</v>
      </c>
      <c r="B143" s="9" t="s">
        <v>39</v>
      </c>
      <c r="C143" s="4" t="s">
        <v>27</v>
      </c>
      <c r="D143" s="4" t="s">
        <v>34</v>
      </c>
      <c r="E143" s="4" t="s">
        <v>9</v>
      </c>
      <c r="F143" s="4">
        <v>9</v>
      </c>
      <c r="G143" s="4">
        <v>59788</v>
      </c>
      <c r="H143" s="4">
        <v>7</v>
      </c>
      <c r="I143" s="7">
        <v>46064</v>
      </c>
      <c r="J143" s="7">
        <v>46071</v>
      </c>
      <c r="K143" s="4" t="s">
        <v>49</v>
      </c>
      <c r="L143" s="4" t="str">
        <f t="shared" si="6"/>
        <v>Dee1142</v>
      </c>
      <c r="M143" s="4" t="str">
        <f t="shared" si="7"/>
        <v>Lapop</v>
      </c>
      <c r="N143" s="4" t="str">
        <f t="shared" si="8"/>
        <v>Lp</v>
      </c>
    </row>
    <row r="144" spans="1:14" x14ac:dyDescent="0.3">
      <c r="A144" s="9">
        <v>1143</v>
      </c>
      <c r="B144" s="9" t="s">
        <v>49</v>
      </c>
      <c r="C144" s="4" t="s">
        <v>23</v>
      </c>
      <c r="D144" s="4" t="s">
        <v>20</v>
      </c>
      <c r="E144" s="4" t="s">
        <v>37</v>
      </c>
      <c r="F144" s="4">
        <v>13</v>
      </c>
      <c r="G144" s="4">
        <v>456</v>
      </c>
      <c r="H144" s="4">
        <v>2</v>
      </c>
      <c r="I144" s="7">
        <v>46160</v>
      </c>
      <c r="J144" s="7">
        <v>46167</v>
      </c>
      <c r="K144" s="4" t="s">
        <v>80</v>
      </c>
      <c r="L144" s="4" t="str">
        <f t="shared" si="6"/>
        <v>Pri1143</v>
      </c>
      <c r="M144" s="4" t="str">
        <f t="shared" si="7"/>
        <v>Penck</v>
      </c>
      <c r="N144" s="4" t="str">
        <f t="shared" si="8"/>
        <v>Pack</v>
      </c>
    </row>
    <row r="145" spans="1:14" x14ac:dyDescent="0.3">
      <c r="A145" s="9">
        <v>1144</v>
      </c>
      <c r="B145" s="9" t="s">
        <v>41</v>
      </c>
      <c r="C145" s="4" t="s">
        <v>27</v>
      </c>
      <c r="D145" s="4" t="s">
        <v>20</v>
      </c>
      <c r="E145" s="4" t="s">
        <v>21</v>
      </c>
      <c r="F145" s="4">
        <v>16</v>
      </c>
      <c r="G145" s="4">
        <v>219</v>
      </c>
      <c r="H145" s="4">
        <v>7</v>
      </c>
      <c r="I145" s="7">
        <v>46138</v>
      </c>
      <c r="J145" s="7">
        <v>46140</v>
      </c>
      <c r="K145" s="4" t="s">
        <v>79</v>
      </c>
      <c r="L145" s="4" t="str">
        <f t="shared" si="6"/>
        <v>Nis1144</v>
      </c>
      <c r="M145" s="4" t="str">
        <f t="shared" si="7"/>
        <v>Notok</v>
      </c>
      <c r="N145" s="4" t="str">
        <f t="shared" si="8"/>
        <v>Nook</v>
      </c>
    </row>
    <row r="146" spans="1:14" x14ac:dyDescent="0.3">
      <c r="A146" s="9">
        <v>1145</v>
      </c>
      <c r="B146" s="9" t="s">
        <v>41</v>
      </c>
      <c r="C146" s="4" t="s">
        <v>33</v>
      </c>
      <c r="D146" s="4" t="s">
        <v>34</v>
      </c>
      <c r="E146" s="4" t="s">
        <v>5</v>
      </c>
      <c r="F146" s="4">
        <v>2</v>
      </c>
      <c r="G146" s="4">
        <v>34429</v>
      </c>
      <c r="H146" s="4">
        <v>12</v>
      </c>
      <c r="I146" s="7">
        <v>46102</v>
      </c>
      <c r="J146" s="7">
        <v>46112</v>
      </c>
      <c r="K146" s="4" t="s">
        <v>80</v>
      </c>
      <c r="L146" s="4" t="str">
        <f t="shared" si="6"/>
        <v>Nis1145</v>
      </c>
      <c r="M146" s="4" t="str">
        <f t="shared" si="7"/>
        <v>Keyrd</v>
      </c>
      <c r="N146" s="4" t="str">
        <f t="shared" si="8"/>
        <v>Kard</v>
      </c>
    </row>
    <row r="147" spans="1:14" x14ac:dyDescent="0.3">
      <c r="A147" s="9">
        <v>1146</v>
      </c>
      <c r="B147" s="9" t="s">
        <v>22</v>
      </c>
      <c r="C147" s="4" t="s">
        <v>42</v>
      </c>
      <c r="D147" s="4" t="s">
        <v>34</v>
      </c>
      <c r="E147" s="4" t="s">
        <v>6</v>
      </c>
      <c r="F147" s="4">
        <v>7</v>
      </c>
      <c r="G147" s="4">
        <v>68217</v>
      </c>
      <c r="H147" s="4">
        <v>0</v>
      </c>
      <c r="I147" s="7">
        <v>46190</v>
      </c>
      <c r="J147" s="7">
        <v>46197</v>
      </c>
      <c r="K147" s="4" t="s">
        <v>49</v>
      </c>
      <c r="L147" s="4" t="str">
        <f t="shared" si="6"/>
        <v>Poo1146</v>
      </c>
      <c r="M147" s="4" t="str">
        <f t="shared" si="7"/>
        <v>Monor</v>
      </c>
      <c r="N147" s="4" t="str">
        <f t="shared" si="8"/>
        <v>Mor</v>
      </c>
    </row>
    <row r="148" spans="1:14" x14ac:dyDescent="0.3">
      <c r="A148" s="9">
        <v>1147</v>
      </c>
      <c r="B148" s="9" t="s">
        <v>18</v>
      </c>
      <c r="C148" s="4" t="s">
        <v>26</v>
      </c>
      <c r="D148" s="4" t="s">
        <v>24</v>
      </c>
      <c r="E148" s="4" t="s">
        <v>8</v>
      </c>
      <c r="F148" s="4">
        <v>7</v>
      </c>
      <c r="G148" s="4">
        <v>9581</v>
      </c>
      <c r="H148" s="4">
        <v>5</v>
      </c>
      <c r="I148" s="7">
        <v>46154</v>
      </c>
      <c r="J148" s="7">
        <v>46155</v>
      </c>
      <c r="K148" s="4" t="s">
        <v>79</v>
      </c>
      <c r="L148" s="4" t="str">
        <f t="shared" si="6"/>
        <v>Rit1147</v>
      </c>
      <c r="M148" s="4" t="str">
        <f t="shared" si="7"/>
        <v>Chair</v>
      </c>
      <c r="N148" s="4" t="str">
        <f t="shared" si="8"/>
        <v>C</v>
      </c>
    </row>
    <row r="149" spans="1:14" x14ac:dyDescent="0.3">
      <c r="A149" s="9">
        <v>1148</v>
      </c>
      <c r="B149" s="9" t="s">
        <v>56</v>
      </c>
      <c r="C149" s="4" t="s">
        <v>33</v>
      </c>
      <c r="D149" s="4" t="s">
        <v>24</v>
      </c>
      <c r="E149" s="4" t="s">
        <v>8</v>
      </c>
      <c r="F149" s="4">
        <v>11</v>
      </c>
      <c r="G149" s="4">
        <v>3023</v>
      </c>
      <c r="H149" s="4">
        <v>7</v>
      </c>
      <c r="I149" s="7">
        <v>46030</v>
      </c>
      <c r="J149" s="7">
        <v>46032</v>
      </c>
      <c r="K149" s="4" t="s">
        <v>80</v>
      </c>
      <c r="L149" s="4" t="str">
        <f t="shared" si="6"/>
        <v>Ani1148</v>
      </c>
      <c r="M149" s="4" t="str">
        <f t="shared" si="7"/>
        <v>Chair</v>
      </c>
      <c r="N149" s="4" t="str">
        <f t="shared" si="8"/>
        <v>C</v>
      </c>
    </row>
    <row r="150" spans="1:14" x14ac:dyDescent="0.3">
      <c r="A150" s="9">
        <v>1149</v>
      </c>
      <c r="B150" s="9" t="s">
        <v>28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7">
        <v>46053</v>
      </c>
      <c r="J150" s="7">
        <v>46054</v>
      </c>
      <c r="K150" s="4" t="s">
        <v>49</v>
      </c>
      <c r="L150" s="4" t="str">
        <f t="shared" si="6"/>
        <v>Vik1149</v>
      </c>
      <c r="M150" s="4" t="str">
        <f t="shared" si="7"/>
        <v>Prier</v>
      </c>
      <c r="N150" s="4" t="str">
        <f t="shared" si="8"/>
        <v>Per</v>
      </c>
    </row>
    <row r="151" spans="1:14" x14ac:dyDescent="0.3">
      <c r="A151" s="9">
        <v>1150</v>
      </c>
      <c r="B151" s="9" t="s">
        <v>41</v>
      </c>
      <c r="C151" s="4" t="s">
        <v>19</v>
      </c>
      <c r="D151" s="4" t="s">
        <v>24</v>
      </c>
      <c r="E151" s="4" t="s">
        <v>11</v>
      </c>
      <c r="F151" s="4">
        <v>10</v>
      </c>
      <c r="G151" s="4">
        <v>5323</v>
      </c>
      <c r="H151" s="4">
        <v>7</v>
      </c>
      <c r="I151" s="7">
        <v>46143</v>
      </c>
      <c r="J151" s="7">
        <v>46153</v>
      </c>
      <c r="K151" s="4" t="s">
        <v>80</v>
      </c>
      <c r="L151" s="4" t="str">
        <f t="shared" si="6"/>
        <v>Nis1150</v>
      </c>
      <c r="M151" s="4" t="str">
        <f t="shared" si="7"/>
        <v>Cabet</v>
      </c>
      <c r="N151" s="4" t="str">
        <f t="shared" si="8"/>
        <v>Cet</v>
      </c>
    </row>
    <row r="152" spans="1:14" x14ac:dyDescent="0.3">
      <c r="A152" s="9">
        <v>1151</v>
      </c>
      <c r="B152" s="9" t="s">
        <v>44</v>
      </c>
      <c r="C152" s="4" t="s">
        <v>42</v>
      </c>
      <c r="D152" s="4" t="s">
        <v>20</v>
      </c>
      <c r="E152" s="4" t="s">
        <v>48</v>
      </c>
      <c r="F152" s="4">
        <v>20</v>
      </c>
      <c r="G152" s="4">
        <v>272</v>
      </c>
      <c r="H152" s="4">
        <v>15</v>
      </c>
      <c r="I152" s="7">
        <v>46024</v>
      </c>
      <c r="J152" s="7">
        <v>46029</v>
      </c>
      <c r="K152" s="4" t="s">
        <v>81</v>
      </c>
      <c r="L152" s="4" t="str">
        <f t="shared" si="6"/>
        <v>Kir1151</v>
      </c>
      <c r="M152" s="4" t="str">
        <f t="shared" si="7"/>
        <v>Marer</v>
      </c>
      <c r="N152" s="4" t="str">
        <f t="shared" si="8"/>
        <v>Mr</v>
      </c>
    </row>
    <row r="153" spans="1:14" x14ac:dyDescent="0.3">
      <c r="A153" s="9">
        <v>1152</v>
      </c>
      <c r="B153" s="9" t="s">
        <v>29</v>
      </c>
      <c r="C153" s="4" t="s">
        <v>31</v>
      </c>
      <c r="D153" s="4" t="s">
        <v>34</v>
      </c>
      <c r="E153" s="4" t="s">
        <v>12</v>
      </c>
      <c r="F153" s="4">
        <v>14</v>
      </c>
      <c r="G153" s="4">
        <v>8150</v>
      </c>
      <c r="H153" s="4">
        <v>10</v>
      </c>
      <c r="I153" s="7">
        <v>46062</v>
      </c>
      <c r="J153" s="7">
        <v>46070</v>
      </c>
      <c r="K153" s="4" t="s">
        <v>78</v>
      </c>
      <c r="L153" s="4" t="str">
        <f t="shared" si="6"/>
        <v>Arj1152</v>
      </c>
      <c r="M153" s="4" t="str">
        <f t="shared" si="7"/>
        <v>Mouse</v>
      </c>
      <c r="N153" s="4" t="str">
        <f t="shared" si="8"/>
        <v>M</v>
      </c>
    </row>
    <row r="154" spans="1:14" x14ac:dyDescent="0.3">
      <c r="A154" s="9">
        <v>1153</v>
      </c>
      <c r="B154" s="9" t="s">
        <v>41</v>
      </c>
      <c r="C154" s="4" t="s">
        <v>27</v>
      </c>
      <c r="D154" s="4" t="s">
        <v>24</v>
      </c>
      <c r="E154" s="4" t="s">
        <v>10</v>
      </c>
      <c r="F154" s="4">
        <v>19</v>
      </c>
      <c r="G154" s="4">
        <v>10273</v>
      </c>
      <c r="H154" s="4">
        <v>12</v>
      </c>
      <c r="I154" s="7">
        <v>46069</v>
      </c>
      <c r="J154" s="7">
        <v>46072</v>
      </c>
      <c r="K154" s="4" t="s">
        <v>49</v>
      </c>
      <c r="L154" s="4" t="str">
        <f t="shared" si="6"/>
        <v>Nis1153</v>
      </c>
      <c r="M154" s="4" t="str">
        <f t="shared" si="7"/>
        <v>Table</v>
      </c>
      <c r="N154" s="4" t="str">
        <f t="shared" si="8"/>
        <v>T</v>
      </c>
    </row>
    <row r="155" spans="1:14" x14ac:dyDescent="0.3">
      <c r="A155" s="9">
        <v>1154</v>
      </c>
      <c r="B155" s="9" t="s">
        <v>32</v>
      </c>
      <c r="C155" s="4" t="s">
        <v>23</v>
      </c>
      <c r="D155" s="4" t="s">
        <v>24</v>
      </c>
      <c r="E155" s="4" t="s">
        <v>11</v>
      </c>
      <c r="F155" s="4">
        <v>15</v>
      </c>
      <c r="G155" s="4">
        <v>6101</v>
      </c>
      <c r="H155" s="4">
        <v>0</v>
      </c>
      <c r="I155" s="7">
        <v>46178</v>
      </c>
      <c r="J155" s="7">
        <v>46183</v>
      </c>
      <c r="K155" s="4" t="s">
        <v>81</v>
      </c>
      <c r="L155" s="4" t="str">
        <f t="shared" si="6"/>
        <v>Ash1154</v>
      </c>
      <c r="M155" s="4" t="str">
        <f t="shared" si="7"/>
        <v>Cabet</v>
      </c>
      <c r="N155" s="4" t="str">
        <f t="shared" si="8"/>
        <v>Cet</v>
      </c>
    </row>
    <row r="156" spans="1:14" x14ac:dyDescent="0.3">
      <c r="A156" s="9">
        <v>1155</v>
      </c>
      <c r="B156" s="9" t="s">
        <v>18</v>
      </c>
      <c r="C156" s="4" t="s">
        <v>31</v>
      </c>
      <c r="D156" s="4" t="s">
        <v>24</v>
      </c>
      <c r="E156" s="4" t="s">
        <v>8</v>
      </c>
      <c r="F156" s="4">
        <v>13</v>
      </c>
      <c r="G156" s="4">
        <v>4341</v>
      </c>
      <c r="H156" s="4">
        <v>15</v>
      </c>
      <c r="I156" s="7">
        <v>46093</v>
      </c>
      <c r="J156" s="7">
        <v>46096</v>
      </c>
      <c r="K156" s="4" t="s">
        <v>80</v>
      </c>
      <c r="L156" s="4" t="str">
        <f t="shared" si="6"/>
        <v>Rit1155</v>
      </c>
      <c r="M156" s="4" t="str">
        <f t="shared" si="7"/>
        <v>Chair</v>
      </c>
      <c r="N156" s="4" t="str">
        <f t="shared" si="8"/>
        <v>C</v>
      </c>
    </row>
    <row r="157" spans="1:14" x14ac:dyDescent="0.3">
      <c r="A157" s="9">
        <v>1156</v>
      </c>
      <c r="B157" s="9" t="s">
        <v>52</v>
      </c>
      <c r="C157" s="4" t="s">
        <v>38</v>
      </c>
      <c r="D157" s="4" t="s">
        <v>20</v>
      </c>
      <c r="E157" s="4" t="s">
        <v>36</v>
      </c>
      <c r="F157" s="4">
        <v>5</v>
      </c>
      <c r="G157" s="4">
        <v>466</v>
      </c>
      <c r="H157" s="4">
        <v>15</v>
      </c>
      <c r="I157" s="7">
        <v>46025</v>
      </c>
      <c r="J157" s="7">
        <v>46029</v>
      </c>
      <c r="K157" s="4" t="s">
        <v>78</v>
      </c>
      <c r="L157" s="4" t="str">
        <f t="shared" si="6"/>
        <v>Man1156</v>
      </c>
      <c r="M157" s="4" t="str">
        <f t="shared" si="7"/>
        <v>Staer</v>
      </c>
      <c r="N157" s="4" t="str">
        <f t="shared" si="8"/>
        <v>Ser</v>
      </c>
    </row>
    <row r="158" spans="1:14" x14ac:dyDescent="0.3">
      <c r="A158" s="9">
        <v>1157</v>
      </c>
      <c r="B158" s="9" t="s">
        <v>50</v>
      </c>
      <c r="C158" s="4" t="s">
        <v>33</v>
      </c>
      <c r="D158" s="4" t="s">
        <v>20</v>
      </c>
      <c r="E158" s="4" t="s">
        <v>48</v>
      </c>
      <c r="F158" s="4">
        <v>3</v>
      </c>
      <c r="G158" s="4">
        <v>203</v>
      </c>
      <c r="H158" s="4">
        <v>15</v>
      </c>
      <c r="I158" s="7">
        <v>46076</v>
      </c>
      <c r="J158" s="7">
        <v>46080</v>
      </c>
      <c r="K158" s="4" t="s">
        <v>49</v>
      </c>
      <c r="L158" s="4" t="str">
        <f t="shared" si="6"/>
        <v>Kom1157</v>
      </c>
      <c r="M158" s="4" t="str">
        <f t="shared" si="7"/>
        <v>Marer</v>
      </c>
      <c r="N158" s="4" t="str">
        <f t="shared" si="8"/>
        <v>Mr</v>
      </c>
    </row>
    <row r="159" spans="1:14" x14ac:dyDescent="0.3">
      <c r="A159" s="9">
        <v>1158</v>
      </c>
      <c r="B159" s="9" t="s">
        <v>28</v>
      </c>
      <c r="C159" s="4" t="s">
        <v>38</v>
      </c>
      <c r="D159" s="4" t="s">
        <v>34</v>
      </c>
      <c r="E159" s="4" t="s">
        <v>40</v>
      </c>
      <c r="F159" s="4">
        <v>13</v>
      </c>
      <c r="G159" s="4">
        <v>12518</v>
      </c>
      <c r="H159" s="4">
        <v>2</v>
      </c>
      <c r="I159" s="7">
        <v>46079</v>
      </c>
      <c r="J159" s="7">
        <v>46082</v>
      </c>
      <c r="K159" s="4" t="s">
        <v>81</v>
      </c>
      <c r="L159" s="4" t="str">
        <f t="shared" si="6"/>
        <v>Vik1158</v>
      </c>
      <c r="M159" s="4" t="str">
        <f t="shared" si="7"/>
        <v>Heaet</v>
      </c>
      <c r="N159" s="4" t="str">
        <f t="shared" si="8"/>
        <v>Het</v>
      </c>
    </row>
    <row r="160" spans="1:14" x14ac:dyDescent="0.3">
      <c r="A160" s="9">
        <v>1159</v>
      </c>
      <c r="B160" s="9" t="s">
        <v>32</v>
      </c>
      <c r="C160" s="4" t="s">
        <v>42</v>
      </c>
      <c r="D160" s="4" t="s">
        <v>24</v>
      </c>
      <c r="E160" s="4" t="s">
        <v>8</v>
      </c>
      <c r="F160" s="4">
        <v>20</v>
      </c>
      <c r="G160" s="4">
        <v>14000</v>
      </c>
      <c r="H160" s="4">
        <v>15</v>
      </c>
      <c r="I160" s="7">
        <v>46184</v>
      </c>
      <c r="J160" s="7">
        <v>46187</v>
      </c>
      <c r="K160" s="4" t="s">
        <v>78</v>
      </c>
      <c r="L160" s="4" t="str">
        <f t="shared" si="6"/>
        <v>Ash1159</v>
      </c>
      <c r="M160" s="4" t="str">
        <f t="shared" si="7"/>
        <v>Chair</v>
      </c>
      <c r="N160" s="4" t="str">
        <f t="shared" si="8"/>
        <v>C</v>
      </c>
    </row>
    <row r="161" spans="1:14" x14ac:dyDescent="0.3">
      <c r="A161" s="9">
        <v>1160</v>
      </c>
      <c r="B161" s="9" t="s">
        <v>56</v>
      </c>
      <c r="C161" s="4" t="s">
        <v>26</v>
      </c>
      <c r="D161" s="4" t="s">
        <v>34</v>
      </c>
      <c r="E161" s="4" t="s">
        <v>5</v>
      </c>
      <c r="F161" s="4">
        <v>7</v>
      </c>
      <c r="G161" s="4">
        <v>53986</v>
      </c>
      <c r="H161" s="4">
        <v>10</v>
      </c>
      <c r="I161" s="7">
        <v>46142</v>
      </c>
      <c r="J161" s="7">
        <v>46147</v>
      </c>
      <c r="K161" s="4" t="s">
        <v>81</v>
      </c>
      <c r="L161" s="4" t="str">
        <f t="shared" si="6"/>
        <v>Ani1160</v>
      </c>
      <c r="M161" s="4" t="str">
        <f t="shared" si="7"/>
        <v>Keyrd</v>
      </c>
      <c r="N161" s="4" t="str">
        <f t="shared" si="8"/>
        <v>Kard</v>
      </c>
    </row>
    <row r="162" spans="1:14" x14ac:dyDescent="0.3">
      <c r="A162" s="9">
        <v>1161</v>
      </c>
      <c r="B162" s="9" t="s">
        <v>29</v>
      </c>
      <c r="C162" s="4" t="s">
        <v>27</v>
      </c>
      <c r="D162" s="4" t="s">
        <v>34</v>
      </c>
      <c r="E162" s="4" t="s">
        <v>5</v>
      </c>
      <c r="F162" s="4">
        <v>4</v>
      </c>
      <c r="G162" s="4">
        <v>54659</v>
      </c>
      <c r="H162" s="4">
        <v>7</v>
      </c>
      <c r="I162" s="7">
        <v>46105</v>
      </c>
      <c r="J162" s="7">
        <v>46109</v>
      </c>
      <c r="K162" s="4" t="s">
        <v>79</v>
      </c>
      <c r="L162" s="4" t="str">
        <f t="shared" si="6"/>
        <v>Arj1161</v>
      </c>
      <c r="M162" s="4" t="str">
        <f t="shared" si="7"/>
        <v>Keyrd</v>
      </c>
      <c r="N162" s="4" t="str">
        <f t="shared" si="8"/>
        <v>Kard</v>
      </c>
    </row>
    <row r="163" spans="1:14" x14ac:dyDescent="0.3">
      <c r="A163" s="9">
        <v>1162</v>
      </c>
      <c r="B163" s="9" t="s">
        <v>54</v>
      </c>
      <c r="C163" s="4" t="s">
        <v>31</v>
      </c>
      <c r="D163" s="4" t="s">
        <v>34</v>
      </c>
      <c r="E163" s="4" t="s">
        <v>6</v>
      </c>
      <c r="F163" s="4">
        <v>2</v>
      </c>
      <c r="G163" s="4">
        <v>28176</v>
      </c>
      <c r="H163" s="4">
        <v>10</v>
      </c>
      <c r="I163" s="7">
        <v>46100</v>
      </c>
      <c r="J163" s="7">
        <v>46101</v>
      </c>
      <c r="K163" s="4" t="s">
        <v>79</v>
      </c>
      <c r="L163" s="4" t="str">
        <f t="shared" si="6"/>
        <v>Sar1162</v>
      </c>
      <c r="M163" s="4" t="str">
        <f t="shared" si="7"/>
        <v>Monor</v>
      </c>
      <c r="N163" s="4" t="str">
        <f t="shared" si="8"/>
        <v>Mor</v>
      </c>
    </row>
    <row r="164" spans="1:14" x14ac:dyDescent="0.3">
      <c r="A164" s="9">
        <v>1163</v>
      </c>
      <c r="B164" s="9" t="s">
        <v>49</v>
      </c>
      <c r="C164" s="4" t="s">
        <v>38</v>
      </c>
      <c r="D164" s="4" t="s">
        <v>34</v>
      </c>
      <c r="E164" s="4" t="s">
        <v>5</v>
      </c>
      <c r="F164" s="4">
        <v>9</v>
      </c>
      <c r="G164" s="4">
        <v>62440</v>
      </c>
      <c r="H164" s="4">
        <v>2</v>
      </c>
      <c r="I164" s="7">
        <v>46081</v>
      </c>
      <c r="J164" s="7">
        <v>46086</v>
      </c>
      <c r="K164" s="4" t="s">
        <v>49</v>
      </c>
      <c r="L164" s="4" t="str">
        <f t="shared" si="6"/>
        <v>Pri1163</v>
      </c>
      <c r="M164" s="4" t="str">
        <f t="shared" si="7"/>
        <v>Keyrd</v>
      </c>
      <c r="N164" s="4" t="str">
        <f t="shared" si="8"/>
        <v>Kard</v>
      </c>
    </row>
    <row r="165" spans="1:14" x14ac:dyDescent="0.3">
      <c r="A165" s="9">
        <v>1164</v>
      </c>
      <c r="B165" s="9" t="s">
        <v>39</v>
      </c>
      <c r="C165" s="4" t="s">
        <v>42</v>
      </c>
      <c r="D165" s="4" t="s">
        <v>34</v>
      </c>
      <c r="E165" s="4" t="s">
        <v>12</v>
      </c>
      <c r="F165" s="4">
        <v>7</v>
      </c>
      <c r="G165" s="4">
        <v>24615</v>
      </c>
      <c r="H165" s="4">
        <v>12</v>
      </c>
      <c r="I165" s="7">
        <v>46196</v>
      </c>
      <c r="J165" s="7">
        <v>46203</v>
      </c>
      <c r="K165" s="4" t="s">
        <v>81</v>
      </c>
      <c r="L165" s="4" t="str">
        <f t="shared" si="6"/>
        <v>Dee1164</v>
      </c>
      <c r="M165" s="4" t="str">
        <f t="shared" si="7"/>
        <v>Mouse</v>
      </c>
      <c r="N165" s="4" t="str">
        <f t="shared" si="8"/>
        <v>M</v>
      </c>
    </row>
    <row r="166" spans="1:14" x14ac:dyDescent="0.3">
      <c r="A166" s="9">
        <v>1165</v>
      </c>
      <c r="B166" s="9" t="s">
        <v>46</v>
      </c>
      <c r="C166" s="4" t="s">
        <v>27</v>
      </c>
      <c r="D166" s="4" t="s">
        <v>20</v>
      </c>
      <c r="E166" s="4" t="s">
        <v>37</v>
      </c>
      <c r="F166" s="4">
        <v>1</v>
      </c>
      <c r="G166" s="4">
        <v>427</v>
      </c>
      <c r="H166" s="4">
        <v>0</v>
      </c>
      <c r="I166" s="7">
        <v>46042</v>
      </c>
      <c r="J166" s="7">
        <v>46050</v>
      </c>
      <c r="K166" s="4" t="s">
        <v>81</v>
      </c>
      <c r="L166" s="4" t="str">
        <f t="shared" ref="L166:L229" si="9">_xlfn.CONCAT(LEFT(B166, 3), A166)</f>
        <v>Nit1165</v>
      </c>
      <c r="M166" s="4" t="str">
        <f t="shared" ref="M166:M229" si="10">_xlfn.CONCAT(LEFT(E166, 3), RIGHT(E166,2))</f>
        <v>Penck</v>
      </c>
      <c r="N166" s="4" t="str">
        <f t="shared" ref="N166:N229" si="11">REPLACE(E166,2,4,"")</f>
        <v>Pack</v>
      </c>
    </row>
    <row r="167" spans="1:14" x14ac:dyDescent="0.3">
      <c r="A167" s="9">
        <v>1166</v>
      </c>
      <c r="B167" s="9" t="s">
        <v>32</v>
      </c>
      <c r="C167" s="4" t="s">
        <v>31</v>
      </c>
      <c r="D167" s="4" t="s">
        <v>20</v>
      </c>
      <c r="E167" s="4" t="s">
        <v>37</v>
      </c>
      <c r="F167" s="4">
        <v>1</v>
      </c>
      <c r="G167" s="4">
        <v>396</v>
      </c>
      <c r="H167" s="4">
        <v>5</v>
      </c>
      <c r="I167" s="7">
        <v>46092</v>
      </c>
      <c r="J167" s="7">
        <v>46093</v>
      </c>
      <c r="K167" s="4" t="s">
        <v>79</v>
      </c>
      <c r="L167" s="4" t="str">
        <f t="shared" si="9"/>
        <v>Ash1166</v>
      </c>
      <c r="M167" s="4" t="str">
        <f t="shared" si="10"/>
        <v>Penck</v>
      </c>
      <c r="N167" s="4" t="str">
        <f t="shared" si="11"/>
        <v>Pack</v>
      </c>
    </row>
    <row r="168" spans="1:14" x14ac:dyDescent="0.3">
      <c r="A168" s="9">
        <v>1167</v>
      </c>
      <c r="B168" s="9" t="s">
        <v>46</v>
      </c>
      <c r="C168" s="4" t="s">
        <v>23</v>
      </c>
      <c r="D168" s="4" t="s">
        <v>20</v>
      </c>
      <c r="E168" s="4" t="s">
        <v>37</v>
      </c>
      <c r="F168" s="4">
        <v>20</v>
      </c>
      <c r="G168" s="4">
        <v>251</v>
      </c>
      <c r="H168" s="4">
        <v>5</v>
      </c>
      <c r="I168" s="7">
        <v>46160</v>
      </c>
      <c r="J168" s="7">
        <v>46170</v>
      </c>
      <c r="K168" s="4" t="s">
        <v>49</v>
      </c>
      <c r="L168" s="4" t="str">
        <f t="shared" si="9"/>
        <v>Nit1167</v>
      </c>
      <c r="M168" s="4" t="str">
        <f t="shared" si="10"/>
        <v>Penck</v>
      </c>
      <c r="N168" s="4" t="str">
        <f t="shared" si="11"/>
        <v>Pack</v>
      </c>
    </row>
    <row r="169" spans="1:14" x14ac:dyDescent="0.3">
      <c r="A169" s="9">
        <v>1168</v>
      </c>
      <c r="B169" s="9" t="s">
        <v>52</v>
      </c>
      <c r="C169" s="4" t="s">
        <v>19</v>
      </c>
      <c r="D169" s="4" t="s">
        <v>20</v>
      </c>
      <c r="E169" s="4" t="s">
        <v>37</v>
      </c>
      <c r="F169" s="4">
        <v>18</v>
      </c>
      <c r="G169" s="4">
        <v>335</v>
      </c>
      <c r="H169" s="4">
        <v>15</v>
      </c>
      <c r="I169" s="7">
        <v>46130</v>
      </c>
      <c r="J169" s="7">
        <v>46140</v>
      </c>
      <c r="K169" s="4" t="s">
        <v>49</v>
      </c>
      <c r="L169" s="4" t="str">
        <f t="shared" si="9"/>
        <v>Man1168</v>
      </c>
      <c r="M169" s="4" t="str">
        <f t="shared" si="10"/>
        <v>Penck</v>
      </c>
      <c r="N169" s="4" t="str">
        <f t="shared" si="11"/>
        <v>Pack</v>
      </c>
    </row>
    <row r="170" spans="1:14" x14ac:dyDescent="0.3">
      <c r="A170" s="9">
        <v>1169</v>
      </c>
      <c r="B170" s="9" t="s">
        <v>45</v>
      </c>
      <c r="C170" s="4" t="s">
        <v>19</v>
      </c>
      <c r="D170" s="4" t="s">
        <v>24</v>
      </c>
      <c r="E170" s="4" t="s">
        <v>11</v>
      </c>
      <c r="F170" s="4">
        <v>12</v>
      </c>
      <c r="G170" s="4">
        <v>12104</v>
      </c>
      <c r="H170" s="4">
        <v>7</v>
      </c>
      <c r="I170" s="7">
        <v>46121</v>
      </c>
      <c r="J170" s="7">
        <v>46130</v>
      </c>
      <c r="K170" s="4" t="s">
        <v>80</v>
      </c>
      <c r="L170" s="4" t="str">
        <f t="shared" si="9"/>
        <v>Yas1169</v>
      </c>
      <c r="M170" s="4" t="str">
        <f t="shared" si="10"/>
        <v>Cabet</v>
      </c>
      <c r="N170" s="4" t="str">
        <f t="shared" si="11"/>
        <v>Cet</v>
      </c>
    </row>
    <row r="171" spans="1:14" x14ac:dyDescent="0.3">
      <c r="A171" s="9">
        <v>1170</v>
      </c>
      <c r="B171" s="9" t="s">
        <v>47</v>
      </c>
      <c r="C171" s="4" t="s">
        <v>38</v>
      </c>
      <c r="D171" s="4" t="s">
        <v>20</v>
      </c>
      <c r="E171" s="4" t="s">
        <v>21</v>
      </c>
      <c r="F171" s="4">
        <v>6</v>
      </c>
      <c r="G171" s="4">
        <v>339</v>
      </c>
      <c r="H171" s="4">
        <v>12</v>
      </c>
      <c r="I171" s="7">
        <v>46105</v>
      </c>
      <c r="J171" s="7">
        <v>46106</v>
      </c>
      <c r="K171" s="4" t="s">
        <v>80</v>
      </c>
      <c r="L171" s="4" t="str">
        <f t="shared" si="9"/>
        <v>Aja1170</v>
      </c>
      <c r="M171" s="4" t="str">
        <f t="shared" si="10"/>
        <v>Notok</v>
      </c>
      <c r="N171" s="4" t="str">
        <f t="shared" si="11"/>
        <v>Nook</v>
      </c>
    </row>
    <row r="172" spans="1:14" x14ac:dyDescent="0.3">
      <c r="A172" s="9">
        <v>1171</v>
      </c>
      <c r="B172" s="9" t="s">
        <v>54</v>
      </c>
      <c r="C172" s="4" t="s">
        <v>27</v>
      </c>
      <c r="D172" s="4" t="s">
        <v>20</v>
      </c>
      <c r="E172" s="4" t="s">
        <v>48</v>
      </c>
      <c r="F172" s="4">
        <v>17</v>
      </c>
      <c r="G172" s="4">
        <v>147</v>
      </c>
      <c r="H172" s="4">
        <v>12</v>
      </c>
      <c r="I172" s="7">
        <v>46155</v>
      </c>
      <c r="J172" s="7">
        <v>46160</v>
      </c>
      <c r="K172" s="4" t="s">
        <v>79</v>
      </c>
      <c r="L172" s="4" t="str">
        <f t="shared" si="9"/>
        <v>Sar1171</v>
      </c>
      <c r="M172" s="4" t="str">
        <f t="shared" si="10"/>
        <v>Marer</v>
      </c>
      <c r="N172" s="4" t="str">
        <f t="shared" si="11"/>
        <v>Mr</v>
      </c>
    </row>
    <row r="173" spans="1:14" x14ac:dyDescent="0.3">
      <c r="A173" s="9">
        <v>1172</v>
      </c>
      <c r="B173" s="9" t="s">
        <v>22</v>
      </c>
      <c r="C173" s="4" t="s">
        <v>19</v>
      </c>
      <c r="D173" s="4" t="s">
        <v>34</v>
      </c>
      <c r="E173" s="4" t="s">
        <v>6</v>
      </c>
      <c r="F173" s="4">
        <v>13</v>
      </c>
      <c r="G173" s="4">
        <v>43163</v>
      </c>
      <c r="H173" s="4">
        <v>12</v>
      </c>
      <c r="I173" s="7">
        <v>46120</v>
      </c>
      <c r="J173" s="7">
        <v>46129</v>
      </c>
      <c r="K173" s="4" t="s">
        <v>80</v>
      </c>
      <c r="L173" s="4" t="str">
        <f t="shared" si="9"/>
        <v>Poo1172</v>
      </c>
      <c r="M173" s="4" t="str">
        <f t="shared" si="10"/>
        <v>Monor</v>
      </c>
      <c r="N173" s="4" t="str">
        <f t="shared" si="11"/>
        <v>Mor</v>
      </c>
    </row>
    <row r="174" spans="1:14" x14ac:dyDescent="0.3">
      <c r="A174" s="9">
        <v>1173</v>
      </c>
      <c r="B174" s="9" t="s">
        <v>39</v>
      </c>
      <c r="C174" s="4" t="s">
        <v>23</v>
      </c>
      <c r="D174" s="4" t="s">
        <v>20</v>
      </c>
      <c r="E174" s="4" t="s">
        <v>37</v>
      </c>
      <c r="F174" s="4">
        <v>15</v>
      </c>
      <c r="G174" s="4">
        <v>214</v>
      </c>
      <c r="H174" s="4">
        <v>10</v>
      </c>
      <c r="I174" s="7">
        <v>46050</v>
      </c>
      <c r="J174" s="7">
        <v>46060</v>
      </c>
      <c r="K174" s="4" t="s">
        <v>81</v>
      </c>
      <c r="L174" s="4" t="str">
        <f t="shared" si="9"/>
        <v>Dee1173</v>
      </c>
      <c r="M174" s="4" t="str">
        <f t="shared" si="10"/>
        <v>Penck</v>
      </c>
      <c r="N174" s="4" t="str">
        <f t="shared" si="11"/>
        <v>Pack</v>
      </c>
    </row>
    <row r="175" spans="1:14" x14ac:dyDescent="0.3">
      <c r="A175" s="9">
        <v>1174</v>
      </c>
      <c r="B175" s="9" t="s">
        <v>55</v>
      </c>
      <c r="C175" s="4" t="s">
        <v>38</v>
      </c>
      <c r="D175" s="4" t="s">
        <v>20</v>
      </c>
      <c r="E175" s="4" t="s">
        <v>21</v>
      </c>
      <c r="F175" s="4">
        <v>13</v>
      </c>
      <c r="G175" s="4">
        <v>155</v>
      </c>
      <c r="H175" s="4">
        <v>2</v>
      </c>
      <c r="I175" s="7">
        <v>46066</v>
      </c>
      <c r="J175" s="7">
        <v>46069</v>
      </c>
      <c r="K175" s="4" t="s">
        <v>80</v>
      </c>
      <c r="L175" s="4" t="str">
        <f t="shared" si="9"/>
        <v>Roh1174</v>
      </c>
      <c r="M175" s="4" t="str">
        <f t="shared" si="10"/>
        <v>Notok</v>
      </c>
      <c r="N175" s="4" t="str">
        <f t="shared" si="11"/>
        <v>Nook</v>
      </c>
    </row>
    <row r="176" spans="1:14" x14ac:dyDescent="0.3">
      <c r="A176" s="9">
        <v>1175</v>
      </c>
      <c r="B176" s="9" t="s">
        <v>28</v>
      </c>
      <c r="C176" s="4" t="s">
        <v>23</v>
      </c>
      <c r="D176" s="4" t="s">
        <v>34</v>
      </c>
      <c r="E176" s="4" t="s">
        <v>40</v>
      </c>
      <c r="F176" s="4">
        <v>10</v>
      </c>
      <c r="G176" s="4">
        <v>20339</v>
      </c>
      <c r="H176" s="4">
        <v>2</v>
      </c>
      <c r="I176" s="7">
        <v>46088</v>
      </c>
      <c r="J176" s="7">
        <v>46094</v>
      </c>
      <c r="K176" s="4" t="s">
        <v>79</v>
      </c>
      <c r="L176" s="4" t="str">
        <f t="shared" si="9"/>
        <v>Vik1175</v>
      </c>
      <c r="M176" s="4" t="str">
        <f t="shared" si="10"/>
        <v>Heaet</v>
      </c>
      <c r="N176" s="4" t="str">
        <f t="shared" si="11"/>
        <v>Het</v>
      </c>
    </row>
    <row r="177" spans="1:14" x14ac:dyDescent="0.3">
      <c r="A177" s="9">
        <v>1176</v>
      </c>
      <c r="B177" s="9" t="s">
        <v>55</v>
      </c>
      <c r="C177" s="4" t="s">
        <v>38</v>
      </c>
      <c r="D177" s="4" t="s">
        <v>34</v>
      </c>
      <c r="E177" s="4" t="s">
        <v>40</v>
      </c>
      <c r="F177" s="4">
        <v>17</v>
      </c>
      <c r="G177" s="4">
        <v>46937</v>
      </c>
      <c r="H177" s="4">
        <v>12</v>
      </c>
      <c r="I177" s="7">
        <v>46048</v>
      </c>
      <c r="J177" s="7">
        <v>46056</v>
      </c>
      <c r="K177" s="4" t="s">
        <v>49</v>
      </c>
      <c r="L177" s="4" t="str">
        <f t="shared" si="9"/>
        <v>Roh1176</v>
      </c>
      <c r="M177" s="4" t="str">
        <f t="shared" si="10"/>
        <v>Heaet</v>
      </c>
      <c r="N177" s="4" t="str">
        <f t="shared" si="11"/>
        <v>Het</v>
      </c>
    </row>
    <row r="178" spans="1:14" x14ac:dyDescent="0.3">
      <c r="A178" s="9">
        <v>1177</v>
      </c>
      <c r="B178" s="9" t="s">
        <v>49</v>
      </c>
      <c r="C178" s="4" t="s">
        <v>26</v>
      </c>
      <c r="D178" s="4" t="s">
        <v>24</v>
      </c>
      <c r="E178" s="4" t="s">
        <v>7</v>
      </c>
      <c r="F178" s="4">
        <v>14</v>
      </c>
      <c r="G178" s="4">
        <v>7501</v>
      </c>
      <c r="H178" s="4">
        <v>7</v>
      </c>
      <c r="I178" s="7">
        <v>46169</v>
      </c>
      <c r="J178" s="7">
        <v>46179</v>
      </c>
      <c r="K178" s="4" t="s">
        <v>79</v>
      </c>
      <c r="L178" s="4" t="str">
        <f t="shared" si="9"/>
        <v>Pri1177</v>
      </c>
      <c r="M178" s="4" t="str">
        <f t="shared" si="10"/>
        <v>Dessk</v>
      </c>
      <c r="N178" s="4" t="str">
        <f t="shared" si="11"/>
        <v>D</v>
      </c>
    </row>
    <row r="179" spans="1:14" x14ac:dyDescent="0.3">
      <c r="A179" s="9">
        <v>1178</v>
      </c>
      <c r="B179" s="9" t="s">
        <v>54</v>
      </c>
      <c r="C179" s="4" t="s">
        <v>23</v>
      </c>
      <c r="D179" s="4" t="s">
        <v>20</v>
      </c>
      <c r="E179" s="4" t="s">
        <v>48</v>
      </c>
      <c r="F179" s="4">
        <v>5</v>
      </c>
      <c r="G179" s="4">
        <v>50</v>
      </c>
      <c r="H179" s="4">
        <v>0</v>
      </c>
      <c r="I179" s="7">
        <v>46111</v>
      </c>
      <c r="J179" s="7">
        <v>46117</v>
      </c>
      <c r="K179" s="4" t="s">
        <v>79</v>
      </c>
      <c r="L179" s="4" t="str">
        <f t="shared" si="9"/>
        <v>Sar1178</v>
      </c>
      <c r="M179" s="4" t="str">
        <f t="shared" si="10"/>
        <v>Marer</v>
      </c>
      <c r="N179" s="4" t="str">
        <f t="shared" si="11"/>
        <v>Mr</v>
      </c>
    </row>
    <row r="180" spans="1:14" x14ac:dyDescent="0.3">
      <c r="A180" s="9">
        <v>1179</v>
      </c>
      <c r="B180" s="9" t="s">
        <v>45</v>
      </c>
      <c r="C180" s="4" t="s">
        <v>23</v>
      </c>
      <c r="D180" s="4" t="s">
        <v>34</v>
      </c>
      <c r="E180" s="4" t="s">
        <v>5</v>
      </c>
      <c r="F180" s="4">
        <v>6</v>
      </c>
      <c r="G180" s="4">
        <v>10400</v>
      </c>
      <c r="H180" s="4">
        <v>2</v>
      </c>
      <c r="I180" s="7">
        <v>46155</v>
      </c>
      <c r="J180" s="7">
        <v>46158</v>
      </c>
      <c r="K180" s="4" t="s">
        <v>78</v>
      </c>
      <c r="L180" s="4" t="str">
        <f t="shared" si="9"/>
        <v>Yas1179</v>
      </c>
      <c r="M180" s="4" t="str">
        <f t="shared" si="10"/>
        <v>Keyrd</v>
      </c>
      <c r="N180" s="4" t="str">
        <f t="shared" si="11"/>
        <v>Kard</v>
      </c>
    </row>
    <row r="181" spans="1:14" x14ac:dyDescent="0.3">
      <c r="A181" s="9">
        <v>1180</v>
      </c>
      <c r="B181" s="9" t="s">
        <v>39</v>
      </c>
      <c r="C181" s="4" t="s">
        <v>31</v>
      </c>
      <c r="D181" s="4" t="s">
        <v>24</v>
      </c>
      <c r="E181" s="4" t="s">
        <v>8</v>
      </c>
      <c r="F181" s="4">
        <v>2</v>
      </c>
      <c r="G181" s="4">
        <v>2076</v>
      </c>
      <c r="H181" s="4">
        <v>2</v>
      </c>
      <c r="I181" s="7">
        <v>46111</v>
      </c>
      <c r="J181" s="7">
        <v>46121</v>
      </c>
      <c r="K181" s="4" t="s">
        <v>49</v>
      </c>
      <c r="L181" s="4" t="str">
        <f t="shared" si="9"/>
        <v>Dee1180</v>
      </c>
      <c r="M181" s="4" t="str">
        <f t="shared" si="10"/>
        <v>Chair</v>
      </c>
      <c r="N181" s="4" t="str">
        <f t="shared" si="11"/>
        <v>C</v>
      </c>
    </row>
    <row r="182" spans="1:14" x14ac:dyDescent="0.3">
      <c r="A182" s="9">
        <v>1181</v>
      </c>
      <c r="B182" s="9" t="s">
        <v>55</v>
      </c>
      <c r="C182" s="4" t="s">
        <v>33</v>
      </c>
      <c r="D182" s="4" t="s">
        <v>20</v>
      </c>
      <c r="E182" s="4" t="s">
        <v>36</v>
      </c>
      <c r="F182" s="4">
        <v>4</v>
      </c>
      <c r="G182" s="4">
        <v>357</v>
      </c>
      <c r="H182" s="4">
        <v>2</v>
      </c>
      <c r="I182" s="7">
        <v>46033</v>
      </c>
      <c r="J182" s="7">
        <v>46035</v>
      </c>
      <c r="K182" s="4" t="s">
        <v>78</v>
      </c>
      <c r="L182" s="4" t="str">
        <f t="shared" si="9"/>
        <v>Roh1181</v>
      </c>
      <c r="M182" s="4" t="str">
        <f t="shared" si="10"/>
        <v>Staer</v>
      </c>
      <c r="N182" s="4" t="str">
        <f t="shared" si="11"/>
        <v>Ser</v>
      </c>
    </row>
    <row r="183" spans="1:14" x14ac:dyDescent="0.3">
      <c r="A183" s="9">
        <v>1182</v>
      </c>
      <c r="B183" s="9" t="s">
        <v>41</v>
      </c>
      <c r="C183" s="4" t="s">
        <v>19</v>
      </c>
      <c r="D183" s="4" t="s">
        <v>34</v>
      </c>
      <c r="E183" s="4" t="s">
        <v>5</v>
      </c>
      <c r="F183" s="4">
        <v>8</v>
      </c>
      <c r="G183" s="4">
        <v>66022</v>
      </c>
      <c r="H183" s="4">
        <v>12</v>
      </c>
      <c r="I183" s="7">
        <v>46108</v>
      </c>
      <c r="J183" s="7">
        <v>46114</v>
      </c>
      <c r="K183" s="4" t="s">
        <v>80</v>
      </c>
      <c r="L183" s="4" t="str">
        <f t="shared" si="9"/>
        <v>Nis1182</v>
      </c>
      <c r="M183" s="4" t="str">
        <f t="shared" si="10"/>
        <v>Keyrd</v>
      </c>
      <c r="N183" s="4" t="str">
        <f t="shared" si="11"/>
        <v>Kard</v>
      </c>
    </row>
    <row r="184" spans="1:14" x14ac:dyDescent="0.3">
      <c r="A184" s="9">
        <v>1183</v>
      </c>
      <c r="B184" s="9" t="s">
        <v>50</v>
      </c>
      <c r="C184" s="4" t="s">
        <v>42</v>
      </c>
      <c r="D184" s="4" t="s">
        <v>20</v>
      </c>
      <c r="E184" s="4" t="s">
        <v>21</v>
      </c>
      <c r="F184" s="4">
        <v>2</v>
      </c>
      <c r="G184" s="4">
        <v>309</v>
      </c>
      <c r="H184" s="4">
        <v>2</v>
      </c>
      <c r="I184" s="7">
        <v>46109</v>
      </c>
      <c r="J184" s="7">
        <v>46111</v>
      </c>
      <c r="K184" s="4" t="s">
        <v>79</v>
      </c>
      <c r="L184" s="4" t="str">
        <f t="shared" si="9"/>
        <v>Kom1183</v>
      </c>
      <c r="M184" s="4" t="str">
        <f t="shared" si="10"/>
        <v>Notok</v>
      </c>
      <c r="N184" s="4" t="str">
        <f t="shared" si="11"/>
        <v>Nook</v>
      </c>
    </row>
    <row r="185" spans="1:14" x14ac:dyDescent="0.3">
      <c r="A185" s="9">
        <v>1184</v>
      </c>
      <c r="B185" s="9" t="s">
        <v>39</v>
      </c>
      <c r="C185" s="4" t="s">
        <v>31</v>
      </c>
      <c r="D185" s="4" t="s">
        <v>34</v>
      </c>
      <c r="E185" s="4" t="s">
        <v>5</v>
      </c>
      <c r="F185" s="4">
        <v>12</v>
      </c>
      <c r="G185" s="4">
        <v>50517</v>
      </c>
      <c r="H185" s="4">
        <v>15</v>
      </c>
      <c r="I185" s="7">
        <v>46145</v>
      </c>
      <c r="J185" s="7">
        <v>46153</v>
      </c>
      <c r="K185" s="4" t="s">
        <v>49</v>
      </c>
      <c r="L185" s="4" t="str">
        <f t="shared" si="9"/>
        <v>Dee1184</v>
      </c>
      <c r="M185" s="4" t="str">
        <f t="shared" si="10"/>
        <v>Keyrd</v>
      </c>
      <c r="N185" s="4" t="str">
        <f t="shared" si="11"/>
        <v>Kard</v>
      </c>
    </row>
    <row r="186" spans="1:14" x14ac:dyDescent="0.3">
      <c r="A186" s="9">
        <v>1185</v>
      </c>
      <c r="B186" s="9" t="s">
        <v>55</v>
      </c>
      <c r="C186" s="4" t="s">
        <v>26</v>
      </c>
      <c r="D186" s="4" t="s">
        <v>34</v>
      </c>
      <c r="E186" s="4" t="s">
        <v>9</v>
      </c>
      <c r="F186" s="4">
        <v>16</v>
      </c>
      <c r="G186" s="4">
        <v>15536</v>
      </c>
      <c r="H186" s="4">
        <v>2</v>
      </c>
      <c r="I186" s="7">
        <v>46153</v>
      </c>
      <c r="J186" s="7">
        <v>46156</v>
      </c>
      <c r="K186" s="4" t="s">
        <v>78</v>
      </c>
      <c r="L186" s="4" t="str">
        <f t="shared" si="9"/>
        <v>Roh1185</v>
      </c>
      <c r="M186" s="4" t="str">
        <f t="shared" si="10"/>
        <v>Lapop</v>
      </c>
      <c r="N186" s="4" t="str">
        <f t="shared" si="11"/>
        <v>Lp</v>
      </c>
    </row>
    <row r="187" spans="1:14" x14ac:dyDescent="0.3">
      <c r="A187" s="9">
        <v>1186</v>
      </c>
      <c r="B187" s="9" t="s">
        <v>22</v>
      </c>
      <c r="C187" s="4" t="s">
        <v>27</v>
      </c>
      <c r="D187" s="4" t="s">
        <v>24</v>
      </c>
      <c r="E187" s="4" t="s">
        <v>43</v>
      </c>
      <c r="F187" s="4">
        <v>10</v>
      </c>
      <c r="G187" s="4">
        <v>14951</v>
      </c>
      <c r="H187" s="4">
        <v>2</v>
      </c>
      <c r="I187" s="7">
        <v>46188</v>
      </c>
      <c r="J187" s="7">
        <v>46196</v>
      </c>
      <c r="K187" s="4" t="s">
        <v>80</v>
      </c>
      <c r="L187" s="4" t="str">
        <f t="shared" si="9"/>
        <v>Poo1186</v>
      </c>
      <c r="M187" s="4" t="str">
        <f t="shared" si="10"/>
        <v>Boolf</v>
      </c>
      <c r="N187" s="4" t="str">
        <f t="shared" si="11"/>
        <v>Bhelf</v>
      </c>
    </row>
    <row r="188" spans="1:14" x14ac:dyDescent="0.3">
      <c r="A188" s="9">
        <v>1187</v>
      </c>
      <c r="B188" s="9" t="s">
        <v>52</v>
      </c>
      <c r="C188" s="4" t="s">
        <v>26</v>
      </c>
      <c r="D188" s="4" t="s">
        <v>34</v>
      </c>
      <c r="E188" s="4" t="s">
        <v>6</v>
      </c>
      <c r="F188" s="4">
        <v>18</v>
      </c>
      <c r="G188" s="4">
        <v>68527</v>
      </c>
      <c r="H188" s="4">
        <v>12</v>
      </c>
      <c r="I188" s="7">
        <v>46178</v>
      </c>
      <c r="J188" s="7">
        <v>46184</v>
      </c>
      <c r="K188" s="4" t="s">
        <v>81</v>
      </c>
      <c r="L188" s="4" t="str">
        <f t="shared" si="9"/>
        <v>Man1187</v>
      </c>
      <c r="M188" s="4" t="str">
        <f t="shared" si="10"/>
        <v>Monor</v>
      </c>
      <c r="N188" s="4" t="str">
        <f t="shared" si="11"/>
        <v>Mor</v>
      </c>
    </row>
    <row r="189" spans="1:14" x14ac:dyDescent="0.3">
      <c r="A189" s="9">
        <v>1188</v>
      </c>
      <c r="B189" s="9" t="s">
        <v>49</v>
      </c>
      <c r="C189" s="4" t="s">
        <v>26</v>
      </c>
      <c r="D189" s="4" t="s">
        <v>24</v>
      </c>
      <c r="E189" s="4" t="s">
        <v>11</v>
      </c>
      <c r="F189" s="4">
        <v>6</v>
      </c>
      <c r="G189" s="4">
        <v>10368</v>
      </c>
      <c r="H189" s="4">
        <v>7</v>
      </c>
      <c r="I189" s="7">
        <v>46137</v>
      </c>
      <c r="J189" s="7">
        <v>46142</v>
      </c>
      <c r="K189" s="4" t="s">
        <v>78</v>
      </c>
      <c r="L189" s="4" t="str">
        <f t="shared" si="9"/>
        <v>Pri1188</v>
      </c>
      <c r="M189" s="4" t="str">
        <f t="shared" si="10"/>
        <v>Cabet</v>
      </c>
      <c r="N189" s="4" t="str">
        <f t="shared" si="11"/>
        <v>Cet</v>
      </c>
    </row>
    <row r="190" spans="1:14" x14ac:dyDescent="0.3">
      <c r="A190" s="9">
        <v>1189</v>
      </c>
      <c r="B190" s="9" t="s">
        <v>47</v>
      </c>
      <c r="C190" s="4" t="s">
        <v>31</v>
      </c>
      <c r="D190" s="4" t="s">
        <v>24</v>
      </c>
      <c r="E190" s="4" t="s">
        <v>11</v>
      </c>
      <c r="F190" s="4">
        <v>12</v>
      </c>
      <c r="G190" s="4">
        <v>8327</v>
      </c>
      <c r="H190" s="4">
        <v>10</v>
      </c>
      <c r="I190" s="7">
        <v>46184</v>
      </c>
      <c r="J190" s="7">
        <v>46185</v>
      </c>
      <c r="K190" s="4" t="s">
        <v>49</v>
      </c>
      <c r="L190" s="4" t="str">
        <f t="shared" si="9"/>
        <v>Aja1189</v>
      </c>
      <c r="M190" s="4" t="str">
        <f t="shared" si="10"/>
        <v>Cabet</v>
      </c>
      <c r="N190" s="4" t="str">
        <f t="shared" si="11"/>
        <v>Cet</v>
      </c>
    </row>
    <row r="191" spans="1:14" x14ac:dyDescent="0.3">
      <c r="A191" s="9">
        <v>1190</v>
      </c>
      <c r="B191" s="9" t="s">
        <v>54</v>
      </c>
      <c r="C191" s="4" t="s">
        <v>23</v>
      </c>
      <c r="D191" s="4" t="s">
        <v>24</v>
      </c>
      <c r="E191" s="4" t="s">
        <v>8</v>
      </c>
      <c r="F191" s="4">
        <v>4</v>
      </c>
      <c r="G191" s="4">
        <v>10154</v>
      </c>
      <c r="H191" s="4">
        <v>7</v>
      </c>
      <c r="I191" s="7">
        <v>46052</v>
      </c>
      <c r="J191" s="7">
        <v>46062</v>
      </c>
      <c r="K191" s="4" t="s">
        <v>79</v>
      </c>
      <c r="L191" s="4" t="str">
        <f t="shared" si="9"/>
        <v>Sar1190</v>
      </c>
      <c r="M191" s="4" t="str">
        <f t="shared" si="10"/>
        <v>Chair</v>
      </c>
      <c r="N191" s="4" t="str">
        <f t="shared" si="11"/>
        <v>C</v>
      </c>
    </row>
    <row r="192" spans="1:14" x14ac:dyDescent="0.3">
      <c r="A192" s="9">
        <v>1191</v>
      </c>
      <c r="B192" s="9" t="s">
        <v>50</v>
      </c>
      <c r="C192" s="4" t="s">
        <v>33</v>
      </c>
      <c r="D192" s="4" t="s">
        <v>24</v>
      </c>
      <c r="E192" s="4" t="s">
        <v>11</v>
      </c>
      <c r="F192" s="4">
        <v>9</v>
      </c>
      <c r="G192" s="4">
        <v>8631</v>
      </c>
      <c r="H192" s="4">
        <v>10</v>
      </c>
      <c r="I192" s="7">
        <v>46149</v>
      </c>
      <c r="J192" s="7">
        <v>46156</v>
      </c>
      <c r="K192" s="4" t="s">
        <v>79</v>
      </c>
      <c r="L192" s="4" t="str">
        <f t="shared" si="9"/>
        <v>Kom1191</v>
      </c>
      <c r="M192" s="4" t="str">
        <f t="shared" si="10"/>
        <v>Cabet</v>
      </c>
      <c r="N192" s="4" t="str">
        <f t="shared" si="11"/>
        <v>Cet</v>
      </c>
    </row>
    <row r="193" spans="1:14" x14ac:dyDescent="0.3">
      <c r="A193" s="9">
        <v>1192</v>
      </c>
      <c r="B193" s="9" t="s">
        <v>25</v>
      </c>
      <c r="C193" s="4" t="s">
        <v>33</v>
      </c>
      <c r="D193" s="4" t="s">
        <v>20</v>
      </c>
      <c r="E193" s="4" t="s">
        <v>51</v>
      </c>
      <c r="F193" s="4">
        <v>18</v>
      </c>
      <c r="G193" s="4">
        <v>49</v>
      </c>
      <c r="H193" s="4">
        <v>12</v>
      </c>
      <c r="I193" s="7">
        <v>46089</v>
      </c>
      <c r="J193" s="7">
        <v>46095</v>
      </c>
      <c r="K193" s="4" t="s">
        <v>80</v>
      </c>
      <c r="L193" s="4" t="str">
        <f t="shared" si="9"/>
        <v>Mee1192</v>
      </c>
      <c r="M193" s="4" t="str">
        <f t="shared" si="10"/>
        <v>Diary</v>
      </c>
      <c r="N193" s="4" t="str">
        <f t="shared" si="11"/>
        <v>D</v>
      </c>
    </row>
    <row r="194" spans="1:14" x14ac:dyDescent="0.3">
      <c r="A194" s="9">
        <v>1193</v>
      </c>
      <c r="B194" s="9" t="s">
        <v>54</v>
      </c>
      <c r="C194" s="4" t="s">
        <v>19</v>
      </c>
      <c r="D194" s="4" t="s">
        <v>24</v>
      </c>
      <c r="E194" s="4" t="s">
        <v>10</v>
      </c>
      <c r="F194" s="4">
        <v>19</v>
      </c>
      <c r="G194" s="4">
        <v>2699</v>
      </c>
      <c r="H194" s="4">
        <v>7</v>
      </c>
      <c r="I194" s="7">
        <v>46110</v>
      </c>
      <c r="J194" s="7">
        <v>46112</v>
      </c>
      <c r="K194" s="4" t="s">
        <v>49</v>
      </c>
      <c r="L194" s="4" t="str">
        <f t="shared" si="9"/>
        <v>Sar1193</v>
      </c>
      <c r="M194" s="4" t="str">
        <f t="shared" si="10"/>
        <v>Table</v>
      </c>
      <c r="N194" s="4" t="str">
        <f t="shared" si="11"/>
        <v>T</v>
      </c>
    </row>
    <row r="195" spans="1:14" x14ac:dyDescent="0.3">
      <c r="A195" s="9">
        <v>1194</v>
      </c>
      <c r="B195" s="9" t="s">
        <v>54</v>
      </c>
      <c r="C195" s="4" t="s">
        <v>42</v>
      </c>
      <c r="D195" s="4" t="s">
        <v>24</v>
      </c>
      <c r="E195" s="4" t="s">
        <v>8</v>
      </c>
      <c r="F195" s="4">
        <v>13</v>
      </c>
      <c r="G195" s="4">
        <v>12856</v>
      </c>
      <c r="H195" s="4">
        <v>15</v>
      </c>
      <c r="I195" s="7">
        <v>46129</v>
      </c>
      <c r="J195" s="7">
        <v>46133</v>
      </c>
      <c r="K195" s="4" t="s">
        <v>81</v>
      </c>
      <c r="L195" s="4" t="str">
        <f t="shared" si="9"/>
        <v>Sar1194</v>
      </c>
      <c r="M195" s="4" t="str">
        <f t="shared" si="10"/>
        <v>Chair</v>
      </c>
      <c r="N195" s="4" t="str">
        <f t="shared" si="11"/>
        <v>C</v>
      </c>
    </row>
    <row r="196" spans="1:14" x14ac:dyDescent="0.3">
      <c r="A196" s="9">
        <v>1195</v>
      </c>
      <c r="B196" s="9" t="s">
        <v>56</v>
      </c>
      <c r="C196" s="4" t="s">
        <v>23</v>
      </c>
      <c r="D196" s="4" t="s">
        <v>20</v>
      </c>
      <c r="E196" s="4" t="s">
        <v>48</v>
      </c>
      <c r="F196" s="4">
        <v>19</v>
      </c>
      <c r="G196" s="4">
        <v>313</v>
      </c>
      <c r="H196" s="4">
        <v>2</v>
      </c>
      <c r="I196" s="7">
        <v>46198</v>
      </c>
      <c r="J196" s="7">
        <v>46206</v>
      </c>
      <c r="K196" s="4" t="s">
        <v>81</v>
      </c>
      <c r="L196" s="4" t="str">
        <f t="shared" si="9"/>
        <v>Ani1195</v>
      </c>
      <c r="M196" s="4" t="str">
        <f t="shared" si="10"/>
        <v>Marer</v>
      </c>
      <c r="N196" s="4" t="str">
        <f t="shared" si="11"/>
        <v>Mr</v>
      </c>
    </row>
    <row r="197" spans="1:14" x14ac:dyDescent="0.3">
      <c r="A197" s="9">
        <v>1196</v>
      </c>
      <c r="B197" s="9" t="s">
        <v>46</v>
      </c>
      <c r="C197" s="4" t="s">
        <v>26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7">
        <v>46155</v>
      </c>
      <c r="J197" s="7">
        <v>46159</v>
      </c>
      <c r="K197" s="4" t="s">
        <v>79</v>
      </c>
      <c r="L197" s="4" t="str">
        <f t="shared" si="9"/>
        <v>Nit1196</v>
      </c>
      <c r="M197" s="4" t="str">
        <f t="shared" si="10"/>
        <v>Prier</v>
      </c>
      <c r="N197" s="4" t="str">
        <f t="shared" si="11"/>
        <v>Per</v>
      </c>
    </row>
    <row r="198" spans="1:14" x14ac:dyDescent="0.3">
      <c r="A198" s="9">
        <v>1197</v>
      </c>
      <c r="B198" s="9" t="s">
        <v>50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7">
        <v>46045</v>
      </c>
      <c r="J198" s="7">
        <v>46048</v>
      </c>
      <c r="K198" s="4" t="s">
        <v>78</v>
      </c>
      <c r="L198" s="4" t="str">
        <f t="shared" si="9"/>
        <v>Kom1197</v>
      </c>
      <c r="M198" s="4" t="str">
        <f t="shared" si="10"/>
        <v>Prier</v>
      </c>
      <c r="N198" s="4" t="str">
        <f t="shared" si="11"/>
        <v>Per</v>
      </c>
    </row>
    <row r="199" spans="1:14" x14ac:dyDescent="0.3">
      <c r="A199" s="9">
        <v>1198</v>
      </c>
      <c r="B199" s="9" t="s">
        <v>55</v>
      </c>
      <c r="C199" s="4" t="s">
        <v>19</v>
      </c>
      <c r="D199" s="4" t="s">
        <v>20</v>
      </c>
      <c r="E199" s="4" t="s">
        <v>21</v>
      </c>
      <c r="F199" s="4">
        <v>12</v>
      </c>
      <c r="G199" s="4">
        <v>491</v>
      </c>
      <c r="H199" s="4">
        <v>2</v>
      </c>
      <c r="I199" s="7">
        <v>46106</v>
      </c>
      <c r="J199" s="7">
        <v>46109</v>
      </c>
      <c r="K199" s="4" t="s">
        <v>81</v>
      </c>
      <c r="L199" s="4" t="str">
        <f t="shared" si="9"/>
        <v>Roh1198</v>
      </c>
      <c r="M199" s="4" t="str">
        <f t="shared" si="10"/>
        <v>Notok</v>
      </c>
      <c r="N199" s="4" t="str">
        <f t="shared" si="11"/>
        <v>Nook</v>
      </c>
    </row>
    <row r="200" spans="1:14" x14ac:dyDescent="0.3">
      <c r="A200" s="9">
        <v>1199</v>
      </c>
      <c r="B200" s="9" t="s">
        <v>18</v>
      </c>
      <c r="C200" s="4" t="s">
        <v>27</v>
      </c>
      <c r="D200" s="4" t="s">
        <v>34</v>
      </c>
      <c r="E200" s="4" t="s">
        <v>6</v>
      </c>
      <c r="F200" s="4">
        <v>2</v>
      </c>
      <c r="G200" s="4">
        <v>4375</v>
      </c>
      <c r="H200" s="4">
        <v>7</v>
      </c>
      <c r="I200" s="7">
        <v>46178</v>
      </c>
      <c r="J200" s="7">
        <v>46180</v>
      </c>
      <c r="K200" s="4" t="s">
        <v>80</v>
      </c>
      <c r="L200" s="4" t="str">
        <f t="shared" si="9"/>
        <v>Rit1199</v>
      </c>
      <c r="M200" s="4" t="str">
        <f t="shared" si="10"/>
        <v>Monor</v>
      </c>
      <c r="N200" s="4" t="str">
        <f t="shared" si="11"/>
        <v>Mor</v>
      </c>
    </row>
    <row r="201" spans="1:14" x14ac:dyDescent="0.3">
      <c r="A201" s="9">
        <v>1200</v>
      </c>
      <c r="B201" s="9" t="s">
        <v>49</v>
      </c>
      <c r="C201" s="4" t="s">
        <v>31</v>
      </c>
      <c r="D201" s="4" t="s">
        <v>34</v>
      </c>
      <c r="E201" s="4" t="s">
        <v>6</v>
      </c>
      <c r="F201" s="4">
        <v>13</v>
      </c>
      <c r="G201" s="4">
        <v>69422</v>
      </c>
      <c r="H201" s="4">
        <v>0</v>
      </c>
      <c r="I201" s="7">
        <v>46134</v>
      </c>
      <c r="J201" s="7">
        <v>46143</v>
      </c>
      <c r="K201" s="4" t="s">
        <v>49</v>
      </c>
      <c r="L201" s="4" t="str">
        <f t="shared" si="9"/>
        <v>Pri1200</v>
      </c>
      <c r="M201" s="4" t="str">
        <f t="shared" si="10"/>
        <v>Monor</v>
      </c>
      <c r="N201" s="4" t="str">
        <f t="shared" si="11"/>
        <v>Mor</v>
      </c>
    </row>
    <row r="202" spans="1:14" x14ac:dyDescent="0.3">
      <c r="A202" s="9">
        <v>1201</v>
      </c>
      <c r="B202" s="9" t="s">
        <v>52</v>
      </c>
      <c r="C202" s="4" t="s">
        <v>31</v>
      </c>
      <c r="D202" s="4" t="s">
        <v>20</v>
      </c>
      <c r="E202" s="4" t="s">
        <v>51</v>
      </c>
      <c r="F202" s="4">
        <v>18</v>
      </c>
      <c r="G202" s="4">
        <v>139</v>
      </c>
      <c r="H202" s="4">
        <v>12</v>
      </c>
      <c r="I202" s="7">
        <v>46075</v>
      </c>
      <c r="J202" s="7">
        <v>46076</v>
      </c>
      <c r="K202" s="4" t="s">
        <v>79</v>
      </c>
      <c r="L202" s="4" t="str">
        <f t="shared" si="9"/>
        <v>Man1201</v>
      </c>
      <c r="M202" s="4" t="str">
        <f t="shared" si="10"/>
        <v>Diary</v>
      </c>
      <c r="N202" s="4" t="str">
        <f t="shared" si="11"/>
        <v>D</v>
      </c>
    </row>
    <row r="203" spans="1:14" x14ac:dyDescent="0.3">
      <c r="A203" s="9">
        <v>1202</v>
      </c>
      <c r="B203" s="9" t="s">
        <v>54</v>
      </c>
      <c r="C203" s="4" t="s">
        <v>26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7">
        <v>46082</v>
      </c>
      <c r="J203" s="7">
        <v>46091</v>
      </c>
      <c r="K203" s="4" t="s">
        <v>78</v>
      </c>
      <c r="L203" s="4" t="str">
        <f t="shared" si="9"/>
        <v>Sar1202</v>
      </c>
      <c r="M203" s="4" t="str">
        <f t="shared" si="10"/>
        <v>Prier</v>
      </c>
      <c r="N203" s="4" t="str">
        <f t="shared" si="11"/>
        <v>Per</v>
      </c>
    </row>
    <row r="204" spans="1:14" x14ac:dyDescent="0.3">
      <c r="A204" s="9">
        <v>1203</v>
      </c>
      <c r="B204" s="9" t="s">
        <v>39</v>
      </c>
      <c r="C204" s="4" t="s">
        <v>26</v>
      </c>
      <c r="D204" s="4" t="s">
        <v>24</v>
      </c>
      <c r="E204" s="4" t="s">
        <v>10</v>
      </c>
      <c r="F204" s="4">
        <v>17</v>
      </c>
      <c r="G204" s="4">
        <v>6695</v>
      </c>
      <c r="H204" s="4">
        <v>2</v>
      </c>
      <c r="I204" s="7">
        <v>46119</v>
      </c>
      <c r="J204" s="7">
        <v>46122</v>
      </c>
      <c r="K204" s="4" t="s">
        <v>81</v>
      </c>
      <c r="L204" s="4" t="str">
        <f t="shared" si="9"/>
        <v>Dee1203</v>
      </c>
      <c r="M204" s="4" t="str">
        <f t="shared" si="10"/>
        <v>Table</v>
      </c>
      <c r="N204" s="4" t="str">
        <f t="shared" si="11"/>
        <v>T</v>
      </c>
    </row>
    <row r="205" spans="1:14" x14ac:dyDescent="0.3">
      <c r="A205" s="9">
        <v>1204</v>
      </c>
      <c r="B205" s="9" t="s">
        <v>22</v>
      </c>
      <c r="C205" s="4" t="s">
        <v>31</v>
      </c>
      <c r="D205" s="4" t="s">
        <v>20</v>
      </c>
      <c r="E205" s="4" t="s">
        <v>37</v>
      </c>
      <c r="F205" s="4">
        <v>13</v>
      </c>
      <c r="G205" s="4">
        <v>416</v>
      </c>
      <c r="H205" s="4">
        <v>10</v>
      </c>
      <c r="I205" s="7">
        <v>46123</v>
      </c>
      <c r="J205" s="7">
        <v>46132</v>
      </c>
      <c r="K205" s="4" t="s">
        <v>79</v>
      </c>
      <c r="L205" s="4" t="str">
        <f t="shared" si="9"/>
        <v>Poo1204</v>
      </c>
      <c r="M205" s="4" t="str">
        <f t="shared" si="10"/>
        <v>Penck</v>
      </c>
      <c r="N205" s="4" t="str">
        <f t="shared" si="11"/>
        <v>Pack</v>
      </c>
    </row>
    <row r="206" spans="1:14" x14ac:dyDescent="0.3">
      <c r="A206" s="9">
        <v>1205</v>
      </c>
      <c r="B206" s="9" t="s">
        <v>25</v>
      </c>
      <c r="C206" s="4" t="s">
        <v>38</v>
      </c>
      <c r="D206" s="4" t="s">
        <v>20</v>
      </c>
      <c r="E206" s="4" t="s">
        <v>36</v>
      </c>
      <c r="F206" s="4">
        <v>1</v>
      </c>
      <c r="G206" s="4">
        <v>112</v>
      </c>
      <c r="H206" s="4">
        <v>7</v>
      </c>
      <c r="I206" s="7">
        <v>46033</v>
      </c>
      <c r="J206" s="7">
        <v>46040</v>
      </c>
      <c r="K206" s="4" t="s">
        <v>81</v>
      </c>
      <c r="L206" s="4" t="str">
        <f t="shared" si="9"/>
        <v>Mee1205</v>
      </c>
      <c r="M206" s="4" t="str">
        <f t="shared" si="10"/>
        <v>Staer</v>
      </c>
      <c r="N206" s="4" t="str">
        <f t="shared" si="11"/>
        <v>Ser</v>
      </c>
    </row>
    <row r="207" spans="1:14" x14ac:dyDescent="0.3">
      <c r="A207" s="9">
        <v>1206</v>
      </c>
      <c r="B207" s="9" t="s">
        <v>53</v>
      </c>
      <c r="C207" s="4" t="s">
        <v>33</v>
      </c>
      <c r="D207" s="4" t="s">
        <v>20</v>
      </c>
      <c r="E207" s="4" t="s">
        <v>21</v>
      </c>
      <c r="F207" s="4">
        <v>9</v>
      </c>
      <c r="G207" s="4">
        <v>60</v>
      </c>
      <c r="H207" s="4">
        <v>0</v>
      </c>
      <c r="I207" s="7">
        <v>46166</v>
      </c>
      <c r="J207" s="7">
        <v>46174</v>
      </c>
      <c r="K207" s="4" t="s">
        <v>78</v>
      </c>
      <c r="L207" s="4" t="str">
        <f t="shared" si="9"/>
        <v>Sne1206</v>
      </c>
      <c r="M207" s="4" t="str">
        <f t="shared" si="10"/>
        <v>Notok</v>
      </c>
      <c r="N207" s="4" t="str">
        <f t="shared" si="11"/>
        <v>Nook</v>
      </c>
    </row>
    <row r="208" spans="1:14" x14ac:dyDescent="0.3">
      <c r="A208" s="9">
        <v>1207</v>
      </c>
      <c r="B208" s="9" t="s">
        <v>53</v>
      </c>
      <c r="C208" s="4" t="s">
        <v>27</v>
      </c>
      <c r="D208" s="4" t="s">
        <v>20</v>
      </c>
      <c r="E208" s="4" t="s">
        <v>51</v>
      </c>
      <c r="F208" s="4">
        <v>7</v>
      </c>
      <c r="G208" s="4">
        <v>244</v>
      </c>
      <c r="H208" s="4">
        <v>2</v>
      </c>
      <c r="I208" s="7">
        <v>46164</v>
      </c>
      <c r="J208" s="7">
        <v>46173</v>
      </c>
      <c r="K208" s="4" t="s">
        <v>80</v>
      </c>
      <c r="L208" s="4" t="str">
        <f t="shared" si="9"/>
        <v>Sne1207</v>
      </c>
      <c r="M208" s="4" t="str">
        <f t="shared" si="10"/>
        <v>Diary</v>
      </c>
      <c r="N208" s="4" t="str">
        <f t="shared" si="11"/>
        <v>D</v>
      </c>
    </row>
    <row r="209" spans="1:14" x14ac:dyDescent="0.3">
      <c r="A209" s="9">
        <v>1208</v>
      </c>
      <c r="B209" s="9" t="s">
        <v>52</v>
      </c>
      <c r="C209" s="4" t="s">
        <v>42</v>
      </c>
      <c r="D209" s="4" t="s">
        <v>24</v>
      </c>
      <c r="E209" s="4" t="s">
        <v>43</v>
      </c>
      <c r="F209" s="4">
        <v>6</v>
      </c>
      <c r="G209" s="4">
        <v>7627</v>
      </c>
      <c r="H209" s="4">
        <v>10</v>
      </c>
      <c r="I209" s="7">
        <v>46042</v>
      </c>
      <c r="J209" s="7">
        <v>46047</v>
      </c>
      <c r="K209" s="4" t="s">
        <v>79</v>
      </c>
      <c r="L209" s="4" t="str">
        <f t="shared" si="9"/>
        <v>Man1208</v>
      </c>
      <c r="M209" s="4" t="str">
        <f t="shared" si="10"/>
        <v>Boolf</v>
      </c>
      <c r="N209" s="4" t="str">
        <f t="shared" si="11"/>
        <v>Bhelf</v>
      </c>
    </row>
    <row r="210" spans="1:14" x14ac:dyDescent="0.3">
      <c r="A210" s="9">
        <v>1209</v>
      </c>
      <c r="B210" s="9" t="s">
        <v>46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7">
        <v>46103</v>
      </c>
      <c r="J210" s="7">
        <v>46110</v>
      </c>
      <c r="K210" s="4" t="s">
        <v>79</v>
      </c>
      <c r="L210" s="4" t="str">
        <f t="shared" si="9"/>
        <v>Nit1209</v>
      </c>
      <c r="M210" s="4" t="str">
        <f t="shared" si="10"/>
        <v>Prier</v>
      </c>
      <c r="N210" s="4" t="str">
        <f t="shared" si="11"/>
        <v>Per</v>
      </c>
    </row>
    <row r="211" spans="1:14" x14ac:dyDescent="0.3">
      <c r="A211" s="9">
        <v>1210</v>
      </c>
      <c r="B211" s="9" t="s">
        <v>30</v>
      </c>
      <c r="C211" s="4" t="s">
        <v>31</v>
      </c>
      <c r="D211" s="4" t="s">
        <v>20</v>
      </c>
      <c r="E211" s="4" t="s">
        <v>51</v>
      </c>
      <c r="F211" s="4">
        <v>10</v>
      </c>
      <c r="G211" s="4">
        <v>349</v>
      </c>
      <c r="H211" s="4">
        <v>0</v>
      </c>
      <c r="I211" s="7">
        <v>46052</v>
      </c>
      <c r="J211" s="7">
        <v>46060</v>
      </c>
      <c r="K211" s="4" t="s">
        <v>49</v>
      </c>
      <c r="L211" s="4" t="str">
        <f t="shared" si="9"/>
        <v>Neh1210</v>
      </c>
      <c r="M211" s="4" t="str">
        <f t="shared" si="10"/>
        <v>Diary</v>
      </c>
      <c r="N211" s="4" t="str">
        <f t="shared" si="11"/>
        <v>D</v>
      </c>
    </row>
    <row r="212" spans="1:14" x14ac:dyDescent="0.3">
      <c r="A212" s="9">
        <v>1211</v>
      </c>
      <c r="B212" s="9" t="s">
        <v>46</v>
      </c>
      <c r="C212" s="4" t="s">
        <v>23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7">
        <v>46175</v>
      </c>
      <c r="J212" s="7">
        <v>46183</v>
      </c>
      <c r="K212" s="4" t="s">
        <v>78</v>
      </c>
      <c r="L212" s="4" t="str">
        <f t="shared" si="9"/>
        <v>Nit1211</v>
      </c>
      <c r="M212" s="4" t="str">
        <f t="shared" si="10"/>
        <v>Prier</v>
      </c>
      <c r="N212" s="4" t="str">
        <f t="shared" si="11"/>
        <v>Per</v>
      </c>
    </row>
    <row r="213" spans="1:14" x14ac:dyDescent="0.3">
      <c r="A213" s="9">
        <v>1212</v>
      </c>
      <c r="B213" s="9" t="s">
        <v>56</v>
      </c>
      <c r="C213" s="4" t="s">
        <v>27</v>
      </c>
      <c r="D213" s="4" t="s">
        <v>34</v>
      </c>
      <c r="E213" s="4" t="s">
        <v>9</v>
      </c>
      <c r="F213" s="4">
        <v>10</v>
      </c>
      <c r="G213" s="4">
        <v>34380</v>
      </c>
      <c r="H213" s="4">
        <v>7</v>
      </c>
      <c r="I213" s="7">
        <v>46194</v>
      </c>
      <c r="J213" s="7">
        <v>46195</v>
      </c>
      <c r="K213" s="4" t="s">
        <v>49</v>
      </c>
      <c r="L213" s="4" t="str">
        <f t="shared" si="9"/>
        <v>Ani1212</v>
      </c>
      <c r="M213" s="4" t="str">
        <f t="shared" si="10"/>
        <v>Lapop</v>
      </c>
      <c r="N213" s="4" t="str">
        <f t="shared" si="11"/>
        <v>Lp</v>
      </c>
    </row>
    <row r="214" spans="1:14" x14ac:dyDescent="0.3">
      <c r="A214" s="9">
        <v>1213</v>
      </c>
      <c r="B214" s="9" t="s">
        <v>32</v>
      </c>
      <c r="C214" s="4" t="s">
        <v>38</v>
      </c>
      <c r="D214" s="4" t="s">
        <v>34</v>
      </c>
      <c r="E214" s="4" t="s">
        <v>6</v>
      </c>
      <c r="F214" s="4">
        <v>16</v>
      </c>
      <c r="G214" s="4">
        <v>27741</v>
      </c>
      <c r="H214" s="4">
        <v>12</v>
      </c>
      <c r="I214" s="7">
        <v>46116</v>
      </c>
      <c r="J214" s="7">
        <v>46119</v>
      </c>
      <c r="K214" s="4" t="s">
        <v>78</v>
      </c>
      <c r="L214" s="4" t="str">
        <f t="shared" si="9"/>
        <v>Ash1213</v>
      </c>
      <c r="M214" s="4" t="str">
        <f t="shared" si="10"/>
        <v>Monor</v>
      </c>
      <c r="N214" s="4" t="str">
        <f t="shared" si="11"/>
        <v>Mor</v>
      </c>
    </row>
    <row r="215" spans="1:14" x14ac:dyDescent="0.3">
      <c r="A215" s="9">
        <v>1214</v>
      </c>
      <c r="B215" s="9" t="s">
        <v>41</v>
      </c>
      <c r="C215" s="4" t="s">
        <v>27</v>
      </c>
      <c r="D215" s="4" t="s">
        <v>24</v>
      </c>
      <c r="E215" s="4" t="s">
        <v>8</v>
      </c>
      <c r="F215" s="4">
        <v>19</v>
      </c>
      <c r="G215" s="4">
        <v>13832</v>
      </c>
      <c r="H215" s="4">
        <v>0</v>
      </c>
      <c r="I215" s="7">
        <v>46140</v>
      </c>
      <c r="J215" s="7">
        <v>46145</v>
      </c>
      <c r="K215" s="4" t="s">
        <v>81</v>
      </c>
      <c r="L215" s="4" t="str">
        <f t="shared" si="9"/>
        <v>Nis1214</v>
      </c>
      <c r="M215" s="4" t="str">
        <f t="shared" si="10"/>
        <v>Chair</v>
      </c>
      <c r="N215" s="4" t="str">
        <f t="shared" si="11"/>
        <v>C</v>
      </c>
    </row>
    <row r="216" spans="1:14" x14ac:dyDescent="0.3">
      <c r="A216" s="9">
        <v>1215</v>
      </c>
      <c r="B216" s="9" t="s">
        <v>29</v>
      </c>
      <c r="C216" s="4" t="s">
        <v>19</v>
      </c>
      <c r="D216" s="4" t="s">
        <v>24</v>
      </c>
      <c r="E216" s="4" t="s">
        <v>8</v>
      </c>
      <c r="F216" s="4">
        <v>6</v>
      </c>
      <c r="G216" s="4">
        <v>1254</v>
      </c>
      <c r="H216" s="4">
        <v>0</v>
      </c>
      <c r="I216" s="7">
        <v>46131</v>
      </c>
      <c r="J216" s="7">
        <v>46136</v>
      </c>
      <c r="K216" s="4" t="s">
        <v>49</v>
      </c>
      <c r="L216" s="4" t="str">
        <f t="shared" si="9"/>
        <v>Arj1215</v>
      </c>
      <c r="M216" s="4" t="str">
        <f t="shared" si="10"/>
        <v>Chair</v>
      </c>
      <c r="N216" s="4" t="str">
        <f t="shared" si="11"/>
        <v>C</v>
      </c>
    </row>
    <row r="217" spans="1:14" x14ac:dyDescent="0.3">
      <c r="A217" s="9">
        <v>1216</v>
      </c>
      <c r="B217" s="9" t="s">
        <v>39</v>
      </c>
      <c r="C217" s="4" t="s">
        <v>26</v>
      </c>
      <c r="D217" s="4" t="s">
        <v>34</v>
      </c>
      <c r="E217" s="4" t="s">
        <v>6</v>
      </c>
      <c r="F217" s="4">
        <v>10</v>
      </c>
      <c r="G217" s="4">
        <v>56709</v>
      </c>
      <c r="H217" s="4">
        <v>15</v>
      </c>
      <c r="I217" s="7">
        <v>46135</v>
      </c>
      <c r="J217" s="7">
        <v>46139</v>
      </c>
      <c r="K217" s="4" t="s">
        <v>49</v>
      </c>
      <c r="L217" s="4" t="str">
        <f t="shared" si="9"/>
        <v>Dee1216</v>
      </c>
      <c r="M217" s="4" t="str">
        <f t="shared" si="10"/>
        <v>Monor</v>
      </c>
      <c r="N217" s="4" t="str">
        <f t="shared" si="11"/>
        <v>Mor</v>
      </c>
    </row>
    <row r="218" spans="1:14" x14ac:dyDescent="0.3">
      <c r="A218" s="9">
        <v>1217</v>
      </c>
      <c r="B218" s="9" t="s">
        <v>30</v>
      </c>
      <c r="C218" s="4" t="s">
        <v>26</v>
      </c>
      <c r="D218" s="4" t="s">
        <v>20</v>
      </c>
      <c r="E218" s="4" t="s">
        <v>48</v>
      </c>
      <c r="F218" s="4">
        <v>18</v>
      </c>
      <c r="G218" s="4">
        <v>60</v>
      </c>
      <c r="H218" s="4">
        <v>0</v>
      </c>
      <c r="I218" s="7">
        <v>46171</v>
      </c>
      <c r="J218" s="7">
        <v>46172</v>
      </c>
      <c r="K218" s="4" t="s">
        <v>49</v>
      </c>
      <c r="L218" s="4" t="str">
        <f t="shared" si="9"/>
        <v>Neh1217</v>
      </c>
      <c r="M218" s="4" t="str">
        <f t="shared" si="10"/>
        <v>Marer</v>
      </c>
      <c r="N218" s="4" t="str">
        <f t="shared" si="11"/>
        <v>Mr</v>
      </c>
    </row>
    <row r="219" spans="1:14" x14ac:dyDescent="0.3">
      <c r="A219" s="9">
        <v>1218</v>
      </c>
      <c r="B219" s="9" t="s">
        <v>53</v>
      </c>
      <c r="C219" s="4" t="s">
        <v>38</v>
      </c>
      <c r="D219" s="4" t="s">
        <v>20</v>
      </c>
      <c r="E219" s="4" t="s">
        <v>21</v>
      </c>
      <c r="F219" s="4">
        <v>1</v>
      </c>
      <c r="G219" s="4">
        <v>134</v>
      </c>
      <c r="H219" s="4">
        <v>10</v>
      </c>
      <c r="I219" s="7">
        <v>46143</v>
      </c>
      <c r="J219" s="7">
        <v>46151</v>
      </c>
      <c r="K219" s="4" t="s">
        <v>81</v>
      </c>
      <c r="L219" s="4" t="str">
        <f t="shared" si="9"/>
        <v>Sne1218</v>
      </c>
      <c r="M219" s="4" t="str">
        <f t="shared" si="10"/>
        <v>Notok</v>
      </c>
      <c r="N219" s="4" t="str">
        <f t="shared" si="11"/>
        <v>Nook</v>
      </c>
    </row>
    <row r="220" spans="1:14" x14ac:dyDescent="0.3">
      <c r="A220" s="9">
        <v>1219</v>
      </c>
      <c r="B220" s="9" t="s">
        <v>44</v>
      </c>
      <c r="C220" s="4" t="s">
        <v>26</v>
      </c>
      <c r="D220" s="4" t="s">
        <v>20</v>
      </c>
      <c r="E220" s="4" t="s">
        <v>21</v>
      </c>
      <c r="F220" s="4">
        <v>4</v>
      </c>
      <c r="G220" s="4">
        <v>117</v>
      </c>
      <c r="H220" s="4">
        <v>15</v>
      </c>
      <c r="I220" s="7">
        <v>46202</v>
      </c>
      <c r="J220" s="7">
        <v>46206</v>
      </c>
      <c r="K220" s="4" t="s">
        <v>49</v>
      </c>
      <c r="L220" s="4" t="str">
        <f t="shared" si="9"/>
        <v>Kir1219</v>
      </c>
      <c r="M220" s="4" t="str">
        <f t="shared" si="10"/>
        <v>Notok</v>
      </c>
      <c r="N220" s="4" t="str">
        <f t="shared" si="11"/>
        <v>Nook</v>
      </c>
    </row>
    <row r="221" spans="1:14" x14ac:dyDescent="0.3">
      <c r="A221" s="9">
        <v>1220</v>
      </c>
      <c r="B221" s="9" t="s">
        <v>18</v>
      </c>
      <c r="C221" s="4" t="s">
        <v>27</v>
      </c>
      <c r="D221" s="4" t="s">
        <v>24</v>
      </c>
      <c r="E221" s="4" t="s">
        <v>11</v>
      </c>
      <c r="F221" s="4">
        <v>2</v>
      </c>
      <c r="G221" s="4">
        <v>8861</v>
      </c>
      <c r="H221" s="4">
        <v>2</v>
      </c>
      <c r="I221" s="7">
        <v>46170</v>
      </c>
      <c r="J221" s="7">
        <v>46174</v>
      </c>
      <c r="K221" s="4" t="s">
        <v>80</v>
      </c>
      <c r="L221" s="4" t="str">
        <f t="shared" si="9"/>
        <v>Rit1220</v>
      </c>
      <c r="M221" s="4" t="str">
        <f t="shared" si="10"/>
        <v>Cabet</v>
      </c>
      <c r="N221" s="4" t="str">
        <f t="shared" si="11"/>
        <v>Cet</v>
      </c>
    </row>
    <row r="222" spans="1:14" x14ac:dyDescent="0.3">
      <c r="A222" s="9">
        <v>1221</v>
      </c>
      <c r="B222" s="9" t="s">
        <v>18</v>
      </c>
      <c r="C222" s="4" t="s">
        <v>31</v>
      </c>
      <c r="D222" s="4" t="s">
        <v>24</v>
      </c>
      <c r="E222" s="4" t="s">
        <v>11</v>
      </c>
      <c r="F222" s="4">
        <v>18</v>
      </c>
      <c r="G222" s="4">
        <v>2681</v>
      </c>
      <c r="H222" s="4">
        <v>10</v>
      </c>
      <c r="I222" s="7">
        <v>46122</v>
      </c>
      <c r="J222" s="7">
        <v>46125</v>
      </c>
      <c r="K222" s="4" t="s">
        <v>81</v>
      </c>
      <c r="L222" s="4" t="str">
        <f t="shared" si="9"/>
        <v>Rit1221</v>
      </c>
      <c r="M222" s="4" t="str">
        <f t="shared" si="10"/>
        <v>Cabet</v>
      </c>
      <c r="N222" s="4" t="str">
        <f t="shared" si="11"/>
        <v>Cet</v>
      </c>
    </row>
    <row r="223" spans="1:14" x14ac:dyDescent="0.3">
      <c r="A223" s="9">
        <v>1222</v>
      </c>
      <c r="B223" s="9" t="s">
        <v>30</v>
      </c>
      <c r="C223" s="4" t="s">
        <v>33</v>
      </c>
      <c r="D223" s="4" t="s">
        <v>24</v>
      </c>
      <c r="E223" s="4" t="s">
        <v>10</v>
      </c>
      <c r="F223" s="4">
        <v>9</v>
      </c>
      <c r="G223" s="4">
        <v>2712</v>
      </c>
      <c r="H223" s="4">
        <v>12</v>
      </c>
      <c r="I223" s="7">
        <v>46154</v>
      </c>
      <c r="J223" s="7">
        <v>46163</v>
      </c>
      <c r="K223" s="4" t="s">
        <v>78</v>
      </c>
      <c r="L223" s="4" t="str">
        <f t="shared" si="9"/>
        <v>Neh1222</v>
      </c>
      <c r="M223" s="4" t="str">
        <f t="shared" si="10"/>
        <v>Table</v>
      </c>
      <c r="N223" s="4" t="str">
        <f t="shared" si="11"/>
        <v>T</v>
      </c>
    </row>
    <row r="224" spans="1:14" x14ac:dyDescent="0.3">
      <c r="A224" s="9">
        <v>1223</v>
      </c>
      <c r="B224" s="9" t="s">
        <v>56</v>
      </c>
      <c r="C224" s="4" t="s">
        <v>23</v>
      </c>
      <c r="D224" s="4" t="s">
        <v>24</v>
      </c>
      <c r="E224" s="4" t="s">
        <v>10</v>
      </c>
      <c r="F224" s="4">
        <v>4</v>
      </c>
      <c r="G224" s="4">
        <v>2249</v>
      </c>
      <c r="H224" s="4">
        <v>7</v>
      </c>
      <c r="I224" s="7">
        <v>46077</v>
      </c>
      <c r="J224" s="7">
        <v>46084</v>
      </c>
      <c r="K224" s="4" t="s">
        <v>78</v>
      </c>
      <c r="L224" s="4" t="str">
        <f t="shared" si="9"/>
        <v>Ani1223</v>
      </c>
      <c r="M224" s="4" t="str">
        <f t="shared" si="10"/>
        <v>Table</v>
      </c>
      <c r="N224" s="4" t="str">
        <f t="shared" si="11"/>
        <v>T</v>
      </c>
    </row>
    <row r="225" spans="1:14" x14ac:dyDescent="0.3">
      <c r="A225" s="9">
        <v>1224</v>
      </c>
      <c r="B225" s="9" t="s">
        <v>30</v>
      </c>
      <c r="C225" s="4" t="s">
        <v>38</v>
      </c>
      <c r="D225" s="4" t="s">
        <v>34</v>
      </c>
      <c r="E225" s="4" t="s">
        <v>6</v>
      </c>
      <c r="F225" s="4">
        <v>16</v>
      </c>
      <c r="G225" s="4">
        <v>18378</v>
      </c>
      <c r="H225" s="4">
        <v>10</v>
      </c>
      <c r="I225" s="7">
        <v>46045</v>
      </c>
      <c r="J225" s="7">
        <v>46052</v>
      </c>
      <c r="K225" s="4" t="s">
        <v>80</v>
      </c>
      <c r="L225" s="4" t="str">
        <f t="shared" si="9"/>
        <v>Neh1224</v>
      </c>
      <c r="M225" s="4" t="str">
        <f t="shared" si="10"/>
        <v>Monor</v>
      </c>
      <c r="N225" s="4" t="str">
        <f t="shared" si="11"/>
        <v>Mor</v>
      </c>
    </row>
    <row r="226" spans="1:14" x14ac:dyDescent="0.3">
      <c r="A226" s="9">
        <v>1225</v>
      </c>
      <c r="B226" s="9" t="s">
        <v>41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7">
        <v>46125</v>
      </c>
      <c r="J226" s="7">
        <v>46126</v>
      </c>
      <c r="K226" s="4" t="s">
        <v>79</v>
      </c>
      <c r="L226" s="4" t="str">
        <f t="shared" si="9"/>
        <v>Nis1225</v>
      </c>
      <c r="M226" s="4" t="str">
        <f t="shared" si="10"/>
        <v>Prier</v>
      </c>
      <c r="N226" s="4" t="str">
        <f t="shared" si="11"/>
        <v>Per</v>
      </c>
    </row>
    <row r="227" spans="1:14" x14ac:dyDescent="0.3">
      <c r="A227" s="9">
        <v>1226</v>
      </c>
      <c r="B227" s="9" t="s">
        <v>49</v>
      </c>
      <c r="C227" s="4" t="s">
        <v>31</v>
      </c>
      <c r="D227" s="4" t="s">
        <v>34</v>
      </c>
      <c r="E227" s="4" t="s">
        <v>40</v>
      </c>
      <c r="F227" s="4">
        <v>13</v>
      </c>
      <c r="G227" s="4">
        <v>21332</v>
      </c>
      <c r="H227" s="4">
        <v>0</v>
      </c>
      <c r="I227" s="7">
        <v>46044</v>
      </c>
      <c r="J227" s="7">
        <v>46048</v>
      </c>
      <c r="K227" s="4" t="s">
        <v>49</v>
      </c>
      <c r="L227" s="4" t="str">
        <f t="shared" si="9"/>
        <v>Pri1226</v>
      </c>
      <c r="M227" s="4" t="str">
        <f t="shared" si="10"/>
        <v>Heaet</v>
      </c>
      <c r="N227" s="4" t="str">
        <f t="shared" si="11"/>
        <v>Het</v>
      </c>
    </row>
    <row r="228" spans="1:14" x14ac:dyDescent="0.3">
      <c r="A228" s="9">
        <v>1227</v>
      </c>
      <c r="B228" s="9" t="s">
        <v>55</v>
      </c>
      <c r="C228" s="4" t="s">
        <v>26</v>
      </c>
      <c r="D228" s="4" t="s">
        <v>34</v>
      </c>
      <c r="E228" s="4" t="s">
        <v>6</v>
      </c>
      <c r="F228" s="4">
        <v>16</v>
      </c>
      <c r="G228" s="4">
        <v>1321</v>
      </c>
      <c r="H228" s="4">
        <v>12</v>
      </c>
      <c r="I228" s="7">
        <v>46113</v>
      </c>
      <c r="J228" s="7">
        <v>46116</v>
      </c>
      <c r="K228" s="4" t="s">
        <v>78</v>
      </c>
      <c r="L228" s="4" t="str">
        <f t="shared" si="9"/>
        <v>Roh1227</v>
      </c>
      <c r="M228" s="4" t="str">
        <f t="shared" si="10"/>
        <v>Monor</v>
      </c>
      <c r="N228" s="4" t="str">
        <f t="shared" si="11"/>
        <v>Mor</v>
      </c>
    </row>
    <row r="229" spans="1:14" x14ac:dyDescent="0.3">
      <c r="A229" s="9">
        <v>1228</v>
      </c>
      <c r="B229" s="9" t="s">
        <v>49</v>
      </c>
      <c r="C229" s="4" t="s">
        <v>27</v>
      </c>
      <c r="D229" s="4" t="s">
        <v>34</v>
      </c>
      <c r="E229" s="4" t="s">
        <v>6</v>
      </c>
      <c r="F229" s="4">
        <v>16</v>
      </c>
      <c r="G229" s="4">
        <v>17477</v>
      </c>
      <c r="H229" s="4">
        <v>10</v>
      </c>
      <c r="I229" s="7">
        <v>46041</v>
      </c>
      <c r="J229" s="7">
        <v>46043</v>
      </c>
      <c r="K229" s="4" t="s">
        <v>80</v>
      </c>
      <c r="L229" s="4" t="str">
        <f t="shared" si="9"/>
        <v>Pri1228</v>
      </c>
      <c r="M229" s="4" t="str">
        <f t="shared" si="10"/>
        <v>Monor</v>
      </c>
      <c r="N229" s="4" t="str">
        <f t="shared" si="11"/>
        <v>Mor</v>
      </c>
    </row>
    <row r="230" spans="1:14" x14ac:dyDescent="0.3">
      <c r="A230" s="9">
        <v>1229</v>
      </c>
      <c r="B230" s="9" t="s">
        <v>54</v>
      </c>
      <c r="C230" s="4" t="s">
        <v>19</v>
      </c>
      <c r="D230" s="4" t="s">
        <v>24</v>
      </c>
      <c r="E230" s="4" t="s">
        <v>11</v>
      </c>
      <c r="F230" s="4">
        <v>14</v>
      </c>
      <c r="G230" s="4">
        <v>5859</v>
      </c>
      <c r="H230" s="4">
        <v>12</v>
      </c>
      <c r="I230" s="7">
        <v>46027</v>
      </c>
      <c r="J230" s="7">
        <v>46036</v>
      </c>
      <c r="K230" s="4" t="s">
        <v>79</v>
      </c>
      <c r="L230" s="4" t="str">
        <f t="shared" ref="L230:L293" si="12">_xlfn.CONCAT(LEFT(B230, 3), A230)</f>
        <v>Sar1229</v>
      </c>
      <c r="M230" s="4" t="str">
        <f t="shared" ref="M230:M293" si="13">_xlfn.CONCAT(LEFT(E230, 3), RIGHT(E230,2))</f>
        <v>Cabet</v>
      </c>
      <c r="N230" s="4" t="str">
        <f t="shared" ref="N230:N293" si="14">REPLACE(E230,2,4,"")</f>
        <v>Cet</v>
      </c>
    </row>
    <row r="231" spans="1:14" x14ac:dyDescent="0.3">
      <c r="A231" s="9">
        <v>1230</v>
      </c>
      <c r="B231" s="9" t="s">
        <v>56</v>
      </c>
      <c r="C231" s="4" t="s">
        <v>33</v>
      </c>
      <c r="D231" s="4" t="s">
        <v>34</v>
      </c>
      <c r="E231" s="4" t="s">
        <v>9</v>
      </c>
      <c r="F231" s="4">
        <v>7</v>
      </c>
      <c r="G231" s="4">
        <v>2932</v>
      </c>
      <c r="H231" s="4">
        <v>7</v>
      </c>
      <c r="I231" s="7">
        <v>46050</v>
      </c>
      <c r="J231" s="7">
        <v>46059</v>
      </c>
      <c r="K231" s="4" t="s">
        <v>80</v>
      </c>
      <c r="L231" s="4" t="str">
        <f t="shared" si="12"/>
        <v>Ani1230</v>
      </c>
      <c r="M231" s="4" t="str">
        <f t="shared" si="13"/>
        <v>Lapop</v>
      </c>
      <c r="N231" s="4" t="str">
        <f t="shared" si="14"/>
        <v>Lp</v>
      </c>
    </row>
    <row r="232" spans="1:14" x14ac:dyDescent="0.3">
      <c r="A232" s="9">
        <v>1231</v>
      </c>
      <c r="B232" s="9" t="s">
        <v>46</v>
      </c>
      <c r="C232" s="4" t="s">
        <v>38</v>
      </c>
      <c r="D232" s="4" t="s">
        <v>24</v>
      </c>
      <c r="E232" s="4" t="s">
        <v>7</v>
      </c>
      <c r="F232" s="4">
        <v>13</v>
      </c>
      <c r="G232" s="4">
        <v>10297</v>
      </c>
      <c r="H232" s="4">
        <v>12</v>
      </c>
      <c r="I232" s="7">
        <v>46178</v>
      </c>
      <c r="J232" s="7">
        <v>46186</v>
      </c>
      <c r="K232" s="4" t="s">
        <v>79</v>
      </c>
      <c r="L232" s="4" t="str">
        <f t="shared" si="12"/>
        <v>Nit1231</v>
      </c>
      <c r="M232" s="4" t="str">
        <f t="shared" si="13"/>
        <v>Dessk</v>
      </c>
      <c r="N232" s="4" t="str">
        <f t="shared" si="14"/>
        <v>D</v>
      </c>
    </row>
    <row r="233" spans="1:14" x14ac:dyDescent="0.3">
      <c r="A233" s="9">
        <v>1232</v>
      </c>
      <c r="B233" s="9" t="s">
        <v>25</v>
      </c>
      <c r="C233" s="4" t="s">
        <v>19</v>
      </c>
      <c r="D233" s="4" t="s">
        <v>34</v>
      </c>
      <c r="E233" s="4" t="s">
        <v>9</v>
      </c>
      <c r="F233" s="4">
        <v>3</v>
      </c>
      <c r="G233" s="4">
        <v>13272</v>
      </c>
      <c r="H233" s="4">
        <v>2</v>
      </c>
      <c r="I233" s="7">
        <v>46060</v>
      </c>
      <c r="J233" s="7">
        <v>46065</v>
      </c>
      <c r="K233" s="4" t="s">
        <v>78</v>
      </c>
      <c r="L233" s="4" t="str">
        <f t="shared" si="12"/>
        <v>Mee1232</v>
      </c>
      <c r="M233" s="4" t="str">
        <f t="shared" si="13"/>
        <v>Lapop</v>
      </c>
      <c r="N233" s="4" t="str">
        <f t="shared" si="14"/>
        <v>Lp</v>
      </c>
    </row>
    <row r="234" spans="1:14" x14ac:dyDescent="0.3">
      <c r="A234" s="9">
        <v>1233</v>
      </c>
      <c r="B234" s="9" t="s">
        <v>55</v>
      </c>
      <c r="C234" s="4" t="s">
        <v>26</v>
      </c>
      <c r="D234" s="4" t="s">
        <v>24</v>
      </c>
      <c r="E234" s="4" t="s">
        <v>7</v>
      </c>
      <c r="F234" s="4">
        <v>20</v>
      </c>
      <c r="G234" s="4">
        <v>13941</v>
      </c>
      <c r="H234" s="4">
        <v>15</v>
      </c>
      <c r="I234" s="7">
        <v>46198</v>
      </c>
      <c r="J234" s="7">
        <v>46202</v>
      </c>
      <c r="K234" s="4" t="s">
        <v>80</v>
      </c>
      <c r="L234" s="4" t="str">
        <f t="shared" si="12"/>
        <v>Roh1233</v>
      </c>
      <c r="M234" s="4" t="str">
        <f t="shared" si="13"/>
        <v>Dessk</v>
      </c>
      <c r="N234" s="4" t="str">
        <f t="shared" si="14"/>
        <v>D</v>
      </c>
    </row>
    <row r="235" spans="1:14" x14ac:dyDescent="0.3">
      <c r="A235" s="9">
        <v>1234</v>
      </c>
      <c r="B235" s="9" t="s">
        <v>18</v>
      </c>
      <c r="C235" s="4" t="s">
        <v>27</v>
      </c>
      <c r="D235" s="4" t="s">
        <v>24</v>
      </c>
      <c r="E235" s="4" t="s">
        <v>8</v>
      </c>
      <c r="F235" s="4">
        <v>1</v>
      </c>
      <c r="G235" s="4">
        <v>14320</v>
      </c>
      <c r="H235" s="4">
        <v>12</v>
      </c>
      <c r="I235" s="7">
        <v>46114</v>
      </c>
      <c r="J235" s="7">
        <v>46121</v>
      </c>
      <c r="K235" s="4" t="s">
        <v>81</v>
      </c>
      <c r="L235" s="4" t="str">
        <f t="shared" si="12"/>
        <v>Rit1234</v>
      </c>
      <c r="M235" s="4" t="str">
        <f t="shared" si="13"/>
        <v>Chair</v>
      </c>
      <c r="N235" s="4" t="str">
        <f t="shared" si="14"/>
        <v>C</v>
      </c>
    </row>
    <row r="236" spans="1:14" x14ac:dyDescent="0.3">
      <c r="A236" s="9">
        <v>1235</v>
      </c>
      <c r="B236" s="9" t="s">
        <v>54</v>
      </c>
      <c r="C236" s="4" t="s">
        <v>27</v>
      </c>
      <c r="D236" s="4" t="s">
        <v>20</v>
      </c>
      <c r="E236" s="4" t="s">
        <v>48</v>
      </c>
      <c r="F236" s="4">
        <v>15</v>
      </c>
      <c r="G236" s="4">
        <v>267</v>
      </c>
      <c r="H236" s="4">
        <v>15</v>
      </c>
      <c r="I236" s="7">
        <v>46172</v>
      </c>
      <c r="J236" s="7">
        <v>46177</v>
      </c>
      <c r="K236" s="4" t="s">
        <v>49</v>
      </c>
      <c r="L236" s="4" t="str">
        <f t="shared" si="12"/>
        <v>Sar1235</v>
      </c>
      <c r="M236" s="4" t="str">
        <f t="shared" si="13"/>
        <v>Marer</v>
      </c>
      <c r="N236" s="4" t="str">
        <f t="shared" si="14"/>
        <v>Mr</v>
      </c>
    </row>
    <row r="237" spans="1:14" x14ac:dyDescent="0.3">
      <c r="A237" s="9">
        <v>1236</v>
      </c>
      <c r="B237" s="9" t="s">
        <v>52</v>
      </c>
      <c r="C237" s="4" t="s">
        <v>42</v>
      </c>
      <c r="D237" s="4" t="s">
        <v>20</v>
      </c>
      <c r="E237" s="4" t="s">
        <v>37</v>
      </c>
      <c r="F237" s="4">
        <v>12</v>
      </c>
      <c r="G237" s="4">
        <v>189</v>
      </c>
      <c r="H237" s="4">
        <v>7</v>
      </c>
      <c r="I237" s="7">
        <v>46164</v>
      </c>
      <c r="J237" s="7">
        <v>46169</v>
      </c>
      <c r="K237" s="4" t="s">
        <v>49</v>
      </c>
      <c r="L237" s="4" t="str">
        <f t="shared" si="12"/>
        <v>Man1236</v>
      </c>
      <c r="M237" s="4" t="str">
        <f t="shared" si="13"/>
        <v>Penck</v>
      </c>
      <c r="N237" s="4" t="str">
        <f t="shared" si="14"/>
        <v>Pack</v>
      </c>
    </row>
    <row r="238" spans="1:14" x14ac:dyDescent="0.3">
      <c r="A238" s="9">
        <v>1237</v>
      </c>
      <c r="B238" s="9" t="s">
        <v>44</v>
      </c>
      <c r="C238" s="4" t="s">
        <v>38</v>
      </c>
      <c r="D238" s="4" t="s">
        <v>24</v>
      </c>
      <c r="E238" s="4" t="s">
        <v>11</v>
      </c>
      <c r="F238" s="4">
        <v>8</v>
      </c>
      <c r="G238" s="4">
        <v>12123</v>
      </c>
      <c r="H238" s="4">
        <v>2</v>
      </c>
      <c r="I238" s="7">
        <v>46137</v>
      </c>
      <c r="J238" s="7">
        <v>46145</v>
      </c>
      <c r="K238" s="4" t="s">
        <v>78</v>
      </c>
      <c r="L238" s="4" t="str">
        <f t="shared" si="12"/>
        <v>Kir1237</v>
      </c>
      <c r="M238" s="4" t="str">
        <f t="shared" si="13"/>
        <v>Cabet</v>
      </c>
      <c r="N238" s="4" t="str">
        <f t="shared" si="14"/>
        <v>Cet</v>
      </c>
    </row>
    <row r="239" spans="1:14" x14ac:dyDescent="0.3">
      <c r="A239" s="9">
        <v>1238</v>
      </c>
      <c r="B239" s="9" t="s">
        <v>30</v>
      </c>
      <c r="C239" s="4" t="s">
        <v>31</v>
      </c>
      <c r="D239" s="4" t="s">
        <v>20</v>
      </c>
      <c r="E239" s="4" t="s">
        <v>21</v>
      </c>
      <c r="F239" s="4">
        <v>6</v>
      </c>
      <c r="G239" s="4">
        <v>180</v>
      </c>
      <c r="H239" s="4">
        <v>12</v>
      </c>
      <c r="I239" s="7">
        <v>46096</v>
      </c>
      <c r="J239" s="7">
        <v>46097</v>
      </c>
      <c r="K239" s="4" t="s">
        <v>81</v>
      </c>
      <c r="L239" s="4" t="str">
        <f t="shared" si="12"/>
        <v>Neh1238</v>
      </c>
      <c r="M239" s="4" t="str">
        <f t="shared" si="13"/>
        <v>Notok</v>
      </c>
      <c r="N239" s="4" t="str">
        <f t="shared" si="14"/>
        <v>Nook</v>
      </c>
    </row>
    <row r="240" spans="1:14" x14ac:dyDescent="0.3">
      <c r="A240" s="9">
        <v>1239</v>
      </c>
      <c r="B240" s="9" t="s">
        <v>46</v>
      </c>
      <c r="C240" s="4" t="s">
        <v>23</v>
      </c>
      <c r="D240" s="4" t="s">
        <v>24</v>
      </c>
      <c r="E240" s="4" t="s">
        <v>11</v>
      </c>
      <c r="F240" s="4">
        <v>2</v>
      </c>
      <c r="G240" s="4">
        <v>12330</v>
      </c>
      <c r="H240" s="4">
        <v>12</v>
      </c>
      <c r="I240" s="7">
        <v>46122</v>
      </c>
      <c r="J240" s="7">
        <v>46125</v>
      </c>
      <c r="K240" s="4" t="s">
        <v>78</v>
      </c>
      <c r="L240" s="4" t="str">
        <f t="shared" si="12"/>
        <v>Nit1239</v>
      </c>
      <c r="M240" s="4" t="str">
        <f t="shared" si="13"/>
        <v>Cabet</v>
      </c>
      <c r="N240" s="4" t="str">
        <f t="shared" si="14"/>
        <v>Cet</v>
      </c>
    </row>
    <row r="241" spans="1:14" x14ac:dyDescent="0.3">
      <c r="A241" s="9">
        <v>1240</v>
      </c>
      <c r="B241" s="9" t="s">
        <v>53</v>
      </c>
      <c r="C241" s="4" t="s">
        <v>33</v>
      </c>
      <c r="D241" s="4" t="s">
        <v>24</v>
      </c>
      <c r="E241" s="4" t="s">
        <v>10</v>
      </c>
      <c r="F241" s="4">
        <v>2</v>
      </c>
      <c r="G241" s="4">
        <v>5475</v>
      </c>
      <c r="H241" s="4">
        <v>2</v>
      </c>
      <c r="I241" s="7">
        <v>46142</v>
      </c>
      <c r="J241" s="7">
        <v>46146</v>
      </c>
      <c r="K241" s="4" t="s">
        <v>49</v>
      </c>
      <c r="L241" s="4" t="str">
        <f t="shared" si="12"/>
        <v>Sne1240</v>
      </c>
      <c r="M241" s="4" t="str">
        <f t="shared" si="13"/>
        <v>Table</v>
      </c>
      <c r="N241" s="4" t="str">
        <f t="shared" si="14"/>
        <v>T</v>
      </c>
    </row>
    <row r="242" spans="1:14" x14ac:dyDescent="0.3">
      <c r="A242" s="9">
        <v>1241</v>
      </c>
      <c r="B242" s="9" t="s">
        <v>44</v>
      </c>
      <c r="C242" s="4" t="s">
        <v>31</v>
      </c>
      <c r="D242" s="4" t="s">
        <v>24</v>
      </c>
      <c r="E242" s="4" t="s">
        <v>43</v>
      </c>
      <c r="F242" s="4">
        <v>1</v>
      </c>
      <c r="G242" s="4">
        <v>12537</v>
      </c>
      <c r="H242" s="4">
        <v>0</v>
      </c>
      <c r="I242" s="7">
        <v>46119</v>
      </c>
      <c r="J242" s="7">
        <v>46122</v>
      </c>
      <c r="K242" s="4" t="s">
        <v>78</v>
      </c>
      <c r="L242" s="4" t="str">
        <f t="shared" si="12"/>
        <v>Kir1241</v>
      </c>
      <c r="M242" s="4" t="str">
        <f t="shared" si="13"/>
        <v>Boolf</v>
      </c>
      <c r="N242" s="4" t="str">
        <f t="shared" si="14"/>
        <v>Bhelf</v>
      </c>
    </row>
    <row r="243" spans="1:14" x14ac:dyDescent="0.3">
      <c r="A243" s="9">
        <v>1242</v>
      </c>
      <c r="B243" s="9" t="s">
        <v>52</v>
      </c>
      <c r="C243" s="4" t="s">
        <v>38</v>
      </c>
      <c r="D243" s="4" t="s">
        <v>20</v>
      </c>
      <c r="E243" s="4" t="s">
        <v>48</v>
      </c>
      <c r="F243" s="4">
        <v>7</v>
      </c>
      <c r="G243" s="4">
        <v>168</v>
      </c>
      <c r="H243" s="4">
        <v>10</v>
      </c>
      <c r="I243" s="7">
        <v>46191</v>
      </c>
      <c r="J243" s="7">
        <v>46196</v>
      </c>
      <c r="K243" s="4" t="s">
        <v>81</v>
      </c>
      <c r="L243" s="4" t="str">
        <f t="shared" si="12"/>
        <v>Man1242</v>
      </c>
      <c r="M243" s="4" t="str">
        <f t="shared" si="13"/>
        <v>Marer</v>
      </c>
      <c r="N243" s="4" t="str">
        <f t="shared" si="14"/>
        <v>Mr</v>
      </c>
    </row>
    <row r="244" spans="1:14" x14ac:dyDescent="0.3">
      <c r="A244" s="9">
        <v>1243</v>
      </c>
      <c r="B244" s="9" t="s">
        <v>30</v>
      </c>
      <c r="C244" s="4" t="s">
        <v>31</v>
      </c>
      <c r="D244" s="4" t="s">
        <v>34</v>
      </c>
      <c r="E244" s="4" t="s">
        <v>40</v>
      </c>
      <c r="F244" s="4">
        <v>5</v>
      </c>
      <c r="G244" s="4">
        <v>11570</v>
      </c>
      <c r="H244" s="4">
        <v>15</v>
      </c>
      <c r="I244" s="7">
        <v>46069</v>
      </c>
      <c r="J244" s="7">
        <v>46077</v>
      </c>
      <c r="K244" s="4" t="s">
        <v>80</v>
      </c>
      <c r="L244" s="4" t="str">
        <f t="shared" si="12"/>
        <v>Neh1243</v>
      </c>
      <c r="M244" s="4" t="str">
        <f t="shared" si="13"/>
        <v>Heaet</v>
      </c>
      <c r="N244" s="4" t="str">
        <f t="shared" si="14"/>
        <v>Het</v>
      </c>
    </row>
    <row r="245" spans="1:14" x14ac:dyDescent="0.3">
      <c r="A245" s="9">
        <v>1244</v>
      </c>
      <c r="B245" s="9" t="s">
        <v>54</v>
      </c>
      <c r="C245" s="4" t="s">
        <v>38</v>
      </c>
      <c r="D245" s="4" t="s">
        <v>24</v>
      </c>
      <c r="E245" s="4" t="s">
        <v>8</v>
      </c>
      <c r="F245" s="4">
        <v>10</v>
      </c>
      <c r="G245" s="4">
        <v>6339</v>
      </c>
      <c r="H245" s="4">
        <v>12</v>
      </c>
      <c r="I245" s="7">
        <v>46200</v>
      </c>
      <c r="J245" s="7">
        <v>46205</v>
      </c>
      <c r="K245" s="4" t="s">
        <v>78</v>
      </c>
      <c r="L245" s="4" t="str">
        <f t="shared" si="12"/>
        <v>Sar1244</v>
      </c>
      <c r="M245" s="4" t="str">
        <f t="shared" si="13"/>
        <v>Chair</v>
      </c>
      <c r="N245" s="4" t="str">
        <f t="shared" si="14"/>
        <v>C</v>
      </c>
    </row>
    <row r="246" spans="1:14" x14ac:dyDescent="0.3">
      <c r="A246" s="9">
        <v>1245</v>
      </c>
      <c r="B246" s="9" t="s">
        <v>53</v>
      </c>
      <c r="C246" s="4" t="s">
        <v>42</v>
      </c>
      <c r="D246" s="4" t="s">
        <v>34</v>
      </c>
      <c r="E246" s="4" t="s">
        <v>40</v>
      </c>
      <c r="F246" s="4">
        <v>19</v>
      </c>
      <c r="G246" s="4">
        <v>69029</v>
      </c>
      <c r="H246" s="4">
        <v>7</v>
      </c>
      <c r="I246" s="7">
        <v>46176</v>
      </c>
      <c r="J246" s="7">
        <v>46179</v>
      </c>
      <c r="K246" s="4" t="s">
        <v>49</v>
      </c>
      <c r="L246" s="4" t="str">
        <f t="shared" si="12"/>
        <v>Sne1245</v>
      </c>
      <c r="M246" s="4" t="str">
        <f t="shared" si="13"/>
        <v>Heaet</v>
      </c>
      <c r="N246" s="4" t="str">
        <f t="shared" si="14"/>
        <v>Het</v>
      </c>
    </row>
    <row r="247" spans="1:14" x14ac:dyDescent="0.3">
      <c r="A247" s="9">
        <v>1246</v>
      </c>
      <c r="B247" s="9" t="s">
        <v>53</v>
      </c>
      <c r="C247" s="4" t="s">
        <v>26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7">
        <v>46039</v>
      </c>
      <c r="J247" s="7">
        <v>46045</v>
      </c>
      <c r="K247" s="4" t="s">
        <v>81</v>
      </c>
      <c r="L247" s="4" t="str">
        <f t="shared" si="12"/>
        <v>Sne1246</v>
      </c>
      <c r="M247" s="4" t="str">
        <f t="shared" si="13"/>
        <v>Prier</v>
      </c>
      <c r="N247" s="4" t="str">
        <f t="shared" si="14"/>
        <v>Per</v>
      </c>
    </row>
    <row r="248" spans="1:14" x14ac:dyDescent="0.3">
      <c r="A248" s="9">
        <v>1247</v>
      </c>
      <c r="B248" s="9" t="s">
        <v>28</v>
      </c>
      <c r="C248" s="4" t="s">
        <v>19</v>
      </c>
      <c r="D248" s="4" t="s">
        <v>20</v>
      </c>
      <c r="E248" s="4" t="s">
        <v>48</v>
      </c>
      <c r="F248" s="4">
        <v>10</v>
      </c>
      <c r="G248" s="4">
        <v>336</v>
      </c>
      <c r="H248" s="4">
        <v>7</v>
      </c>
      <c r="I248" s="7">
        <v>46173</v>
      </c>
      <c r="J248" s="7">
        <v>46175</v>
      </c>
      <c r="K248" s="4" t="s">
        <v>79</v>
      </c>
      <c r="L248" s="4" t="str">
        <f t="shared" si="12"/>
        <v>Vik1247</v>
      </c>
      <c r="M248" s="4" t="str">
        <f t="shared" si="13"/>
        <v>Marer</v>
      </c>
      <c r="N248" s="4" t="str">
        <f t="shared" si="14"/>
        <v>Mr</v>
      </c>
    </row>
    <row r="249" spans="1:14" x14ac:dyDescent="0.3">
      <c r="A249" s="9">
        <v>1248</v>
      </c>
      <c r="B249" s="9" t="s">
        <v>29</v>
      </c>
      <c r="C249" s="4" t="s">
        <v>42</v>
      </c>
      <c r="D249" s="4" t="s">
        <v>20</v>
      </c>
      <c r="E249" s="4" t="s">
        <v>37</v>
      </c>
      <c r="F249" s="4">
        <v>5</v>
      </c>
      <c r="G249" s="4">
        <v>398</v>
      </c>
      <c r="H249" s="4">
        <v>7</v>
      </c>
      <c r="I249" s="7">
        <v>46161</v>
      </c>
      <c r="J249" s="7">
        <v>46171</v>
      </c>
      <c r="K249" s="4" t="s">
        <v>49</v>
      </c>
      <c r="L249" s="4" t="str">
        <f t="shared" si="12"/>
        <v>Arj1248</v>
      </c>
      <c r="M249" s="4" t="str">
        <f t="shared" si="13"/>
        <v>Penck</v>
      </c>
      <c r="N249" s="4" t="str">
        <f t="shared" si="14"/>
        <v>Pack</v>
      </c>
    </row>
    <row r="250" spans="1:14" x14ac:dyDescent="0.3">
      <c r="A250" s="9">
        <v>1249</v>
      </c>
      <c r="B250" s="9" t="s">
        <v>22</v>
      </c>
      <c r="C250" s="4" t="s">
        <v>27</v>
      </c>
      <c r="D250" s="4" t="s">
        <v>34</v>
      </c>
      <c r="E250" s="4" t="s">
        <v>40</v>
      </c>
      <c r="F250" s="4">
        <v>18</v>
      </c>
      <c r="G250" s="4">
        <v>6360</v>
      </c>
      <c r="H250" s="4">
        <v>12</v>
      </c>
      <c r="I250" s="7">
        <v>46163</v>
      </c>
      <c r="J250" s="7">
        <v>46165</v>
      </c>
      <c r="K250" s="4" t="s">
        <v>79</v>
      </c>
      <c r="L250" s="4" t="str">
        <f t="shared" si="12"/>
        <v>Poo1249</v>
      </c>
      <c r="M250" s="4" t="str">
        <f t="shared" si="13"/>
        <v>Heaet</v>
      </c>
      <c r="N250" s="4" t="str">
        <f t="shared" si="14"/>
        <v>Het</v>
      </c>
    </row>
    <row r="251" spans="1:14" x14ac:dyDescent="0.3">
      <c r="A251" s="9">
        <v>1250</v>
      </c>
      <c r="B251" s="9" t="s">
        <v>18</v>
      </c>
      <c r="C251" s="4" t="s">
        <v>23</v>
      </c>
      <c r="D251" s="4" t="s">
        <v>34</v>
      </c>
      <c r="E251" s="4" t="s">
        <v>6</v>
      </c>
      <c r="F251" s="4">
        <v>2</v>
      </c>
      <c r="G251" s="4">
        <v>65953</v>
      </c>
      <c r="H251" s="4">
        <v>7</v>
      </c>
      <c r="I251" s="7">
        <v>46051</v>
      </c>
      <c r="J251" s="7">
        <v>46053</v>
      </c>
      <c r="K251" s="4" t="s">
        <v>49</v>
      </c>
      <c r="L251" s="4" t="str">
        <f t="shared" si="12"/>
        <v>Rit1250</v>
      </c>
      <c r="M251" s="4" t="str">
        <f t="shared" si="13"/>
        <v>Monor</v>
      </c>
      <c r="N251" s="4" t="str">
        <f t="shared" si="14"/>
        <v>Mor</v>
      </c>
    </row>
    <row r="252" spans="1:14" x14ac:dyDescent="0.3">
      <c r="A252" s="9">
        <v>1251</v>
      </c>
      <c r="B252" s="9" t="s">
        <v>53</v>
      </c>
      <c r="C252" s="4" t="s">
        <v>38</v>
      </c>
      <c r="D252" s="4" t="s">
        <v>34</v>
      </c>
      <c r="E252" s="4" t="s">
        <v>12</v>
      </c>
      <c r="F252" s="4">
        <v>19</v>
      </c>
      <c r="G252" s="4">
        <v>48548</v>
      </c>
      <c r="H252" s="4">
        <v>0</v>
      </c>
      <c r="I252" s="7">
        <v>46112</v>
      </c>
      <c r="J252" s="7">
        <v>46121</v>
      </c>
      <c r="K252" s="4" t="s">
        <v>81</v>
      </c>
      <c r="L252" s="4" t="str">
        <f t="shared" si="12"/>
        <v>Sne1251</v>
      </c>
      <c r="M252" s="4" t="str">
        <f t="shared" si="13"/>
        <v>Mouse</v>
      </c>
      <c r="N252" s="4" t="str">
        <f t="shared" si="14"/>
        <v>M</v>
      </c>
    </row>
    <row r="253" spans="1:14" x14ac:dyDescent="0.3">
      <c r="A253" s="9">
        <v>1252</v>
      </c>
      <c r="B253" s="9" t="s">
        <v>45</v>
      </c>
      <c r="C253" s="4" t="s">
        <v>27</v>
      </c>
      <c r="D253" s="4" t="s">
        <v>20</v>
      </c>
      <c r="E253" s="4" t="s">
        <v>36</v>
      </c>
      <c r="F253" s="4">
        <v>15</v>
      </c>
      <c r="G253" s="4">
        <v>257</v>
      </c>
      <c r="H253" s="4">
        <v>5</v>
      </c>
      <c r="I253" s="7">
        <v>46166</v>
      </c>
      <c r="J253" s="7">
        <v>46173</v>
      </c>
      <c r="K253" s="4" t="s">
        <v>79</v>
      </c>
      <c r="L253" s="4" t="str">
        <f t="shared" si="12"/>
        <v>Yas1252</v>
      </c>
      <c r="M253" s="4" t="str">
        <f t="shared" si="13"/>
        <v>Staer</v>
      </c>
      <c r="N253" s="4" t="str">
        <f t="shared" si="14"/>
        <v>Ser</v>
      </c>
    </row>
    <row r="254" spans="1:14" x14ac:dyDescent="0.3">
      <c r="A254" s="9">
        <v>1253</v>
      </c>
      <c r="B254" s="9" t="s">
        <v>25</v>
      </c>
      <c r="C254" s="4" t="s">
        <v>31</v>
      </c>
      <c r="D254" s="4" t="s">
        <v>34</v>
      </c>
      <c r="E254" s="4" t="s">
        <v>6</v>
      </c>
      <c r="F254" s="4">
        <v>20</v>
      </c>
      <c r="G254" s="4">
        <v>47880</v>
      </c>
      <c r="H254" s="4">
        <v>7</v>
      </c>
      <c r="I254" s="7">
        <v>46074</v>
      </c>
      <c r="J254" s="7">
        <v>46075</v>
      </c>
      <c r="K254" s="4" t="s">
        <v>49</v>
      </c>
      <c r="L254" s="4" t="str">
        <f t="shared" si="12"/>
        <v>Mee1253</v>
      </c>
      <c r="M254" s="4" t="str">
        <f t="shared" si="13"/>
        <v>Monor</v>
      </c>
      <c r="N254" s="4" t="str">
        <f t="shared" si="14"/>
        <v>Mor</v>
      </c>
    </row>
    <row r="255" spans="1:14" x14ac:dyDescent="0.3">
      <c r="A255" s="9">
        <v>1254</v>
      </c>
      <c r="B255" s="9" t="s">
        <v>50</v>
      </c>
      <c r="C255" s="4" t="s">
        <v>26</v>
      </c>
      <c r="D255" s="4" t="s">
        <v>20</v>
      </c>
      <c r="E255" s="4" t="s">
        <v>48</v>
      </c>
      <c r="F255" s="4">
        <v>18</v>
      </c>
      <c r="G255" s="4">
        <v>447</v>
      </c>
      <c r="H255" s="4">
        <v>15</v>
      </c>
      <c r="I255" s="7">
        <v>46141</v>
      </c>
      <c r="J255" s="7">
        <v>46149</v>
      </c>
      <c r="K255" s="4" t="s">
        <v>80</v>
      </c>
      <c r="L255" s="4" t="str">
        <f t="shared" si="12"/>
        <v>Kom1254</v>
      </c>
      <c r="M255" s="4" t="str">
        <f t="shared" si="13"/>
        <v>Marer</v>
      </c>
      <c r="N255" s="4" t="str">
        <f t="shared" si="14"/>
        <v>Mr</v>
      </c>
    </row>
    <row r="256" spans="1:14" x14ac:dyDescent="0.3">
      <c r="A256" s="9">
        <v>1255</v>
      </c>
      <c r="B256" s="9" t="s">
        <v>32</v>
      </c>
      <c r="C256" s="4" t="s">
        <v>23</v>
      </c>
      <c r="D256" s="4" t="s">
        <v>24</v>
      </c>
      <c r="E256" s="4" t="s">
        <v>7</v>
      </c>
      <c r="F256" s="4">
        <v>1</v>
      </c>
      <c r="G256" s="4">
        <v>2240</v>
      </c>
      <c r="H256" s="4">
        <v>5</v>
      </c>
      <c r="I256" s="7">
        <v>46091</v>
      </c>
      <c r="J256" s="7">
        <v>46095</v>
      </c>
      <c r="K256" s="4" t="s">
        <v>79</v>
      </c>
      <c r="L256" s="4" t="str">
        <f t="shared" si="12"/>
        <v>Ash1255</v>
      </c>
      <c r="M256" s="4" t="str">
        <f t="shared" si="13"/>
        <v>Dessk</v>
      </c>
      <c r="N256" s="4" t="str">
        <f t="shared" si="14"/>
        <v>D</v>
      </c>
    </row>
    <row r="257" spans="1:14" x14ac:dyDescent="0.3">
      <c r="A257" s="9">
        <v>1256</v>
      </c>
      <c r="B257" s="9" t="s">
        <v>46</v>
      </c>
      <c r="C257" s="4" t="s">
        <v>31</v>
      </c>
      <c r="D257" s="4" t="s">
        <v>20</v>
      </c>
      <c r="E257" s="4" t="s">
        <v>48</v>
      </c>
      <c r="F257" s="4">
        <v>19</v>
      </c>
      <c r="G257" s="4">
        <v>406</v>
      </c>
      <c r="H257" s="4">
        <v>7</v>
      </c>
      <c r="I257" s="7">
        <v>46057</v>
      </c>
      <c r="J257" s="7">
        <v>46061</v>
      </c>
      <c r="K257" s="4" t="s">
        <v>78</v>
      </c>
      <c r="L257" s="4" t="str">
        <f t="shared" si="12"/>
        <v>Nit1256</v>
      </c>
      <c r="M257" s="4" t="str">
        <f t="shared" si="13"/>
        <v>Marer</v>
      </c>
      <c r="N257" s="4" t="str">
        <f t="shared" si="14"/>
        <v>Mr</v>
      </c>
    </row>
    <row r="258" spans="1:14" x14ac:dyDescent="0.3">
      <c r="A258" s="9">
        <v>1257</v>
      </c>
      <c r="B258" s="9" t="s">
        <v>52</v>
      </c>
      <c r="C258" s="4" t="s">
        <v>27</v>
      </c>
      <c r="D258" s="4" t="s">
        <v>34</v>
      </c>
      <c r="E258" s="4" t="s">
        <v>12</v>
      </c>
      <c r="F258" s="4">
        <v>7</v>
      </c>
      <c r="G258" s="4">
        <v>53243</v>
      </c>
      <c r="H258" s="4">
        <v>12</v>
      </c>
      <c r="I258" s="7">
        <v>46161</v>
      </c>
      <c r="J258" s="7">
        <v>46171</v>
      </c>
      <c r="K258" s="4" t="s">
        <v>78</v>
      </c>
      <c r="L258" s="4" t="str">
        <f t="shared" si="12"/>
        <v>Man1257</v>
      </c>
      <c r="M258" s="4" t="str">
        <f t="shared" si="13"/>
        <v>Mouse</v>
      </c>
      <c r="N258" s="4" t="str">
        <f t="shared" si="14"/>
        <v>M</v>
      </c>
    </row>
    <row r="259" spans="1:14" x14ac:dyDescent="0.3">
      <c r="A259" s="9">
        <v>1258</v>
      </c>
      <c r="B259" s="9" t="s">
        <v>32</v>
      </c>
      <c r="C259" s="4" t="s">
        <v>31</v>
      </c>
      <c r="D259" s="4" t="s">
        <v>34</v>
      </c>
      <c r="E259" s="4" t="s">
        <v>9</v>
      </c>
      <c r="F259" s="4">
        <v>1</v>
      </c>
      <c r="G259" s="4">
        <v>10600</v>
      </c>
      <c r="H259" s="4">
        <v>5</v>
      </c>
      <c r="I259" s="7">
        <v>46137</v>
      </c>
      <c r="J259" s="7">
        <v>46138</v>
      </c>
      <c r="K259" s="4" t="s">
        <v>49</v>
      </c>
      <c r="L259" s="4" t="str">
        <f t="shared" si="12"/>
        <v>Ash1258</v>
      </c>
      <c r="M259" s="4" t="str">
        <f t="shared" si="13"/>
        <v>Lapop</v>
      </c>
      <c r="N259" s="4" t="str">
        <f t="shared" si="14"/>
        <v>Lp</v>
      </c>
    </row>
    <row r="260" spans="1:14" x14ac:dyDescent="0.3">
      <c r="A260" s="9">
        <v>1259</v>
      </c>
      <c r="B260" s="9" t="s">
        <v>41</v>
      </c>
      <c r="C260" s="4" t="s">
        <v>26</v>
      </c>
      <c r="D260" s="4" t="s">
        <v>34</v>
      </c>
      <c r="E260" s="4" t="s">
        <v>6</v>
      </c>
      <c r="F260" s="4">
        <v>10</v>
      </c>
      <c r="G260" s="4">
        <v>38771</v>
      </c>
      <c r="H260" s="4">
        <v>15</v>
      </c>
      <c r="I260" s="7">
        <v>46172</v>
      </c>
      <c r="J260" s="7">
        <v>46182</v>
      </c>
      <c r="K260" s="4" t="s">
        <v>78</v>
      </c>
      <c r="L260" s="4" t="str">
        <f t="shared" si="12"/>
        <v>Nis1259</v>
      </c>
      <c r="M260" s="4" t="str">
        <f t="shared" si="13"/>
        <v>Monor</v>
      </c>
      <c r="N260" s="4" t="str">
        <f t="shared" si="14"/>
        <v>Mor</v>
      </c>
    </row>
    <row r="261" spans="1:14" x14ac:dyDescent="0.3">
      <c r="A261" s="9">
        <v>1260</v>
      </c>
      <c r="B261" s="9" t="s">
        <v>52</v>
      </c>
      <c r="C261" s="4" t="s">
        <v>38</v>
      </c>
      <c r="D261" s="4" t="s">
        <v>34</v>
      </c>
      <c r="E261" s="4" t="s">
        <v>40</v>
      </c>
      <c r="F261" s="4">
        <v>19</v>
      </c>
      <c r="G261" s="4">
        <v>54981</v>
      </c>
      <c r="H261" s="4">
        <v>10</v>
      </c>
      <c r="I261" s="7">
        <v>46040</v>
      </c>
      <c r="J261" s="7">
        <v>46045</v>
      </c>
      <c r="K261" s="4" t="s">
        <v>49</v>
      </c>
      <c r="L261" s="4" t="str">
        <f t="shared" si="12"/>
        <v>Man1260</v>
      </c>
      <c r="M261" s="4" t="str">
        <f t="shared" si="13"/>
        <v>Heaet</v>
      </c>
      <c r="N261" s="4" t="str">
        <f t="shared" si="14"/>
        <v>Het</v>
      </c>
    </row>
    <row r="262" spans="1:14" x14ac:dyDescent="0.3">
      <c r="A262" s="9">
        <v>1261</v>
      </c>
      <c r="B262" s="9" t="s">
        <v>39</v>
      </c>
      <c r="C262" s="4" t="s">
        <v>23</v>
      </c>
      <c r="D262" s="4" t="s">
        <v>20</v>
      </c>
      <c r="E262" s="4" t="s">
        <v>48</v>
      </c>
      <c r="F262" s="4">
        <v>20</v>
      </c>
      <c r="G262" s="4">
        <v>162</v>
      </c>
      <c r="H262" s="4">
        <v>7</v>
      </c>
      <c r="I262" s="7">
        <v>46119</v>
      </c>
      <c r="J262" s="7">
        <v>46120</v>
      </c>
      <c r="K262" s="4" t="s">
        <v>81</v>
      </c>
      <c r="L262" s="4" t="str">
        <f t="shared" si="12"/>
        <v>Dee1261</v>
      </c>
      <c r="M262" s="4" t="str">
        <f t="shared" si="13"/>
        <v>Marer</v>
      </c>
      <c r="N262" s="4" t="str">
        <f t="shared" si="14"/>
        <v>Mr</v>
      </c>
    </row>
    <row r="263" spans="1:14" x14ac:dyDescent="0.3">
      <c r="A263" s="9">
        <v>1262</v>
      </c>
      <c r="B263" s="9" t="s">
        <v>22</v>
      </c>
      <c r="C263" s="4" t="s">
        <v>26</v>
      </c>
      <c r="D263" s="4" t="s">
        <v>24</v>
      </c>
      <c r="E263" s="4" t="s">
        <v>8</v>
      </c>
      <c r="F263" s="4">
        <v>9</v>
      </c>
      <c r="G263" s="4">
        <v>2231</v>
      </c>
      <c r="H263" s="4">
        <v>15</v>
      </c>
      <c r="I263" s="7">
        <v>46174</v>
      </c>
      <c r="J263" s="7">
        <v>46183</v>
      </c>
      <c r="K263" s="4" t="s">
        <v>78</v>
      </c>
      <c r="L263" s="4" t="str">
        <f t="shared" si="12"/>
        <v>Poo1262</v>
      </c>
      <c r="M263" s="4" t="str">
        <f t="shared" si="13"/>
        <v>Chair</v>
      </c>
      <c r="N263" s="4" t="str">
        <f t="shared" si="14"/>
        <v>C</v>
      </c>
    </row>
    <row r="264" spans="1:14" x14ac:dyDescent="0.3">
      <c r="A264" s="9">
        <v>1263</v>
      </c>
      <c r="B264" s="9" t="s">
        <v>49</v>
      </c>
      <c r="C264" s="4" t="s">
        <v>38</v>
      </c>
      <c r="D264" s="4" t="s">
        <v>24</v>
      </c>
      <c r="E264" s="4" t="s">
        <v>8</v>
      </c>
      <c r="F264" s="4">
        <v>10</v>
      </c>
      <c r="G264" s="4">
        <v>1505</v>
      </c>
      <c r="H264" s="4">
        <v>0</v>
      </c>
      <c r="I264" s="7">
        <v>46130</v>
      </c>
      <c r="J264" s="7">
        <v>46138</v>
      </c>
      <c r="K264" s="4" t="s">
        <v>81</v>
      </c>
      <c r="L264" s="4" t="str">
        <f t="shared" si="12"/>
        <v>Pri1263</v>
      </c>
      <c r="M264" s="4" t="str">
        <f t="shared" si="13"/>
        <v>Chair</v>
      </c>
      <c r="N264" s="4" t="str">
        <f t="shared" si="14"/>
        <v>C</v>
      </c>
    </row>
    <row r="265" spans="1:14" x14ac:dyDescent="0.3">
      <c r="A265" s="9">
        <v>1264</v>
      </c>
      <c r="B265" s="9" t="s">
        <v>18</v>
      </c>
      <c r="C265" s="4" t="s">
        <v>26</v>
      </c>
      <c r="D265" s="4" t="s">
        <v>24</v>
      </c>
      <c r="E265" s="4" t="s">
        <v>8</v>
      </c>
      <c r="F265" s="4">
        <v>15</v>
      </c>
      <c r="G265" s="4">
        <v>6365</v>
      </c>
      <c r="H265" s="4">
        <v>10</v>
      </c>
      <c r="I265" s="7">
        <v>46200</v>
      </c>
      <c r="J265" s="7">
        <v>46206</v>
      </c>
      <c r="K265" s="4" t="s">
        <v>79</v>
      </c>
      <c r="L265" s="4" t="str">
        <f t="shared" si="12"/>
        <v>Rit1264</v>
      </c>
      <c r="M265" s="4" t="str">
        <f t="shared" si="13"/>
        <v>Chair</v>
      </c>
      <c r="N265" s="4" t="str">
        <f t="shared" si="14"/>
        <v>C</v>
      </c>
    </row>
    <row r="266" spans="1:14" x14ac:dyDescent="0.3">
      <c r="A266" s="9">
        <v>1265</v>
      </c>
      <c r="B266" s="9" t="s">
        <v>55</v>
      </c>
      <c r="C266" s="4" t="s">
        <v>26</v>
      </c>
      <c r="D266" s="4" t="s">
        <v>24</v>
      </c>
      <c r="E266" s="4" t="s">
        <v>7</v>
      </c>
      <c r="F266" s="4">
        <v>1</v>
      </c>
      <c r="G266" s="4">
        <v>1052</v>
      </c>
      <c r="H266" s="4">
        <v>7</v>
      </c>
      <c r="I266" s="7">
        <v>46117</v>
      </c>
      <c r="J266" s="7">
        <v>46127</v>
      </c>
      <c r="K266" s="4" t="s">
        <v>81</v>
      </c>
      <c r="L266" s="4" t="str">
        <f t="shared" si="12"/>
        <v>Roh1265</v>
      </c>
      <c r="M266" s="4" t="str">
        <f t="shared" si="13"/>
        <v>Dessk</v>
      </c>
      <c r="N266" s="4" t="str">
        <f t="shared" si="14"/>
        <v>D</v>
      </c>
    </row>
    <row r="267" spans="1:14" x14ac:dyDescent="0.3">
      <c r="A267" s="9">
        <v>1266</v>
      </c>
      <c r="B267" s="9" t="s">
        <v>49</v>
      </c>
      <c r="C267" s="4" t="s">
        <v>33</v>
      </c>
      <c r="D267" s="4" t="s">
        <v>20</v>
      </c>
      <c r="E267" s="4" t="s">
        <v>21</v>
      </c>
      <c r="F267" s="4">
        <v>17</v>
      </c>
      <c r="G267" s="4">
        <v>365</v>
      </c>
      <c r="H267" s="4">
        <v>2</v>
      </c>
      <c r="I267" s="7">
        <v>46096</v>
      </c>
      <c r="J267" s="7">
        <v>46104</v>
      </c>
      <c r="K267" s="4" t="s">
        <v>81</v>
      </c>
      <c r="L267" s="4" t="str">
        <f t="shared" si="12"/>
        <v>Pri1266</v>
      </c>
      <c r="M267" s="4" t="str">
        <f t="shared" si="13"/>
        <v>Notok</v>
      </c>
      <c r="N267" s="4" t="str">
        <f t="shared" si="14"/>
        <v>Nook</v>
      </c>
    </row>
    <row r="268" spans="1:14" x14ac:dyDescent="0.3">
      <c r="A268" s="9">
        <v>1267</v>
      </c>
      <c r="B268" s="9" t="s">
        <v>29</v>
      </c>
      <c r="C268" s="4" t="s">
        <v>38</v>
      </c>
      <c r="D268" s="4" t="s">
        <v>20</v>
      </c>
      <c r="E268" s="4" t="s">
        <v>48</v>
      </c>
      <c r="F268" s="4">
        <v>1</v>
      </c>
      <c r="G268" s="4">
        <v>50</v>
      </c>
      <c r="H268" s="4">
        <v>0</v>
      </c>
      <c r="I268" s="7">
        <v>46129</v>
      </c>
      <c r="J268" s="7">
        <v>46138</v>
      </c>
      <c r="K268" s="4" t="s">
        <v>79</v>
      </c>
      <c r="L268" s="4" t="str">
        <f t="shared" si="12"/>
        <v>Arj1267</v>
      </c>
      <c r="M268" s="4" t="str">
        <f t="shared" si="13"/>
        <v>Marer</v>
      </c>
      <c r="N268" s="4" t="str">
        <f t="shared" si="14"/>
        <v>Mr</v>
      </c>
    </row>
    <row r="269" spans="1:14" x14ac:dyDescent="0.3">
      <c r="A269" s="9">
        <v>1268</v>
      </c>
      <c r="B269" s="9" t="s">
        <v>41</v>
      </c>
      <c r="C269" s="4" t="s">
        <v>38</v>
      </c>
      <c r="D269" s="4" t="s">
        <v>34</v>
      </c>
      <c r="E269" s="4" t="s">
        <v>6</v>
      </c>
      <c r="F269" s="4">
        <v>10</v>
      </c>
      <c r="G269" s="4">
        <v>46291</v>
      </c>
      <c r="H269" s="4">
        <v>12</v>
      </c>
      <c r="I269" s="7">
        <v>46199</v>
      </c>
      <c r="J269" s="7">
        <v>46202</v>
      </c>
      <c r="K269" s="4" t="s">
        <v>79</v>
      </c>
      <c r="L269" s="4" t="str">
        <f t="shared" si="12"/>
        <v>Nis1268</v>
      </c>
      <c r="M269" s="4" t="str">
        <f t="shared" si="13"/>
        <v>Monor</v>
      </c>
      <c r="N269" s="4" t="str">
        <f t="shared" si="14"/>
        <v>Mor</v>
      </c>
    </row>
    <row r="270" spans="1:14" x14ac:dyDescent="0.3">
      <c r="A270" s="9">
        <v>1269</v>
      </c>
      <c r="B270" s="9" t="s">
        <v>50</v>
      </c>
      <c r="C270" s="4" t="s">
        <v>42</v>
      </c>
      <c r="D270" s="4" t="s">
        <v>24</v>
      </c>
      <c r="E270" s="4" t="s">
        <v>7</v>
      </c>
      <c r="F270" s="4">
        <v>14</v>
      </c>
      <c r="G270" s="4">
        <v>5704</v>
      </c>
      <c r="H270" s="4">
        <v>2</v>
      </c>
      <c r="I270" s="7">
        <v>46129</v>
      </c>
      <c r="J270" s="7">
        <v>46131</v>
      </c>
      <c r="K270" s="4" t="s">
        <v>78</v>
      </c>
      <c r="L270" s="4" t="str">
        <f t="shared" si="12"/>
        <v>Kom1269</v>
      </c>
      <c r="M270" s="4" t="str">
        <f t="shared" si="13"/>
        <v>Dessk</v>
      </c>
      <c r="N270" s="4" t="str">
        <f t="shared" si="14"/>
        <v>D</v>
      </c>
    </row>
    <row r="271" spans="1:14" x14ac:dyDescent="0.3">
      <c r="A271" s="9">
        <v>1270</v>
      </c>
      <c r="B271" s="9" t="s">
        <v>47</v>
      </c>
      <c r="C271" s="4" t="s">
        <v>42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7">
        <v>46135</v>
      </c>
      <c r="J271" s="7">
        <v>46141</v>
      </c>
      <c r="K271" s="4" t="s">
        <v>81</v>
      </c>
      <c r="L271" s="4" t="str">
        <f t="shared" si="12"/>
        <v>Aja1270</v>
      </c>
      <c r="M271" s="4" t="str">
        <f t="shared" si="13"/>
        <v>Prier</v>
      </c>
      <c r="N271" s="4" t="str">
        <f t="shared" si="14"/>
        <v>Per</v>
      </c>
    </row>
    <row r="272" spans="1:14" x14ac:dyDescent="0.3">
      <c r="A272" s="9">
        <v>1271</v>
      </c>
      <c r="B272" s="9" t="s">
        <v>39</v>
      </c>
      <c r="C272" s="4" t="s">
        <v>33</v>
      </c>
      <c r="D272" s="4" t="s">
        <v>34</v>
      </c>
      <c r="E272" s="4" t="s">
        <v>9</v>
      </c>
      <c r="F272" s="4">
        <v>20</v>
      </c>
      <c r="G272" s="4">
        <v>36941</v>
      </c>
      <c r="H272" s="4">
        <v>15</v>
      </c>
      <c r="I272" s="7">
        <v>46083</v>
      </c>
      <c r="J272" s="7">
        <v>46085</v>
      </c>
      <c r="K272" s="4" t="s">
        <v>49</v>
      </c>
      <c r="L272" s="4" t="str">
        <f t="shared" si="12"/>
        <v>Dee1271</v>
      </c>
      <c r="M272" s="4" t="str">
        <f t="shared" si="13"/>
        <v>Lapop</v>
      </c>
      <c r="N272" s="4" t="str">
        <f t="shared" si="14"/>
        <v>Lp</v>
      </c>
    </row>
    <row r="273" spans="1:14" x14ac:dyDescent="0.3">
      <c r="A273" s="9">
        <v>1272</v>
      </c>
      <c r="B273" s="9" t="s">
        <v>50</v>
      </c>
      <c r="C273" s="4" t="s">
        <v>38</v>
      </c>
      <c r="D273" s="4" t="s">
        <v>34</v>
      </c>
      <c r="E273" s="4" t="s">
        <v>40</v>
      </c>
      <c r="F273" s="4">
        <v>13</v>
      </c>
      <c r="G273" s="4">
        <v>42179</v>
      </c>
      <c r="H273" s="4">
        <v>0</v>
      </c>
      <c r="I273" s="7">
        <v>46078</v>
      </c>
      <c r="J273" s="7">
        <v>46084</v>
      </c>
      <c r="K273" s="4" t="s">
        <v>79</v>
      </c>
      <c r="L273" s="4" t="str">
        <f t="shared" si="12"/>
        <v>Kom1272</v>
      </c>
      <c r="M273" s="4" t="str">
        <f t="shared" si="13"/>
        <v>Heaet</v>
      </c>
      <c r="N273" s="4" t="str">
        <f t="shared" si="14"/>
        <v>Het</v>
      </c>
    </row>
    <row r="274" spans="1:14" x14ac:dyDescent="0.3">
      <c r="A274" s="9">
        <v>1273</v>
      </c>
      <c r="B274" s="9" t="s">
        <v>44</v>
      </c>
      <c r="C274" s="4" t="s">
        <v>27</v>
      </c>
      <c r="D274" s="4" t="s">
        <v>34</v>
      </c>
      <c r="E274" s="4" t="s">
        <v>5</v>
      </c>
      <c r="F274" s="4">
        <v>12</v>
      </c>
      <c r="G274" s="4">
        <v>20618</v>
      </c>
      <c r="H274" s="4">
        <v>12</v>
      </c>
      <c r="I274" s="7">
        <v>46172</v>
      </c>
      <c r="J274" s="7">
        <v>46174</v>
      </c>
      <c r="K274" s="4" t="s">
        <v>79</v>
      </c>
      <c r="L274" s="4" t="str">
        <f t="shared" si="12"/>
        <v>Kir1273</v>
      </c>
      <c r="M274" s="4" t="str">
        <f t="shared" si="13"/>
        <v>Keyrd</v>
      </c>
      <c r="N274" s="4" t="str">
        <f t="shared" si="14"/>
        <v>Kard</v>
      </c>
    </row>
    <row r="275" spans="1:14" x14ac:dyDescent="0.3">
      <c r="A275" s="9">
        <v>1274</v>
      </c>
      <c r="B275" s="9" t="s">
        <v>28</v>
      </c>
      <c r="C275" s="4" t="s">
        <v>27</v>
      </c>
      <c r="D275" s="4" t="s">
        <v>34</v>
      </c>
      <c r="E275" s="4" t="s">
        <v>40</v>
      </c>
      <c r="F275" s="4">
        <v>13</v>
      </c>
      <c r="G275" s="4">
        <v>36652</v>
      </c>
      <c r="H275" s="4">
        <v>12</v>
      </c>
      <c r="I275" s="7">
        <v>46179</v>
      </c>
      <c r="J275" s="7">
        <v>46186</v>
      </c>
      <c r="K275" s="4" t="s">
        <v>79</v>
      </c>
      <c r="L275" s="4" t="str">
        <f t="shared" si="12"/>
        <v>Vik1274</v>
      </c>
      <c r="M275" s="4" t="str">
        <f t="shared" si="13"/>
        <v>Heaet</v>
      </c>
      <c r="N275" s="4" t="str">
        <f t="shared" si="14"/>
        <v>Het</v>
      </c>
    </row>
    <row r="276" spans="1:14" x14ac:dyDescent="0.3">
      <c r="A276" s="9">
        <v>1275</v>
      </c>
      <c r="B276" s="9" t="s">
        <v>22</v>
      </c>
      <c r="C276" s="4" t="s">
        <v>31</v>
      </c>
      <c r="D276" s="4" t="s">
        <v>20</v>
      </c>
      <c r="E276" s="4" t="s">
        <v>48</v>
      </c>
      <c r="F276" s="4">
        <v>20</v>
      </c>
      <c r="G276" s="4">
        <v>451</v>
      </c>
      <c r="H276" s="4">
        <v>15</v>
      </c>
      <c r="I276" s="7">
        <v>46092</v>
      </c>
      <c r="J276" s="7">
        <v>46094</v>
      </c>
      <c r="K276" s="4" t="s">
        <v>79</v>
      </c>
      <c r="L276" s="4" t="str">
        <f t="shared" si="12"/>
        <v>Poo1275</v>
      </c>
      <c r="M276" s="4" t="str">
        <f t="shared" si="13"/>
        <v>Marer</v>
      </c>
      <c r="N276" s="4" t="str">
        <f t="shared" si="14"/>
        <v>Mr</v>
      </c>
    </row>
    <row r="277" spans="1:14" x14ac:dyDescent="0.3">
      <c r="A277" s="9">
        <v>1276</v>
      </c>
      <c r="B277" s="9" t="s">
        <v>39</v>
      </c>
      <c r="C277" s="4" t="s">
        <v>19</v>
      </c>
      <c r="D277" s="4" t="s">
        <v>24</v>
      </c>
      <c r="E277" s="4" t="s">
        <v>7</v>
      </c>
      <c r="F277" s="4">
        <v>1</v>
      </c>
      <c r="G277" s="4">
        <v>13437</v>
      </c>
      <c r="H277" s="4">
        <v>15</v>
      </c>
      <c r="I277" s="7">
        <v>46097</v>
      </c>
      <c r="J277" s="7">
        <v>46099</v>
      </c>
      <c r="K277" s="4" t="s">
        <v>80</v>
      </c>
      <c r="L277" s="4" t="str">
        <f t="shared" si="12"/>
        <v>Dee1276</v>
      </c>
      <c r="M277" s="4" t="str">
        <f t="shared" si="13"/>
        <v>Dessk</v>
      </c>
      <c r="N277" s="4" t="str">
        <f t="shared" si="14"/>
        <v>D</v>
      </c>
    </row>
    <row r="278" spans="1:14" x14ac:dyDescent="0.3">
      <c r="A278" s="9">
        <v>1277</v>
      </c>
      <c r="B278" s="9" t="s">
        <v>56</v>
      </c>
      <c r="C278" s="4" t="s">
        <v>23</v>
      </c>
      <c r="D278" s="4" t="s">
        <v>20</v>
      </c>
      <c r="E278" s="4" t="s">
        <v>36</v>
      </c>
      <c r="F278" s="4">
        <v>14</v>
      </c>
      <c r="G278" s="4">
        <v>276</v>
      </c>
      <c r="H278" s="4">
        <v>0</v>
      </c>
      <c r="I278" s="7">
        <v>46086</v>
      </c>
      <c r="J278" s="7">
        <v>46089</v>
      </c>
      <c r="K278" s="4" t="s">
        <v>78</v>
      </c>
      <c r="L278" s="4" t="str">
        <f t="shared" si="12"/>
        <v>Ani1277</v>
      </c>
      <c r="M278" s="4" t="str">
        <f t="shared" si="13"/>
        <v>Staer</v>
      </c>
      <c r="N278" s="4" t="str">
        <f t="shared" si="14"/>
        <v>Ser</v>
      </c>
    </row>
    <row r="279" spans="1:14" x14ac:dyDescent="0.3">
      <c r="A279" s="9">
        <v>1278</v>
      </c>
      <c r="B279" s="9" t="s">
        <v>45</v>
      </c>
      <c r="C279" s="4" t="s">
        <v>26</v>
      </c>
      <c r="D279" s="4" t="s">
        <v>34</v>
      </c>
      <c r="E279" s="4" t="s">
        <v>12</v>
      </c>
      <c r="F279" s="4">
        <v>4</v>
      </c>
      <c r="G279" s="4">
        <v>20639</v>
      </c>
      <c r="H279" s="4">
        <v>7</v>
      </c>
      <c r="I279" s="7">
        <v>46180</v>
      </c>
      <c r="J279" s="7">
        <v>46186</v>
      </c>
      <c r="K279" s="4" t="s">
        <v>79</v>
      </c>
      <c r="L279" s="4" t="str">
        <f t="shared" si="12"/>
        <v>Yas1278</v>
      </c>
      <c r="M279" s="4" t="str">
        <f t="shared" si="13"/>
        <v>Mouse</v>
      </c>
      <c r="N279" s="4" t="str">
        <f t="shared" si="14"/>
        <v>M</v>
      </c>
    </row>
    <row r="280" spans="1:14" x14ac:dyDescent="0.3">
      <c r="A280" s="9">
        <v>1279</v>
      </c>
      <c r="B280" s="9" t="s">
        <v>53</v>
      </c>
      <c r="C280" s="4" t="s">
        <v>33</v>
      </c>
      <c r="D280" s="4" t="s">
        <v>34</v>
      </c>
      <c r="E280" s="4" t="s">
        <v>6</v>
      </c>
      <c r="F280" s="4">
        <v>20</v>
      </c>
      <c r="G280" s="4">
        <v>49042</v>
      </c>
      <c r="H280" s="4">
        <v>2</v>
      </c>
      <c r="I280" s="7">
        <v>46124</v>
      </c>
      <c r="J280" s="7">
        <v>46126</v>
      </c>
      <c r="K280" s="4" t="s">
        <v>78</v>
      </c>
      <c r="L280" s="4" t="str">
        <f t="shared" si="12"/>
        <v>Sne1279</v>
      </c>
      <c r="M280" s="4" t="str">
        <f t="shared" si="13"/>
        <v>Monor</v>
      </c>
      <c r="N280" s="4" t="str">
        <f t="shared" si="14"/>
        <v>Mor</v>
      </c>
    </row>
    <row r="281" spans="1:14" x14ac:dyDescent="0.3">
      <c r="A281" s="9">
        <v>1280</v>
      </c>
      <c r="B281" s="9" t="s">
        <v>56</v>
      </c>
      <c r="C281" s="4" t="s">
        <v>38</v>
      </c>
      <c r="D281" s="4" t="s">
        <v>20</v>
      </c>
      <c r="E281" s="4" t="s">
        <v>51</v>
      </c>
      <c r="F281" s="4">
        <v>9</v>
      </c>
      <c r="G281" s="4">
        <v>50</v>
      </c>
      <c r="H281" s="4">
        <v>7</v>
      </c>
      <c r="I281" s="7">
        <v>46085</v>
      </c>
      <c r="J281" s="7">
        <v>46095</v>
      </c>
      <c r="K281" s="4" t="s">
        <v>81</v>
      </c>
      <c r="L281" s="4" t="str">
        <f t="shared" si="12"/>
        <v>Ani1280</v>
      </c>
      <c r="M281" s="4" t="str">
        <f t="shared" si="13"/>
        <v>Diary</v>
      </c>
      <c r="N281" s="4" t="str">
        <f t="shared" si="14"/>
        <v>D</v>
      </c>
    </row>
    <row r="282" spans="1:14" x14ac:dyDescent="0.3">
      <c r="A282" s="9">
        <v>1281</v>
      </c>
      <c r="B282" s="9" t="s">
        <v>53</v>
      </c>
      <c r="C282" s="4" t="s">
        <v>23</v>
      </c>
      <c r="D282" s="4" t="s">
        <v>20</v>
      </c>
      <c r="E282" s="4" t="s">
        <v>48</v>
      </c>
      <c r="F282" s="4">
        <v>6</v>
      </c>
      <c r="G282" s="4">
        <v>253</v>
      </c>
      <c r="H282" s="4">
        <v>0</v>
      </c>
      <c r="I282" s="7">
        <v>46055</v>
      </c>
      <c r="J282" s="7">
        <v>46063</v>
      </c>
      <c r="K282" s="4" t="s">
        <v>80</v>
      </c>
      <c r="L282" s="4" t="str">
        <f t="shared" si="12"/>
        <v>Sne1281</v>
      </c>
      <c r="M282" s="4" t="str">
        <f t="shared" si="13"/>
        <v>Marer</v>
      </c>
      <c r="N282" s="4" t="str">
        <f t="shared" si="14"/>
        <v>Mr</v>
      </c>
    </row>
    <row r="283" spans="1:14" x14ac:dyDescent="0.3">
      <c r="A283" s="9">
        <v>1282</v>
      </c>
      <c r="B283" s="9" t="s">
        <v>54</v>
      </c>
      <c r="C283" s="4" t="s">
        <v>42</v>
      </c>
      <c r="D283" s="4" t="s">
        <v>24</v>
      </c>
      <c r="E283" s="4" t="s">
        <v>43</v>
      </c>
      <c r="F283" s="4">
        <v>12</v>
      </c>
      <c r="G283" s="4">
        <v>3178</v>
      </c>
      <c r="H283" s="4">
        <v>10</v>
      </c>
      <c r="I283" s="7">
        <v>46176</v>
      </c>
      <c r="J283" s="7">
        <v>46177</v>
      </c>
      <c r="K283" s="4" t="s">
        <v>49</v>
      </c>
      <c r="L283" s="4" t="str">
        <f t="shared" si="12"/>
        <v>Sar1282</v>
      </c>
      <c r="M283" s="4" t="str">
        <f t="shared" si="13"/>
        <v>Boolf</v>
      </c>
      <c r="N283" s="4" t="str">
        <f t="shared" si="14"/>
        <v>Bhelf</v>
      </c>
    </row>
    <row r="284" spans="1:14" x14ac:dyDescent="0.3">
      <c r="A284" s="9">
        <v>1283</v>
      </c>
      <c r="B284" s="9" t="s">
        <v>39</v>
      </c>
      <c r="C284" s="4" t="s">
        <v>19</v>
      </c>
      <c r="D284" s="4" t="s">
        <v>24</v>
      </c>
      <c r="E284" s="4" t="s">
        <v>10</v>
      </c>
      <c r="F284" s="4">
        <v>6</v>
      </c>
      <c r="G284" s="4">
        <v>1167</v>
      </c>
      <c r="H284" s="4">
        <v>2</v>
      </c>
      <c r="I284" s="7">
        <v>46100</v>
      </c>
      <c r="J284" s="7">
        <v>46106</v>
      </c>
      <c r="K284" s="4" t="s">
        <v>78</v>
      </c>
      <c r="L284" s="4" t="str">
        <f t="shared" si="12"/>
        <v>Dee1283</v>
      </c>
      <c r="M284" s="4" t="str">
        <f t="shared" si="13"/>
        <v>Table</v>
      </c>
      <c r="N284" s="4" t="str">
        <f t="shared" si="14"/>
        <v>T</v>
      </c>
    </row>
    <row r="285" spans="1:14" x14ac:dyDescent="0.3">
      <c r="A285" s="9">
        <v>1284</v>
      </c>
      <c r="B285" s="9" t="s">
        <v>39</v>
      </c>
      <c r="C285" s="4" t="s">
        <v>27</v>
      </c>
      <c r="D285" s="4" t="s">
        <v>20</v>
      </c>
      <c r="E285" s="4" t="s">
        <v>37</v>
      </c>
      <c r="F285" s="4">
        <v>16</v>
      </c>
      <c r="G285" s="4">
        <v>419</v>
      </c>
      <c r="H285" s="4">
        <v>2</v>
      </c>
      <c r="I285" s="7">
        <v>46082</v>
      </c>
      <c r="J285" s="7">
        <v>46090</v>
      </c>
      <c r="K285" s="4" t="s">
        <v>78</v>
      </c>
      <c r="L285" s="4" t="str">
        <f t="shared" si="12"/>
        <v>Dee1284</v>
      </c>
      <c r="M285" s="4" t="str">
        <f t="shared" si="13"/>
        <v>Penck</v>
      </c>
      <c r="N285" s="4" t="str">
        <f t="shared" si="14"/>
        <v>Pack</v>
      </c>
    </row>
    <row r="286" spans="1:14" x14ac:dyDescent="0.3">
      <c r="A286" s="9">
        <v>1285</v>
      </c>
      <c r="B286" s="9" t="s">
        <v>32</v>
      </c>
      <c r="C286" s="4" t="s">
        <v>38</v>
      </c>
      <c r="D286" s="4" t="s">
        <v>20</v>
      </c>
      <c r="E286" s="4" t="s">
        <v>36</v>
      </c>
      <c r="F286" s="4">
        <v>7</v>
      </c>
      <c r="G286" s="4">
        <v>439</v>
      </c>
      <c r="H286" s="4">
        <v>15</v>
      </c>
      <c r="I286" s="7">
        <v>46055</v>
      </c>
      <c r="J286" s="7">
        <v>46058</v>
      </c>
      <c r="K286" s="4" t="s">
        <v>79</v>
      </c>
      <c r="L286" s="4" t="str">
        <f t="shared" si="12"/>
        <v>Ash1285</v>
      </c>
      <c r="M286" s="4" t="str">
        <f t="shared" si="13"/>
        <v>Staer</v>
      </c>
      <c r="N286" s="4" t="str">
        <f t="shared" si="14"/>
        <v>Ser</v>
      </c>
    </row>
    <row r="287" spans="1:14" x14ac:dyDescent="0.3">
      <c r="A287" s="9">
        <v>1286</v>
      </c>
      <c r="B287" s="9" t="s">
        <v>44</v>
      </c>
      <c r="C287" s="4" t="s">
        <v>23</v>
      </c>
      <c r="D287" s="4" t="s">
        <v>24</v>
      </c>
      <c r="E287" s="4" t="s">
        <v>11</v>
      </c>
      <c r="F287" s="4">
        <v>9</v>
      </c>
      <c r="G287" s="4">
        <v>1340</v>
      </c>
      <c r="H287" s="4">
        <v>2</v>
      </c>
      <c r="I287" s="7">
        <v>46168</v>
      </c>
      <c r="J287" s="7">
        <v>46173</v>
      </c>
      <c r="K287" s="4" t="s">
        <v>78</v>
      </c>
      <c r="L287" s="4" t="str">
        <f t="shared" si="12"/>
        <v>Kir1286</v>
      </c>
      <c r="M287" s="4" t="str">
        <f t="shared" si="13"/>
        <v>Cabet</v>
      </c>
      <c r="N287" s="4" t="str">
        <f t="shared" si="14"/>
        <v>Cet</v>
      </c>
    </row>
    <row r="288" spans="1:14" x14ac:dyDescent="0.3">
      <c r="A288" s="9">
        <v>1287</v>
      </c>
      <c r="B288" s="9" t="s">
        <v>56</v>
      </c>
      <c r="C288" s="4" t="s">
        <v>31</v>
      </c>
      <c r="D288" s="4" t="s">
        <v>20</v>
      </c>
      <c r="E288" s="4" t="s">
        <v>21</v>
      </c>
      <c r="F288" s="4">
        <v>15</v>
      </c>
      <c r="G288" s="4">
        <v>251</v>
      </c>
      <c r="H288" s="4">
        <v>2</v>
      </c>
      <c r="I288" s="7">
        <v>46116</v>
      </c>
      <c r="J288" s="7">
        <v>46122</v>
      </c>
      <c r="K288" s="4" t="s">
        <v>81</v>
      </c>
      <c r="L288" s="4" t="str">
        <f t="shared" si="12"/>
        <v>Ani1287</v>
      </c>
      <c r="M288" s="4" t="str">
        <f t="shared" si="13"/>
        <v>Notok</v>
      </c>
      <c r="N288" s="4" t="str">
        <f t="shared" si="14"/>
        <v>Nook</v>
      </c>
    </row>
    <row r="289" spans="1:14" x14ac:dyDescent="0.3">
      <c r="A289" s="9">
        <v>1288</v>
      </c>
      <c r="B289" s="9" t="s">
        <v>52</v>
      </c>
      <c r="C289" s="4" t="s">
        <v>26</v>
      </c>
      <c r="D289" s="4" t="s">
        <v>34</v>
      </c>
      <c r="E289" s="4" t="s">
        <v>9</v>
      </c>
      <c r="F289" s="4">
        <v>14</v>
      </c>
      <c r="G289" s="4">
        <v>35601</v>
      </c>
      <c r="H289" s="4">
        <v>10</v>
      </c>
      <c r="I289" s="7">
        <v>46179</v>
      </c>
      <c r="J289" s="7">
        <v>46187</v>
      </c>
      <c r="K289" s="4" t="s">
        <v>49</v>
      </c>
      <c r="L289" s="4" t="str">
        <f t="shared" si="12"/>
        <v>Man1288</v>
      </c>
      <c r="M289" s="4" t="str">
        <f t="shared" si="13"/>
        <v>Lapop</v>
      </c>
      <c r="N289" s="4" t="str">
        <f t="shared" si="14"/>
        <v>Lp</v>
      </c>
    </row>
    <row r="290" spans="1:14" x14ac:dyDescent="0.3">
      <c r="A290" s="9">
        <v>1289</v>
      </c>
      <c r="B290" s="9" t="s">
        <v>28</v>
      </c>
      <c r="C290" s="4" t="s">
        <v>26</v>
      </c>
      <c r="D290" s="4" t="s">
        <v>34</v>
      </c>
      <c r="E290" s="4" t="s">
        <v>6</v>
      </c>
      <c r="F290" s="4">
        <v>19</v>
      </c>
      <c r="G290" s="4">
        <v>25336</v>
      </c>
      <c r="H290" s="4">
        <v>2</v>
      </c>
      <c r="I290" s="7">
        <v>46122</v>
      </c>
      <c r="J290" s="7">
        <v>46130</v>
      </c>
      <c r="K290" s="4" t="s">
        <v>80</v>
      </c>
      <c r="L290" s="4" t="str">
        <f t="shared" si="12"/>
        <v>Vik1289</v>
      </c>
      <c r="M290" s="4" t="str">
        <f t="shared" si="13"/>
        <v>Monor</v>
      </c>
      <c r="N290" s="4" t="str">
        <f t="shared" si="14"/>
        <v>Mor</v>
      </c>
    </row>
    <row r="291" spans="1:14" x14ac:dyDescent="0.3">
      <c r="A291" s="9">
        <v>1290</v>
      </c>
      <c r="B291" s="9" t="s">
        <v>28</v>
      </c>
      <c r="C291" s="4" t="s">
        <v>26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7">
        <v>46110</v>
      </c>
      <c r="J291" s="7">
        <v>46111</v>
      </c>
      <c r="K291" s="4" t="s">
        <v>49</v>
      </c>
      <c r="L291" s="4" t="str">
        <f t="shared" si="12"/>
        <v>Vik1290</v>
      </c>
      <c r="M291" s="4" t="str">
        <f t="shared" si="13"/>
        <v>Prier</v>
      </c>
      <c r="N291" s="4" t="str">
        <f t="shared" si="14"/>
        <v>Per</v>
      </c>
    </row>
    <row r="292" spans="1:14" x14ac:dyDescent="0.3">
      <c r="A292" s="9">
        <v>1291</v>
      </c>
      <c r="B292" s="9" t="s">
        <v>25</v>
      </c>
      <c r="C292" s="4" t="s">
        <v>23</v>
      </c>
      <c r="D292" s="4" t="s">
        <v>20</v>
      </c>
      <c r="E292" s="4" t="s">
        <v>36</v>
      </c>
      <c r="F292" s="4">
        <v>17</v>
      </c>
      <c r="G292" s="4">
        <v>415</v>
      </c>
      <c r="H292" s="4">
        <v>5</v>
      </c>
      <c r="I292" s="7">
        <v>46137</v>
      </c>
      <c r="J292" s="7">
        <v>46141</v>
      </c>
      <c r="K292" s="4" t="s">
        <v>79</v>
      </c>
      <c r="L292" s="4" t="str">
        <f t="shared" si="12"/>
        <v>Mee1291</v>
      </c>
      <c r="M292" s="4" t="str">
        <f t="shared" si="13"/>
        <v>Staer</v>
      </c>
      <c r="N292" s="4" t="str">
        <f t="shared" si="14"/>
        <v>Ser</v>
      </c>
    </row>
    <row r="293" spans="1:14" x14ac:dyDescent="0.3">
      <c r="A293" s="9">
        <v>1292</v>
      </c>
      <c r="B293" s="9" t="s">
        <v>52</v>
      </c>
      <c r="C293" s="4" t="s">
        <v>33</v>
      </c>
      <c r="D293" s="4" t="s">
        <v>34</v>
      </c>
      <c r="E293" s="4" t="s">
        <v>12</v>
      </c>
      <c r="F293" s="4">
        <v>11</v>
      </c>
      <c r="G293" s="4">
        <v>25158</v>
      </c>
      <c r="H293" s="4">
        <v>5</v>
      </c>
      <c r="I293" s="7">
        <v>46186</v>
      </c>
      <c r="J293" s="7">
        <v>46193</v>
      </c>
      <c r="K293" s="4" t="s">
        <v>79</v>
      </c>
      <c r="L293" s="4" t="str">
        <f t="shared" si="12"/>
        <v>Man1292</v>
      </c>
      <c r="M293" s="4" t="str">
        <f t="shared" si="13"/>
        <v>Mouse</v>
      </c>
      <c r="N293" s="4" t="str">
        <f t="shared" si="14"/>
        <v>M</v>
      </c>
    </row>
    <row r="294" spans="1:14" x14ac:dyDescent="0.3">
      <c r="A294" s="9">
        <v>1293</v>
      </c>
      <c r="B294" s="9" t="s">
        <v>47</v>
      </c>
      <c r="C294" s="4" t="s">
        <v>42</v>
      </c>
      <c r="D294" s="4" t="s">
        <v>24</v>
      </c>
      <c r="E294" s="4" t="s">
        <v>10</v>
      </c>
      <c r="F294" s="4">
        <v>7</v>
      </c>
      <c r="G294" s="4">
        <v>11481</v>
      </c>
      <c r="H294" s="4">
        <v>15</v>
      </c>
      <c r="I294" s="7">
        <v>46045</v>
      </c>
      <c r="J294" s="7">
        <v>46050</v>
      </c>
      <c r="K294" s="4" t="s">
        <v>79</v>
      </c>
      <c r="L294" s="4" t="str">
        <f t="shared" ref="L294:L357" si="15">_xlfn.CONCAT(LEFT(B294, 3), A294)</f>
        <v>Aja1293</v>
      </c>
      <c r="M294" s="4" t="str">
        <f t="shared" ref="M294:M357" si="16">_xlfn.CONCAT(LEFT(E294, 3), RIGHT(E294,2))</f>
        <v>Table</v>
      </c>
      <c r="N294" s="4" t="str">
        <f t="shared" ref="N294:N357" si="17">REPLACE(E294,2,4,"")</f>
        <v>T</v>
      </c>
    </row>
    <row r="295" spans="1:14" x14ac:dyDescent="0.3">
      <c r="A295" s="9">
        <v>1294</v>
      </c>
      <c r="B295" s="9" t="s">
        <v>25</v>
      </c>
      <c r="C295" s="4" t="s">
        <v>19</v>
      </c>
      <c r="D295" s="4" t="s">
        <v>24</v>
      </c>
      <c r="E295" s="4" t="s">
        <v>7</v>
      </c>
      <c r="F295" s="4">
        <v>8</v>
      </c>
      <c r="G295" s="4">
        <v>14448</v>
      </c>
      <c r="H295" s="4">
        <v>10</v>
      </c>
      <c r="I295" s="7">
        <v>46181</v>
      </c>
      <c r="J295" s="7">
        <v>46189</v>
      </c>
      <c r="K295" s="4" t="s">
        <v>78</v>
      </c>
      <c r="L295" s="4" t="str">
        <f t="shared" si="15"/>
        <v>Mee1294</v>
      </c>
      <c r="M295" s="4" t="str">
        <f t="shared" si="16"/>
        <v>Dessk</v>
      </c>
      <c r="N295" s="4" t="str">
        <f t="shared" si="17"/>
        <v>D</v>
      </c>
    </row>
    <row r="296" spans="1:14" x14ac:dyDescent="0.3">
      <c r="A296" s="9">
        <v>1295</v>
      </c>
      <c r="B296" s="9" t="s">
        <v>50</v>
      </c>
      <c r="C296" s="4" t="s">
        <v>38</v>
      </c>
      <c r="D296" s="4" t="s">
        <v>24</v>
      </c>
      <c r="E296" s="4" t="s">
        <v>8</v>
      </c>
      <c r="F296" s="4">
        <v>16</v>
      </c>
      <c r="G296" s="4">
        <v>11935</v>
      </c>
      <c r="H296" s="4">
        <v>12</v>
      </c>
      <c r="I296" s="7">
        <v>46157</v>
      </c>
      <c r="J296" s="7">
        <v>46162</v>
      </c>
      <c r="K296" s="4" t="s">
        <v>78</v>
      </c>
      <c r="L296" s="4" t="str">
        <f t="shared" si="15"/>
        <v>Kom1295</v>
      </c>
      <c r="M296" s="4" t="str">
        <f t="shared" si="16"/>
        <v>Chair</v>
      </c>
      <c r="N296" s="4" t="str">
        <f t="shared" si="17"/>
        <v>C</v>
      </c>
    </row>
    <row r="297" spans="1:14" x14ac:dyDescent="0.3">
      <c r="A297" s="9">
        <v>1296</v>
      </c>
      <c r="B297" s="9" t="s">
        <v>28</v>
      </c>
      <c r="C297" s="4" t="s">
        <v>38</v>
      </c>
      <c r="D297" s="4" t="s">
        <v>20</v>
      </c>
      <c r="E297" s="4" t="s">
        <v>48</v>
      </c>
      <c r="F297" s="4">
        <v>6</v>
      </c>
      <c r="G297" s="4">
        <v>201</v>
      </c>
      <c r="H297" s="4">
        <v>0</v>
      </c>
      <c r="I297" s="7">
        <v>46063</v>
      </c>
      <c r="J297" s="7">
        <v>46072</v>
      </c>
      <c r="K297" s="4" t="s">
        <v>81</v>
      </c>
      <c r="L297" s="4" t="str">
        <f t="shared" si="15"/>
        <v>Vik1296</v>
      </c>
      <c r="M297" s="4" t="str">
        <f t="shared" si="16"/>
        <v>Marer</v>
      </c>
      <c r="N297" s="4" t="str">
        <f t="shared" si="17"/>
        <v>Mr</v>
      </c>
    </row>
    <row r="298" spans="1:14" x14ac:dyDescent="0.3">
      <c r="A298" s="9">
        <v>1297</v>
      </c>
      <c r="B298" s="9" t="s">
        <v>52</v>
      </c>
      <c r="C298" s="4" t="s">
        <v>27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7">
        <v>46178</v>
      </c>
      <c r="J298" s="7">
        <v>46187</v>
      </c>
      <c r="K298" s="4" t="s">
        <v>49</v>
      </c>
      <c r="L298" s="4" t="str">
        <f t="shared" si="15"/>
        <v>Man1297</v>
      </c>
      <c r="M298" s="4" t="str">
        <f t="shared" si="16"/>
        <v>Prier</v>
      </c>
      <c r="N298" s="4" t="str">
        <f t="shared" si="17"/>
        <v>Per</v>
      </c>
    </row>
    <row r="299" spans="1:14" x14ac:dyDescent="0.3">
      <c r="A299" s="9">
        <v>1298</v>
      </c>
      <c r="B299" s="9" t="s">
        <v>25</v>
      </c>
      <c r="C299" s="4" t="s">
        <v>19</v>
      </c>
      <c r="D299" s="4" t="s">
        <v>34</v>
      </c>
      <c r="E299" s="4" t="s">
        <v>12</v>
      </c>
      <c r="F299" s="4">
        <v>19</v>
      </c>
      <c r="G299" s="4">
        <v>20745</v>
      </c>
      <c r="H299" s="4">
        <v>2</v>
      </c>
      <c r="I299" s="7">
        <v>46083</v>
      </c>
      <c r="J299" s="7">
        <v>46093</v>
      </c>
      <c r="K299" s="4" t="s">
        <v>80</v>
      </c>
      <c r="L299" s="4" t="str">
        <f t="shared" si="15"/>
        <v>Mee1298</v>
      </c>
      <c r="M299" s="4" t="str">
        <f t="shared" si="16"/>
        <v>Mouse</v>
      </c>
      <c r="N299" s="4" t="str">
        <f t="shared" si="17"/>
        <v>M</v>
      </c>
    </row>
    <row r="300" spans="1:14" x14ac:dyDescent="0.3">
      <c r="A300" s="9">
        <v>1299</v>
      </c>
      <c r="B300" s="9" t="s">
        <v>28</v>
      </c>
      <c r="C300" s="4" t="s">
        <v>23</v>
      </c>
      <c r="D300" s="4" t="s">
        <v>24</v>
      </c>
      <c r="E300" s="4" t="s">
        <v>11</v>
      </c>
      <c r="F300" s="4">
        <v>8</v>
      </c>
      <c r="G300" s="4">
        <v>8783</v>
      </c>
      <c r="H300" s="4">
        <v>2</v>
      </c>
      <c r="I300" s="7">
        <v>46123</v>
      </c>
      <c r="J300" s="7">
        <v>46132</v>
      </c>
      <c r="K300" s="4" t="s">
        <v>78</v>
      </c>
      <c r="L300" s="4" t="str">
        <f t="shared" si="15"/>
        <v>Vik1299</v>
      </c>
      <c r="M300" s="4" t="str">
        <f t="shared" si="16"/>
        <v>Cabet</v>
      </c>
      <c r="N300" s="4" t="str">
        <f t="shared" si="17"/>
        <v>Cet</v>
      </c>
    </row>
    <row r="301" spans="1:14" x14ac:dyDescent="0.3">
      <c r="A301" s="9">
        <v>1300</v>
      </c>
      <c r="B301" s="9" t="s">
        <v>45</v>
      </c>
      <c r="C301" s="4" t="s">
        <v>33</v>
      </c>
      <c r="D301" s="4" t="s">
        <v>34</v>
      </c>
      <c r="E301" s="4" t="s">
        <v>6</v>
      </c>
      <c r="F301" s="4">
        <v>20</v>
      </c>
      <c r="G301" s="4">
        <v>1392</v>
      </c>
      <c r="H301" s="4">
        <v>2</v>
      </c>
      <c r="I301" s="7">
        <v>46110</v>
      </c>
      <c r="J301" s="7">
        <v>46117</v>
      </c>
      <c r="K301" s="4" t="s">
        <v>80</v>
      </c>
      <c r="L301" s="4" t="str">
        <f t="shared" si="15"/>
        <v>Yas1300</v>
      </c>
      <c r="M301" s="4" t="str">
        <f t="shared" si="16"/>
        <v>Monor</v>
      </c>
      <c r="N301" s="4" t="str">
        <f t="shared" si="17"/>
        <v>Mor</v>
      </c>
    </row>
    <row r="302" spans="1:14" x14ac:dyDescent="0.3">
      <c r="A302" s="9">
        <v>1301</v>
      </c>
      <c r="B302" s="9" t="s">
        <v>52</v>
      </c>
      <c r="C302" s="4" t="s">
        <v>23</v>
      </c>
      <c r="D302" s="4" t="s">
        <v>24</v>
      </c>
      <c r="E302" s="4" t="s">
        <v>8</v>
      </c>
      <c r="F302" s="4">
        <v>3</v>
      </c>
      <c r="G302" s="4">
        <v>7020</v>
      </c>
      <c r="H302" s="4">
        <v>10</v>
      </c>
      <c r="I302" s="7">
        <v>46028</v>
      </c>
      <c r="J302" s="7">
        <v>46038</v>
      </c>
      <c r="K302" s="4" t="s">
        <v>80</v>
      </c>
      <c r="L302" s="4" t="str">
        <f t="shared" si="15"/>
        <v>Man1301</v>
      </c>
      <c r="M302" s="4" t="str">
        <f t="shared" si="16"/>
        <v>Chair</v>
      </c>
      <c r="N302" s="4" t="str">
        <f t="shared" si="17"/>
        <v>C</v>
      </c>
    </row>
    <row r="303" spans="1:14" x14ac:dyDescent="0.3">
      <c r="A303" s="9">
        <v>1302</v>
      </c>
      <c r="B303" s="9" t="s">
        <v>54</v>
      </c>
      <c r="C303" s="4" t="s">
        <v>19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7">
        <v>46163</v>
      </c>
      <c r="J303" s="7">
        <v>46172</v>
      </c>
      <c r="K303" s="4" t="s">
        <v>80</v>
      </c>
      <c r="L303" s="4" t="str">
        <f t="shared" si="15"/>
        <v>Sar1302</v>
      </c>
      <c r="M303" s="4" t="str">
        <f t="shared" si="16"/>
        <v>Prier</v>
      </c>
      <c r="N303" s="4" t="str">
        <f t="shared" si="17"/>
        <v>Per</v>
      </c>
    </row>
    <row r="304" spans="1:14" x14ac:dyDescent="0.3">
      <c r="A304" s="9">
        <v>1303</v>
      </c>
      <c r="B304" s="9" t="s">
        <v>54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7">
        <v>46124</v>
      </c>
      <c r="J304" s="7">
        <v>46127</v>
      </c>
      <c r="K304" s="4" t="s">
        <v>78</v>
      </c>
      <c r="L304" s="4" t="str">
        <f t="shared" si="15"/>
        <v>Sar1303</v>
      </c>
      <c r="M304" s="4" t="str">
        <f t="shared" si="16"/>
        <v>Prier</v>
      </c>
      <c r="N304" s="4" t="str">
        <f t="shared" si="17"/>
        <v>Per</v>
      </c>
    </row>
    <row r="305" spans="1:14" x14ac:dyDescent="0.3">
      <c r="A305" s="9">
        <v>1304</v>
      </c>
      <c r="B305" s="9" t="s">
        <v>56</v>
      </c>
      <c r="C305" s="4" t="s">
        <v>27</v>
      </c>
      <c r="D305" s="4" t="s">
        <v>20</v>
      </c>
      <c r="E305" s="4" t="s">
        <v>36</v>
      </c>
      <c r="F305" s="4">
        <v>20</v>
      </c>
      <c r="G305" s="4">
        <v>368</v>
      </c>
      <c r="H305" s="4">
        <v>7</v>
      </c>
      <c r="I305" s="7">
        <v>46042</v>
      </c>
      <c r="J305" s="7">
        <v>46051</v>
      </c>
      <c r="K305" s="4" t="s">
        <v>81</v>
      </c>
      <c r="L305" s="4" t="str">
        <f t="shared" si="15"/>
        <v>Ani1304</v>
      </c>
      <c r="M305" s="4" t="str">
        <f t="shared" si="16"/>
        <v>Staer</v>
      </c>
      <c r="N305" s="4" t="str">
        <f t="shared" si="17"/>
        <v>Ser</v>
      </c>
    </row>
    <row r="306" spans="1:14" x14ac:dyDescent="0.3">
      <c r="A306" s="9">
        <v>1305</v>
      </c>
      <c r="B306" s="9" t="s">
        <v>55</v>
      </c>
      <c r="C306" s="4" t="s">
        <v>31</v>
      </c>
      <c r="D306" s="4" t="s">
        <v>34</v>
      </c>
      <c r="E306" s="4" t="s">
        <v>9</v>
      </c>
      <c r="F306" s="4">
        <v>20</v>
      </c>
      <c r="G306" s="4">
        <v>31406</v>
      </c>
      <c r="H306" s="4">
        <v>15</v>
      </c>
      <c r="I306" s="7">
        <v>46146</v>
      </c>
      <c r="J306" s="7">
        <v>46154</v>
      </c>
      <c r="K306" s="4" t="s">
        <v>81</v>
      </c>
      <c r="L306" s="4" t="str">
        <f t="shared" si="15"/>
        <v>Roh1305</v>
      </c>
      <c r="M306" s="4" t="str">
        <f t="shared" si="16"/>
        <v>Lapop</v>
      </c>
      <c r="N306" s="4" t="str">
        <f t="shared" si="17"/>
        <v>Lp</v>
      </c>
    </row>
    <row r="307" spans="1:14" x14ac:dyDescent="0.3">
      <c r="A307" s="9">
        <v>1306</v>
      </c>
      <c r="B307" s="9" t="s">
        <v>52</v>
      </c>
      <c r="C307" s="4" t="s">
        <v>42</v>
      </c>
      <c r="D307" s="4" t="s">
        <v>20</v>
      </c>
      <c r="E307" s="4" t="s">
        <v>36</v>
      </c>
      <c r="F307" s="4">
        <v>1</v>
      </c>
      <c r="G307" s="4">
        <v>332</v>
      </c>
      <c r="H307" s="4">
        <v>0</v>
      </c>
      <c r="I307" s="7">
        <v>46191</v>
      </c>
      <c r="J307" s="7">
        <v>46194</v>
      </c>
      <c r="K307" s="4" t="s">
        <v>79</v>
      </c>
      <c r="L307" s="4" t="str">
        <f t="shared" si="15"/>
        <v>Man1306</v>
      </c>
      <c r="M307" s="4" t="str">
        <f t="shared" si="16"/>
        <v>Staer</v>
      </c>
      <c r="N307" s="4" t="str">
        <f t="shared" si="17"/>
        <v>Ser</v>
      </c>
    </row>
    <row r="308" spans="1:14" x14ac:dyDescent="0.3">
      <c r="A308" s="9">
        <v>1307</v>
      </c>
      <c r="B308" s="9" t="s">
        <v>54</v>
      </c>
      <c r="C308" s="4" t="s">
        <v>42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7">
        <v>46048</v>
      </c>
      <c r="J308" s="7">
        <v>46051</v>
      </c>
      <c r="K308" s="4" t="s">
        <v>81</v>
      </c>
      <c r="L308" s="4" t="str">
        <f t="shared" si="15"/>
        <v>Sar1307</v>
      </c>
      <c r="M308" s="4" t="str">
        <f t="shared" si="16"/>
        <v>Prier</v>
      </c>
      <c r="N308" s="4" t="str">
        <f t="shared" si="17"/>
        <v>Per</v>
      </c>
    </row>
    <row r="309" spans="1:14" x14ac:dyDescent="0.3">
      <c r="A309" s="9">
        <v>1308</v>
      </c>
      <c r="B309" s="9" t="s">
        <v>30</v>
      </c>
      <c r="C309" s="4" t="s">
        <v>26</v>
      </c>
      <c r="D309" s="4" t="s">
        <v>34</v>
      </c>
      <c r="E309" s="4" t="s">
        <v>40</v>
      </c>
      <c r="F309" s="4">
        <v>12</v>
      </c>
      <c r="G309" s="4">
        <v>66075</v>
      </c>
      <c r="H309" s="4">
        <v>5</v>
      </c>
      <c r="I309" s="7">
        <v>46129</v>
      </c>
      <c r="J309" s="7">
        <v>46135</v>
      </c>
      <c r="K309" s="4" t="s">
        <v>79</v>
      </c>
      <c r="L309" s="4" t="str">
        <f t="shared" si="15"/>
        <v>Neh1308</v>
      </c>
      <c r="M309" s="4" t="str">
        <f t="shared" si="16"/>
        <v>Heaet</v>
      </c>
      <c r="N309" s="4" t="str">
        <f t="shared" si="17"/>
        <v>Het</v>
      </c>
    </row>
    <row r="310" spans="1:14" x14ac:dyDescent="0.3">
      <c r="A310" s="9">
        <v>1309</v>
      </c>
      <c r="B310" s="9" t="s">
        <v>49</v>
      </c>
      <c r="C310" s="4" t="s">
        <v>31</v>
      </c>
      <c r="D310" s="4" t="s">
        <v>20</v>
      </c>
      <c r="E310" s="4" t="s">
        <v>48</v>
      </c>
      <c r="F310" s="4">
        <v>2</v>
      </c>
      <c r="G310" s="4">
        <v>35</v>
      </c>
      <c r="H310" s="4">
        <v>5</v>
      </c>
      <c r="I310" s="7">
        <v>46197</v>
      </c>
      <c r="J310" s="7">
        <v>46198</v>
      </c>
      <c r="K310" s="4" t="s">
        <v>80</v>
      </c>
      <c r="L310" s="4" t="str">
        <f t="shared" si="15"/>
        <v>Pri1309</v>
      </c>
      <c r="M310" s="4" t="str">
        <f t="shared" si="16"/>
        <v>Marer</v>
      </c>
      <c r="N310" s="4" t="str">
        <f t="shared" si="17"/>
        <v>Mr</v>
      </c>
    </row>
    <row r="311" spans="1:14" x14ac:dyDescent="0.3">
      <c r="A311" s="9">
        <v>1310</v>
      </c>
      <c r="B311" s="9" t="s">
        <v>47</v>
      </c>
      <c r="C311" s="4" t="s">
        <v>23</v>
      </c>
      <c r="D311" s="4" t="s">
        <v>24</v>
      </c>
      <c r="E311" s="4" t="s">
        <v>11</v>
      </c>
      <c r="F311" s="4">
        <v>19</v>
      </c>
      <c r="G311" s="4">
        <v>12691</v>
      </c>
      <c r="H311" s="4">
        <v>0</v>
      </c>
      <c r="I311" s="7">
        <v>46181</v>
      </c>
      <c r="J311" s="7">
        <v>46189</v>
      </c>
      <c r="K311" s="4" t="s">
        <v>49</v>
      </c>
      <c r="L311" s="4" t="str">
        <f t="shared" si="15"/>
        <v>Aja1310</v>
      </c>
      <c r="M311" s="4" t="str">
        <f t="shared" si="16"/>
        <v>Cabet</v>
      </c>
      <c r="N311" s="4" t="str">
        <f t="shared" si="17"/>
        <v>Cet</v>
      </c>
    </row>
    <row r="312" spans="1:14" x14ac:dyDescent="0.3">
      <c r="A312" s="9">
        <v>1311</v>
      </c>
      <c r="B312" s="9" t="s">
        <v>53</v>
      </c>
      <c r="C312" s="4" t="s">
        <v>19</v>
      </c>
      <c r="D312" s="4" t="s">
        <v>20</v>
      </c>
      <c r="E312" s="4" t="s">
        <v>21</v>
      </c>
      <c r="F312" s="4">
        <v>2</v>
      </c>
      <c r="G312" s="4">
        <v>209</v>
      </c>
      <c r="H312" s="4">
        <v>0</v>
      </c>
      <c r="I312" s="7">
        <v>46173</v>
      </c>
      <c r="J312" s="7">
        <v>46176</v>
      </c>
      <c r="K312" s="4" t="s">
        <v>79</v>
      </c>
      <c r="L312" s="4" t="str">
        <f t="shared" si="15"/>
        <v>Sne1311</v>
      </c>
      <c r="M312" s="4" t="str">
        <f t="shared" si="16"/>
        <v>Notok</v>
      </c>
      <c r="N312" s="4" t="str">
        <f t="shared" si="17"/>
        <v>Nook</v>
      </c>
    </row>
    <row r="313" spans="1:14" x14ac:dyDescent="0.3">
      <c r="A313" s="9">
        <v>1312</v>
      </c>
      <c r="B313" s="9" t="s">
        <v>54</v>
      </c>
      <c r="C313" s="4" t="s">
        <v>26</v>
      </c>
      <c r="D313" s="4" t="s">
        <v>24</v>
      </c>
      <c r="E313" s="4" t="s">
        <v>11</v>
      </c>
      <c r="F313" s="4">
        <v>20</v>
      </c>
      <c r="G313" s="4">
        <v>3274</v>
      </c>
      <c r="H313" s="4">
        <v>2</v>
      </c>
      <c r="I313" s="7">
        <v>46148</v>
      </c>
      <c r="J313" s="7">
        <v>46156</v>
      </c>
      <c r="K313" s="4" t="s">
        <v>80</v>
      </c>
      <c r="L313" s="4" t="str">
        <f t="shared" si="15"/>
        <v>Sar1312</v>
      </c>
      <c r="M313" s="4" t="str">
        <f t="shared" si="16"/>
        <v>Cabet</v>
      </c>
      <c r="N313" s="4" t="str">
        <f t="shared" si="17"/>
        <v>Cet</v>
      </c>
    </row>
    <row r="314" spans="1:14" x14ac:dyDescent="0.3">
      <c r="A314" s="9">
        <v>1313</v>
      </c>
      <c r="B314" s="9" t="s">
        <v>56</v>
      </c>
      <c r="C314" s="4" t="s">
        <v>26</v>
      </c>
      <c r="D314" s="4" t="s">
        <v>24</v>
      </c>
      <c r="E314" s="4" t="s">
        <v>11</v>
      </c>
      <c r="F314" s="4">
        <v>6</v>
      </c>
      <c r="G314" s="4">
        <v>10864</v>
      </c>
      <c r="H314" s="4">
        <v>10</v>
      </c>
      <c r="I314" s="7">
        <v>46041</v>
      </c>
      <c r="J314" s="7">
        <v>46049</v>
      </c>
      <c r="K314" s="4" t="s">
        <v>78</v>
      </c>
      <c r="L314" s="4" t="str">
        <f t="shared" si="15"/>
        <v>Ani1313</v>
      </c>
      <c r="M314" s="4" t="str">
        <f t="shared" si="16"/>
        <v>Cabet</v>
      </c>
      <c r="N314" s="4" t="str">
        <f t="shared" si="17"/>
        <v>Cet</v>
      </c>
    </row>
    <row r="315" spans="1:14" x14ac:dyDescent="0.3">
      <c r="A315" s="9">
        <v>1314</v>
      </c>
      <c r="B315" s="9" t="s">
        <v>50</v>
      </c>
      <c r="C315" s="4" t="s">
        <v>33</v>
      </c>
      <c r="D315" s="4" t="s">
        <v>24</v>
      </c>
      <c r="E315" s="4" t="s">
        <v>7</v>
      </c>
      <c r="F315" s="4">
        <v>10</v>
      </c>
      <c r="G315" s="4">
        <v>6328</v>
      </c>
      <c r="H315" s="4">
        <v>2</v>
      </c>
      <c r="I315" s="7">
        <v>46196</v>
      </c>
      <c r="J315" s="7">
        <v>46197</v>
      </c>
      <c r="K315" s="4" t="s">
        <v>49</v>
      </c>
      <c r="L315" s="4" t="str">
        <f t="shared" si="15"/>
        <v>Kom1314</v>
      </c>
      <c r="M315" s="4" t="str">
        <f t="shared" si="16"/>
        <v>Dessk</v>
      </c>
      <c r="N315" s="4" t="str">
        <f t="shared" si="17"/>
        <v>D</v>
      </c>
    </row>
    <row r="316" spans="1:14" x14ac:dyDescent="0.3">
      <c r="A316" s="9">
        <v>1315</v>
      </c>
      <c r="B316" s="9" t="s">
        <v>47</v>
      </c>
      <c r="C316" s="4" t="s">
        <v>31</v>
      </c>
      <c r="D316" s="4" t="s">
        <v>34</v>
      </c>
      <c r="E316" s="4" t="s">
        <v>40</v>
      </c>
      <c r="F316" s="4">
        <v>14</v>
      </c>
      <c r="G316" s="4">
        <v>57670</v>
      </c>
      <c r="H316" s="4">
        <v>2</v>
      </c>
      <c r="I316" s="7">
        <v>46186</v>
      </c>
      <c r="J316" s="7">
        <v>46196</v>
      </c>
      <c r="K316" s="4" t="s">
        <v>78</v>
      </c>
      <c r="L316" s="4" t="str">
        <f t="shared" si="15"/>
        <v>Aja1315</v>
      </c>
      <c r="M316" s="4" t="str">
        <f t="shared" si="16"/>
        <v>Heaet</v>
      </c>
      <c r="N316" s="4" t="str">
        <f t="shared" si="17"/>
        <v>Het</v>
      </c>
    </row>
    <row r="317" spans="1:14" x14ac:dyDescent="0.3">
      <c r="A317" s="9">
        <v>1316</v>
      </c>
      <c r="B317" s="9" t="s">
        <v>44</v>
      </c>
      <c r="C317" s="4" t="s">
        <v>19</v>
      </c>
      <c r="D317" s="4" t="s">
        <v>24</v>
      </c>
      <c r="E317" s="4" t="s">
        <v>8</v>
      </c>
      <c r="F317" s="4">
        <v>7</v>
      </c>
      <c r="G317" s="4">
        <v>9838</v>
      </c>
      <c r="H317" s="4">
        <v>7</v>
      </c>
      <c r="I317" s="7">
        <v>46078</v>
      </c>
      <c r="J317" s="7">
        <v>46085</v>
      </c>
      <c r="K317" s="4" t="s">
        <v>79</v>
      </c>
      <c r="L317" s="4" t="str">
        <f t="shared" si="15"/>
        <v>Kir1316</v>
      </c>
      <c r="M317" s="4" t="str">
        <f t="shared" si="16"/>
        <v>Chair</v>
      </c>
      <c r="N317" s="4" t="str">
        <f t="shared" si="17"/>
        <v>C</v>
      </c>
    </row>
    <row r="318" spans="1:14" x14ac:dyDescent="0.3">
      <c r="A318" s="9">
        <v>1317</v>
      </c>
      <c r="B318" s="9" t="s">
        <v>56</v>
      </c>
      <c r="C318" s="4" t="s">
        <v>33</v>
      </c>
      <c r="D318" s="4" t="s">
        <v>34</v>
      </c>
      <c r="E318" s="4" t="s">
        <v>40</v>
      </c>
      <c r="F318" s="4">
        <v>7</v>
      </c>
      <c r="G318" s="4">
        <v>67339</v>
      </c>
      <c r="H318" s="4">
        <v>5</v>
      </c>
      <c r="I318" s="7">
        <v>46159</v>
      </c>
      <c r="J318" s="7">
        <v>46169</v>
      </c>
      <c r="K318" s="4" t="s">
        <v>81</v>
      </c>
      <c r="L318" s="4" t="str">
        <f t="shared" si="15"/>
        <v>Ani1317</v>
      </c>
      <c r="M318" s="4" t="str">
        <f t="shared" si="16"/>
        <v>Heaet</v>
      </c>
      <c r="N318" s="4" t="str">
        <f t="shared" si="17"/>
        <v>Het</v>
      </c>
    </row>
    <row r="319" spans="1:14" x14ac:dyDescent="0.3">
      <c r="A319" s="9">
        <v>1318</v>
      </c>
      <c r="B319" s="9" t="s">
        <v>18</v>
      </c>
      <c r="C319" s="4" t="s">
        <v>42</v>
      </c>
      <c r="D319" s="4" t="s">
        <v>20</v>
      </c>
      <c r="E319" s="4" t="s">
        <v>48</v>
      </c>
      <c r="F319" s="4">
        <v>4</v>
      </c>
      <c r="G319" s="4">
        <v>38</v>
      </c>
      <c r="H319" s="4">
        <v>12</v>
      </c>
      <c r="I319" s="7">
        <v>46169</v>
      </c>
      <c r="J319" s="7">
        <v>46175</v>
      </c>
      <c r="K319" s="4" t="s">
        <v>49</v>
      </c>
      <c r="L319" s="4" t="str">
        <f t="shared" si="15"/>
        <v>Rit1318</v>
      </c>
      <c r="M319" s="4" t="str">
        <f t="shared" si="16"/>
        <v>Marer</v>
      </c>
      <c r="N319" s="4" t="str">
        <f t="shared" si="17"/>
        <v>Mr</v>
      </c>
    </row>
    <row r="320" spans="1:14" x14ac:dyDescent="0.3">
      <c r="A320" s="9">
        <v>1319</v>
      </c>
      <c r="B320" s="9" t="s">
        <v>25</v>
      </c>
      <c r="C320" s="4" t="s">
        <v>23</v>
      </c>
      <c r="D320" s="4" t="s">
        <v>34</v>
      </c>
      <c r="E320" s="4" t="s">
        <v>12</v>
      </c>
      <c r="F320" s="4">
        <v>17</v>
      </c>
      <c r="G320" s="4">
        <v>58407</v>
      </c>
      <c r="H320" s="4">
        <v>7</v>
      </c>
      <c r="I320" s="7">
        <v>46094</v>
      </c>
      <c r="J320" s="7">
        <v>46102</v>
      </c>
      <c r="K320" s="4" t="s">
        <v>78</v>
      </c>
      <c r="L320" s="4" t="str">
        <f t="shared" si="15"/>
        <v>Mee1319</v>
      </c>
      <c r="M320" s="4" t="str">
        <f t="shared" si="16"/>
        <v>Mouse</v>
      </c>
      <c r="N320" s="4" t="str">
        <f t="shared" si="17"/>
        <v>M</v>
      </c>
    </row>
    <row r="321" spans="1:14" x14ac:dyDescent="0.3">
      <c r="A321" s="9">
        <v>1320</v>
      </c>
      <c r="B321" s="9" t="s">
        <v>45</v>
      </c>
      <c r="C321" s="4" t="s">
        <v>38</v>
      </c>
      <c r="D321" s="4" t="s">
        <v>20</v>
      </c>
      <c r="E321" s="4" t="s">
        <v>36</v>
      </c>
      <c r="F321" s="4">
        <v>20</v>
      </c>
      <c r="G321" s="4">
        <v>55</v>
      </c>
      <c r="H321" s="4">
        <v>7</v>
      </c>
      <c r="I321" s="7">
        <v>46183</v>
      </c>
      <c r="J321" s="7">
        <v>46186</v>
      </c>
      <c r="K321" s="4" t="s">
        <v>79</v>
      </c>
      <c r="L321" s="4" t="str">
        <f t="shared" si="15"/>
        <v>Yas1320</v>
      </c>
      <c r="M321" s="4" t="str">
        <f t="shared" si="16"/>
        <v>Staer</v>
      </c>
      <c r="N321" s="4" t="str">
        <f t="shared" si="17"/>
        <v>Ser</v>
      </c>
    </row>
    <row r="322" spans="1:14" x14ac:dyDescent="0.3">
      <c r="A322" s="9">
        <v>1321</v>
      </c>
      <c r="B322" s="9" t="s">
        <v>32</v>
      </c>
      <c r="C322" s="4" t="s">
        <v>26</v>
      </c>
      <c r="D322" s="4" t="s">
        <v>24</v>
      </c>
      <c r="E322" s="4" t="s">
        <v>7</v>
      </c>
      <c r="F322" s="4">
        <v>8</v>
      </c>
      <c r="G322" s="4">
        <v>5619</v>
      </c>
      <c r="H322" s="4">
        <v>7</v>
      </c>
      <c r="I322" s="7">
        <v>46107</v>
      </c>
      <c r="J322" s="7">
        <v>46109</v>
      </c>
      <c r="K322" s="4" t="s">
        <v>81</v>
      </c>
      <c r="L322" s="4" t="str">
        <f t="shared" si="15"/>
        <v>Ash1321</v>
      </c>
      <c r="M322" s="4" t="str">
        <f t="shared" si="16"/>
        <v>Dessk</v>
      </c>
      <c r="N322" s="4" t="str">
        <f t="shared" si="17"/>
        <v>D</v>
      </c>
    </row>
    <row r="323" spans="1:14" x14ac:dyDescent="0.3">
      <c r="A323" s="9">
        <v>1322</v>
      </c>
      <c r="B323" s="9" t="s">
        <v>29</v>
      </c>
      <c r="C323" s="4" t="s">
        <v>19</v>
      </c>
      <c r="D323" s="4" t="s">
        <v>24</v>
      </c>
      <c r="E323" s="4" t="s">
        <v>10</v>
      </c>
      <c r="F323" s="4">
        <v>14</v>
      </c>
      <c r="G323" s="4">
        <v>9081</v>
      </c>
      <c r="H323" s="4">
        <v>15</v>
      </c>
      <c r="I323" s="7">
        <v>46141</v>
      </c>
      <c r="J323" s="7">
        <v>46146</v>
      </c>
      <c r="K323" s="4" t="s">
        <v>78</v>
      </c>
      <c r="L323" s="4" t="str">
        <f t="shared" si="15"/>
        <v>Arj1322</v>
      </c>
      <c r="M323" s="4" t="str">
        <f t="shared" si="16"/>
        <v>Table</v>
      </c>
      <c r="N323" s="4" t="str">
        <f t="shared" si="17"/>
        <v>T</v>
      </c>
    </row>
    <row r="324" spans="1:14" x14ac:dyDescent="0.3">
      <c r="A324" s="9">
        <v>1323</v>
      </c>
      <c r="B324" s="9" t="s">
        <v>54</v>
      </c>
      <c r="C324" s="4" t="s">
        <v>38</v>
      </c>
      <c r="D324" s="4" t="s">
        <v>34</v>
      </c>
      <c r="E324" s="4" t="s">
        <v>12</v>
      </c>
      <c r="F324" s="4">
        <v>2</v>
      </c>
      <c r="G324" s="4">
        <v>32074</v>
      </c>
      <c r="H324" s="4">
        <v>10</v>
      </c>
      <c r="I324" s="7">
        <v>46073</v>
      </c>
      <c r="J324" s="7">
        <v>46078</v>
      </c>
      <c r="K324" s="4" t="s">
        <v>78</v>
      </c>
      <c r="L324" s="4" t="str">
        <f t="shared" si="15"/>
        <v>Sar1323</v>
      </c>
      <c r="M324" s="4" t="str">
        <f t="shared" si="16"/>
        <v>Mouse</v>
      </c>
      <c r="N324" s="4" t="str">
        <f t="shared" si="17"/>
        <v>M</v>
      </c>
    </row>
    <row r="325" spans="1:14" x14ac:dyDescent="0.3">
      <c r="A325" s="9">
        <v>1324</v>
      </c>
      <c r="B325" s="9" t="s">
        <v>32</v>
      </c>
      <c r="C325" s="4" t="s">
        <v>26</v>
      </c>
      <c r="D325" s="4" t="s">
        <v>24</v>
      </c>
      <c r="E325" s="4" t="s">
        <v>7</v>
      </c>
      <c r="F325" s="4">
        <v>1</v>
      </c>
      <c r="G325" s="4">
        <v>4286</v>
      </c>
      <c r="H325" s="4">
        <v>15</v>
      </c>
      <c r="I325" s="7">
        <v>46053</v>
      </c>
      <c r="J325" s="7">
        <v>46056</v>
      </c>
      <c r="K325" s="4" t="s">
        <v>79</v>
      </c>
      <c r="L325" s="4" t="str">
        <f t="shared" si="15"/>
        <v>Ash1324</v>
      </c>
      <c r="M325" s="4" t="str">
        <f t="shared" si="16"/>
        <v>Dessk</v>
      </c>
      <c r="N325" s="4" t="str">
        <f t="shared" si="17"/>
        <v>D</v>
      </c>
    </row>
    <row r="326" spans="1:14" x14ac:dyDescent="0.3">
      <c r="A326" s="9">
        <v>1325</v>
      </c>
      <c r="B326" s="9" t="s">
        <v>46</v>
      </c>
      <c r="C326" s="4" t="s">
        <v>42</v>
      </c>
      <c r="D326" s="4" t="s">
        <v>34</v>
      </c>
      <c r="E326" s="4" t="s">
        <v>5</v>
      </c>
      <c r="F326" s="4">
        <v>9</v>
      </c>
      <c r="G326" s="4">
        <v>58442</v>
      </c>
      <c r="H326" s="4">
        <v>12</v>
      </c>
      <c r="I326" s="7">
        <v>46076</v>
      </c>
      <c r="J326" s="7">
        <v>46085</v>
      </c>
      <c r="K326" s="4" t="s">
        <v>79</v>
      </c>
      <c r="L326" s="4" t="str">
        <f t="shared" si="15"/>
        <v>Nit1325</v>
      </c>
      <c r="M326" s="4" t="str">
        <f t="shared" si="16"/>
        <v>Keyrd</v>
      </c>
      <c r="N326" s="4" t="str">
        <f t="shared" si="17"/>
        <v>Kard</v>
      </c>
    </row>
    <row r="327" spans="1:14" x14ac:dyDescent="0.3">
      <c r="A327" s="9">
        <v>1326</v>
      </c>
      <c r="B327" s="9" t="s">
        <v>28</v>
      </c>
      <c r="C327" s="4" t="s">
        <v>23</v>
      </c>
      <c r="D327" s="4" t="s">
        <v>24</v>
      </c>
      <c r="E327" s="4" t="s">
        <v>43</v>
      </c>
      <c r="F327" s="4">
        <v>18</v>
      </c>
      <c r="G327" s="4">
        <v>1830</v>
      </c>
      <c r="H327" s="4">
        <v>10</v>
      </c>
      <c r="I327" s="7">
        <v>46165</v>
      </c>
      <c r="J327" s="7">
        <v>46172</v>
      </c>
      <c r="K327" s="4" t="s">
        <v>78</v>
      </c>
      <c r="L327" s="4" t="str">
        <f t="shared" si="15"/>
        <v>Vik1326</v>
      </c>
      <c r="M327" s="4" t="str">
        <f t="shared" si="16"/>
        <v>Boolf</v>
      </c>
      <c r="N327" s="4" t="str">
        <f t="shared" si="17"/>
        <v>Bhelf</v>
      </c>
    </row>
    <row r="328" spans="1:14" x14ac:dyDescent="0.3">
      <c r="A328" s="9">
        <v>1327</v>
      </c>
      <c r="B328" s="9" t="s">
        <v>46</v>
      </c>
      <c r="C328" s="4" t="s">
        <v>19</v>
      </c>
      <c r="D328" s="4" t="s">
        <v>20</v>
      </c>
      <c r="E328" s="4" t="s">
        <v>51</v>
      </c>
      <c r="F328" s="4">
        <v>15</v>
      </c>
      <c r="G328" s="4">
        <v>449</v>
      </c>
      <c r="H328" s="4">
        <v>5</v>
      </c>
      <c r="I328" s="7">
        <v>46152</v>
      </c>
      <c r="J328" s="7">
        <v>46153</v>
      </c>
      <c r="K328" s="4" t="s">
        <v>78</v>
      </c>
      <c r="L328" s="4" t="str">
        <f t="shared" si="15"/>
        <v>Nit1327</v>
      </c>
      <c r="M328" s="4" t="str">
        <f t="shared" si="16"/>
        <v>Diary</v>
      </c>
      <c r="N328" s="4" t="str">
        <f t="shared" si="17"/>
        <v>D</v>
      </c>
    </row>
    <row r="329" spans="1:14" x14ac:dyDescent="0.3">
      <c r="A329" s="9">
        <v>1328</v>
      </c>
      <c r="B329" s="9" t="s">
        <v>22</v>
      </c>
      <c r="C329" s="4" t="s">
        <v>38</v>
      </c>
      <c r="D329" s="4" t="s">
        <v>20</v>
      </c>
      <c r="E329" s="4" t="s">
        <v>36</v>
      </c>
      <c r="F329" s="4">
        <v>4</v>
      </c>
      <c r="G329" s="4">
        <v>132</v>
      </c>
      <c r="H329" s="4">
        <v>0</v>
      </c>
      <c r="I329" s="7">
        <v>46109</v>
      </c>
      <c r="J329" s="7">
        <v>46114</v>
      </c>
      <c r="K329" s="4" t="s">
        <v>49</v>
      </c>
      <c r="L329" s="4" t="str">
        <f t="shared" si="15"/>
        <v>Poo1328</v>
      </c>
      <c r="M329" s="4" t="str">
        <f t="shared" si="16"/>
        <v>Staer</v>
      </c>
      <c r="N329" s="4" t="str">
        <f t="shared" si="17"/>
        <v>Ser</v>
      </c>
    </row>
    <row r="330" spans="1:14" x14ac:dyDescent="0.3">
      <c r="A330" s="9">
        <v>1329</v>
      </c>
      <c r="B330" s="9" t="s">
        <v>30</v>
      </c>
      <c r="C330" s="4" t="s">
        <v>42</v>
      </c>
      <c r="D330" s="4" t="s">
        <v>20</v>
      </c>
      <c r="E330" s="4" t="s">
        <v>51</v>
      </c>
      <c r="F330" s="4">
        <v>18</v>
      </c>
      <c r="G330" s="4">
        <v>227</v>
      </c>
      <c r="H330" s="4">
        <v>5</v>
      </c>
      <c r="I330" s="7">
        <v>46126</v>
      </c>
      <c r="J330" s="7">
        <v>46136</v>
      </c>
      <c r="K330" s="4" t="s">
        <v>49</v>
      </c>
      <c r="L330" s="4" t="str">
        <f t="shared" si="15"/>
        <v>Neh1329</v>
      </c>
      <c r="M330" s="4" t="str">
        <f t="shared" si="16"/>
        <v>Diary</v>
      </c>
      <c r="N330" s="4" t="str">
        <f t="shared" si="17"/>
        <v>D</v>
      </c>
    </row>
    <row r="331" spans="1:14" x14ac:dyDescent="0.3">
      <c r="A331" s="9">
        <v>1330</v>
      </c>
      <c r="B331" s="9" t="s">
        <v>47</v>
      </c>
      <c r="C331" s="4" t="s">
        <v>23</v>
      </c>
      <c r="D331" s="4" t="s">
        <v>24</v>
      </c>
      <c r="E331" s="4" t="s">
        <v>7</v>
      </c>
      <c r="F331" s="4">
        <v>13</v>
      </c>
      <c r="G331" s="4">
        <v>12071</v>
      </c>
      <c r="H331" s="4">
        <v>0</v>
      </c>
      <c r="I331" s="7">
        <v>46032</v>
      </c>
      <c r="J331" s="7">
        <v>46036</v>
      </c>
      <c r="K331" s="4" t="s">
        <v>81</v>
      </c>
      <c r="L331" s="4" t="str">
        <f t="shared" si="15"/>
        <v>Aja1330</v>
      </c>
      <c r="M331" s="4" t="str">
        <f t="shared" si="16"/>
        <v>Dessk</v>
      </c>
      <c r="N331" s="4" t="str">
        <f t="shared" si="17"/>
        <v>D</v>
      </c>
    </row>
    <row r="332" spans="1:14" x14ac:dyDescent="0.3">
      <c r="A332" s="9">
        <v>1331</v>
      </c>
      <c r="B332" s="9" t="s">
        <v>25</v>
      </c>
      <c r="C332" s="4" t="s">
        <v>27</v>
      </c>
      <c r="D332" s="4" t="s">
        <v>34</v>
      </c>
      <c r="E332" s="4" t="s">
        <v>12</v>
      </c>
      <c r="F332" s="4">
        <v>2</v>
      </c>
      <c r="G332" s="4">
        <v>43557</v>
      </c>
      <c r="H332" s="4">
        <v>2</v>
      </c>
      <c r="I332" s="7">
        <v>46190</v>
      </c>
      <c r="J332" s="7">
        <v>46200</v>
      </c>
      <c r="K332" s="4" t="s">
        <v>78</v>
      </c>
      <c r="L332" s="4" t="str">
        <f t="shared" si="15"/>
        <v>Mee1331</v>
      </c>
      <c r="M332" s="4" t="str">
        <f t="shared" si="16"/>
        <v>Mouse</v>
      </c>
      <c r="N332" s="4" t="str">
        <f t="shared" si="17"/>
        <v>M</v>
      </c>
    </row>
    <row r="333" spans="1:14" x14ac:dyDescent="0.3">
      <c r="A333" s="9">
        <v>1332</v>
      </c>
      <c r="B333" s="9" t="s">
        <v>49</v>
      </c>
      <c r="C333" s="4" t="s">
        <v>42</v>
      </c>
      <c r="D333" s="4" t="s">
        <v>20</v>
      </c>
      <c r="E333" s="4" t="s">
        <v>48</v>
      </c>
      <c r="F333" s="4">
        <v>7</v>
      </c>
      <c r="G333" s="4">
        <v>439</v>
      </c>
      <c r="H333" s="4">
        <v>2</v>
      </c>
      <c r="I333" s="7">
        <v>46154</v>
      </c>
      <c r="J333" s="7">
        <v>46157</v>
      </c>
      <c r="K333" s="4" t="s">
        <v>78</v>
      </c>
      <c r="L333" s="4" t="str">
        <f t="shared" si="15"/>
        <v>Pri1332</v>
      </c>
      <c r="M333" s="4" t="str">
        <f t="shared" si="16"/>
        <v>Marer</v>
      </c>
      <c r="N333" s="4" t="str">
        <f t="shared" si="17"/>
        <v>Mr</v>
      </c>
    </row>
    <row r="334" spans="1:14" x14ac:dyDescent="0.3">
      <c r="A334" s="9">
        <v>1333</v>
      </c>
      <c r="B334" s="9" t="s">
        <v>49</v>
      </c>
      <c r="C334" s="4" t="s">
        <v>38</v>
      </c>
      <c r="D334" s="4" t="s">
        <v>20</v>
      </c>
      <c r="E334" s="4" t="s">
        <v>51</v>
      </c>
      <c r="F334" s="4">
        <v>20</v>
      </c>
      <c r="G334" s="4">
        <v>416</v>
      </c>
      <c r="H334" s="4">
        <v>12</v>
      </c>
      <c r="I334" s="7">
        <v>46145</v>
      </c>
      <c r="J334" s="7">
        <v>46146</v>
      </c>
      <c r="K334" s="4" t="s">
        <v>81</v>
      </c>
      <c r="L334" s="4" t="str">
        <f t="shared" si="15"/>
        <v>Pri1333</v>
      </c>
      <c r="M334" s="4" t="str">
        <f t="shared" si="16"/>
        <v>Diary</v>
      </c>
      <c r="N334" s="4" t="str">
        <f t="shared" si="17"/>
        <v>D</v>
      </c>
    </row>
    <row r="335" spans="1:14" x14ac:dyDescent="0.3">
      <c r="A335" s="9">
        <v>1334</v>
      </c>
      <c r="B335" s="9" t="s">
        <v>39</v>
      </c>
      <c r="C335" s="4" t="s">
        <v>19</v>
      </c>
      <c r="D335" s="4" t="s">
        <v>34</v>
      </c>
      <c r="E335" s="4" t="s">
        <v>40</v>
      </c>
      <c r="F335" s="4">
        <v>15</v>
      </c>
      <c r="G335" s="4">
        <v>39853</v>
      </c>
      <c r="H335" s="4">
        <v>7</v>
      </c>
      <c r="I335" s="7">
        <v>46038</v>
      </c>
      <c r="J335" s="7">
        <v>46047</v>
      </c>
      <c r="K335" s="4" t="s">
        <v>81</v>
      </c>
      <c r="L335" s="4" t="str">
        <f t="shared" si="15"/>
        <v>Dee1334</v>
      </c>
      <c r="M335" s="4" t="str">
        <f t="shared" si="16"/>
        <v>Heaet</v>
      </c>
      <c r="N335" s="4" t="str">
        <f t="shared" si="17"/>
        <v>Het</v>
      </c>
    </row>
    <row r="336" spans="1:14" x14ac:dyDescent="0.3">
      <c r="A336" s="9">
        <v>1335</v>
      </c>
      <c r="B336" s="9" t="s">
        <v>45</v>
      </c>
      <c r="C336" s="4" t="s">
        <v>23</v>
      </c>
      <c r="D336" s="4" t="s">
        <v>24</v>
      </c>
      <c r="E336" s="4" t="s">
        <v>7</v>
      </c>
      <c r="F336" s="4">
        <v>9</v>
      </c>
      <c r="G336" s="4">
        <v>1495</v>
      </c>
      <c r="H336" s="4">
        <v>12</v>
      </c>
      <c r="I336" s="7">
        <v>46168</v>
      </c>
      <c r="J336" s="7">
        <v>46173</v>
      </c>
      <c r="K336" s="4" t="s">
        <v>78</v>
      </c>
      <c r="L336" s="4" t="str">
        <f t="shared" si="15"/>
        <v>Yas1335</v>
      </c>
      <c r="M336" s="4" t="str">
        <f t="shared" si="16"/>
        <v>Dessk</v>
      </c>
      <c r="N336" s="4" t="str">
        <f t="shared" si="17"/>
        <v>D</v>
      </c>
    </row>
    <row r="337" spans="1:14" x14ac:dyDescent="0.3">
      <c r="A337" s="9">
        <v>1336</v>
      </c>
      <c r="B337" s="9" t="s">
        <v>22</v>
      </c>
      <c r="C337" s="4" t="s">
        <v>27</v>
      </c>
      <c r="D337" s="4" t="s">
        <v>24</v>
      </c>
      <c r="E337" s="4" t="s">
        <v>11</v>
      </c>
      <c r="F337" s="4">
        <v>10</v>
      </c>
      <c r="G337" s="4">
        <v>5624</v>
      </c>
      <c r="H337" s="4">
        <v>0</v>
      </c>
      <c r="I337" s="7">
        <v>46086</v>
      </c>
      <c r="J337" s="7">
        <v>46092</v>
      </c>
      <c r="K337" s="4" t="s">
        <v>49</v>
      </c>
      <c r="L337" s="4" t="str">
        <f t="shared" si="15"/>
        <v>Poo1336</v>
      </c>
      <c r="M337" s="4" t="str">
        <f t="shared" si="16"/>
        <v>Cabet</v>
      </c>
      <c r="N337" s="4" t="str">
        <f t="shared" si="17"/>
        <v>Cet</v>
      </c>
    </row>
    <row r="338" spans="1:14" x14ac:dyDescent="0.3">
      <c r="A338" s="9">
        <v>1337</v>
      </c>
      <c r="B338" s="9" t="s">
        <v>22</v>
      </c>
      <c r="C338" s="4" t="s">
        <v>19</v>
      </c>
      <c r="D338" s="4" t="s">
        <v>20</v>
      </c>
      <c r="E338" s="4" t="s">
        <v>51</v>
      </c>
      <c r="F338" s="4">
        <v>14</v>
      </c>
      <c r="G338" s="4">
        <v>373</v>
      </c>
      <c r="H338" s="4">
        <v>10</v>
      </c>
      <c r="I338" s="7">
        <v>46074</v>
      </c>
      <c r="J338" s="7">
        <v>46080</v>
      </c>
      <c r="K338" s="4" t="s">
        <v>49</v>
      </c>
      <c r="L338" s="4" t="str">
        <f t="shared" si="15"/>
        <v>Poo1337</v>
      </c>
      <c r="M338" s="4" t="str">
        <f t="shared" si="16"/>
        <v>Diary</v>
      </c>
      <c r="N338" s="4" t="str">
        <f t="shared" si="17"/>
        <v>D</v>
      </c>
    </row>
    <row r="339" spans="1:14" x14ac:dyDescent="0.3">
      <c r="A339" s="9">
        <v>1338</v>
      </c>
      <c r="B339" s="9" t="s">
        <v>56</v>
      </c>
      <c r="C339" s="4" t="s">
        <v>27</v>
      </c>
      <c r="D339" s="4" t="s">
        <v>34</v>
      </c>
      <c r="E339" s="4" t="s">
        <v>9</v>
      </c>
      <c r="F339" s="4">
        <v>10</v>
      </c>
      <c r="G339" s="4">
        <v>16719</v>
      </c>
      <c r="H339" s="4">
        <v>5</v>
      </c>
      <c r="I339" s="7">
        <v>46177</v>
      </c>
      <c r="J339" s="7">
        <v>46179</v>
      </c>
      <c r="K339" s="4" t="s">
        <v>78</v>
      </c>
      <c r="L339" s="4" t="str">
        <f t="shared" si="15"/>
        <v>Ani1338</v>
      </c>
      <c r="M339" s="4" t="str">
        <f t="shared" si="16"/>
        <v>Lapop</v>
      </c>
      <c r="N339" s="4" t="str">
        <f t="shared" si="17"/>
        <v>Lp</v>
      </c>
    </row>
    <row r="340" spans="1:14" x14ac:dyDescent="0.3">
      <c r="A340" s="9">
        <v>1339</v>
      </c>
      <c r="B340" s="9" t="s">
        <v>32</v>
      </c>
      <c r="C340" s="4" t="s">
        <v>27</v>
      </c>
      <c r="D340" s="4" t="s">
        <v>20</v>
      </c>
      <c r="E340" s="4" t="s">
        <v>21</v>
      </c>
      <c r="F340" s="4">
        <v>6</v>
      </c>
      <c r="G340" s="4">
        <v>302</v>
      </c>
      <c r="H340" s="4">
        <v>5</v>
      </c>
      <c r="I340" s="7">
        <v>46142</v>
      </c>
      <c r="J340" s="7">
        <v>46148</v>
      </c>
      <c r="K340" s="4" t="s">
        <v>79</v>
      </c>
      <c r="L340" s="4" t="str">
        <f t="shared" si="15"/>
        <v>Ash1339</v>
      </c>
      <c r="M340" s="4" t="str">
        <f t="shared" si="16"/>
        <v>Notok</v>
      </c>
      <c r="N340" s="4" t="str">
        <f t="shared" si="17"/>
        <v>Nook</v>
      </c>
    </row>
    <row r="341" spans="1:14" x14ac:dyDescent="0.3">
      <c r="A341" s="9">
        <v>1340</v>
      </c>
      <c r="B341" s="9" t="s">
        <v>46</v>
      </c>
      <c r="C341" s="4" t="s">
        <v>23</v>
      </c>
      <c r="D341" s="4" t="s">
        <v>24</v>
      </c>
      <c r="E341" s="4" t="s">
        <v>7</v>
      </c>
      <c r="F341" s="4">
        <v>12</v>
      </c>
      <c r="G341" s="4">
        <v>3857</v>
      </c>
      <c r="H341" s="4">
        <v>12</v>
      </c>
      <c r="I341" s="7">
        <v>46196</v>
      </c>
      <c r="J341" s="7">
        <v>46198</v>
      </c>
      <c r="K341" s="4" t="s">
        <v>81</v>
      </c>
      <c r="L341" s="4" t="str">
        <f t="shared" si="15"/>
        <v>Nit1340</v>
      </c>
      <c r="M341" s="4" t="str">
        <f t="shared" si="16"/>
        <v>Dessk</v>
      </c>
      <c r="N341" s="4" t="str">
        <f t="shared" si="17"/>
        <v>D</v>
      </c>
    </row>
    <row r="342" spans="1:14" x14ac:dyDescent="0.3">
      <c r="A342" s="9">
        <v>1341</v>
      </c>
      <c r="B342" s="9" t="s">
        <v>54</v>
      </c>
      <c r="C342" s="4" t="s">
        <v>38</v>
      </c>
      <c r="D342" s="4" t="s">
        <v>24</v>
      </c>
      <c r="E342" s="4" t="s">
        <v>7</v>
      </c>
      <c r="F342" s="4">
        <v>19</v>
      </c>
      <c r="G342" s="4">
        <v>6488</v>
      </c>
      <c r="H342" s="4">
        <v>15</v>
      </c>
      <c r="I342" s="7">
        <v>46026</v>
      </c>
      <c r="J342" s="7">
        <v>46030</v>
      </c>
      <c r="K342" s="4" t="s">
        <v>79</v>
      </c>
      <c r="L342" s="4" t="str">
        <f t="shared" si="15"/>
        <v>Sar1341</v>
      </c>
      <c r="M342" s="4" t="str">
        <f t="shared" si="16"/>
        <v>Dessk</v>
      </c>
      <c r="N342" s="4" t="str">
        <f t="shared" si="17"/>
        <v>D</v>
      </c>
    </row>
    <row r="343" spans="1:14" x14ac:dyDescent="0.3">
      <c r="A343" s="9">
        <v>1342</v>
      </c>
      <c r="B343" s="9" t="s">
        <v>56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7">
        <v>46132</v>
      </c>
      <c r="J343" s="7">
        <v>46139</v>
      </c>
      <c r="K343" s="4" t="s">
        <v>49</v>
      </c>
      <c r="L343" s="4" t="str">
        <f t="shared" si="15"/>
        <v>Ani1342</v>
      </c>
      <c r="M343" s="4" t="str">
        <f t="shared" si="16"/>
        <v>Prier</v>
      </c>
      <c r="N343" s="4" t="str">
        <f t="shared" si="17"/>
        <v>Per</v>
      </c>
    </row>
    <row r="344" spans="1:14" x14ac:dyDescent="0.3">
      <c r="A344" s="9">
        <v>1343</v>
      </c>
      <c r="B344" s="9" t="s">
        <v>56</v>
      </c>
      <c r="C344" s="4" t="s">
        <v>31</v>
      </c>
      <c r="D344" s="4" t="s">
        <v>34</v>
      </c>
      <c r="E344" s="4" t="s">
        <v>5</v>
      </c>
      <c r="F344" s="4">
        <v>14</v>
      </c>
      <c r="G344" s="4">
        <v>32719</v>
      </c>
      <c r="H344" s="4">
        <v>15</v>
      </c>
      <c r="I344" s="7">
        <v>46174</v>
      </c>
      <c r="J344" s="7">
        <v>46179</v>
      </c>
      <c r="K344" s="4" t="s">
        <v>78</v>
      </c>
      <c r="L344" s="4" t="str">
        <f t="shared" si="15"/>
        <v>Ani1343</v>
      </c>
      <c r="M344" s="4" t="str">
        <f t="shared" si="16"/>
        <v>Keyrd</v>
      </c>
      <c r="N344" s="4" t="str">
        <f t="shared" si="17"/>
        <v>Kard</v>
      </c>
    </row>
    <row r="345" spans="1:14" x14ac:dyDescent="0.3">
      <c r="A345" s="9">
        <v>1344</v>
      </c>
      <c r="B345" s="9" t="s">
        <v>30</v>
      </c>
      <c r="C345" s="4" t="s">
        <v>23</v>
      </c>
      <c r="D345" s="4" t="s">
        <v>20</v>
      </c>
      <c r="E345" s="4" t="s">
        <v>51</v>
      </c>
      <c r="F345" s="4">
        <v>18</v>
      </c>
      <c r="G345" s="4">
        <v>240</v>
      </c>
      <c r="H345" s="4">
        <v>10</v>
      </c>
      <c r="I345" s="7">
        <v>46155</v>
      </c>
      <c r="J345" s="7">
        <v>46156</v>
      </c>
      <c r="K345" s="4" t="s">
        <v>80</v>
      </c>
      <c r="L345" s="4" t="str">
        <f t="shared" si="15"/>
        <v>Neh1344</v>
      </c>
      <c r="M345" s="4" t="str">
        <f t="shared" si="16"/>
        <v>Diary</v>
      </c>
      <c r="N345" s="4" t="str">
        <f t="shared" si="17"/>
        <v>D</v>
      </c>
    </row>
    <row r="346" spans="1:14" x14ac:dyDescent="0.3">
      <c r="A346" s="9">
        <v>1345</v>
      </c>
      <c r="B346" s="9" t="s">
        <v>32</v>
      </c>
      <c r="C346" s="4" t="s">
        <v>19</v>
      </c>
      <c r="D346" s="4" t="s">
        <v>34</v>
      </c>
      <c r="E346" s="4" t="s">
        <v>6</v>
      </c>
      <c r="F346" s="4">
        <v>12</v>
      </c>
      <c r="G346" s="4">
        <v>50544</v>
      </c>
      <c r="H346" s="4">
        <v>10</v>
      </c>
      <c r="I346" s="7">
        <v>46095</v>
      </c>
      <c r="J346" s="7">
        <v>46097</v>
      </c>
      <c r="K346" s="4" t="s">
        <v>49</v>
      </c>
      <c r="L346" s="4" t="str">
        <f t="shared" si="15"/>
        <v>Ash1345</v>
      </c>
      <c r="M346" s="4" t="str">
        <f t="shared" si="16"/>
        <v>Monor</v>
      </c>
      <c r="N346" s="4" t="str">
        <f t="shared" si="17"/>
        <v>Mor</v>
      </c>
    </row>
    <row r="347" spans="1:14" x14ac:dyDescent="0.3">
      <c r="A347" s="9">
        <v>1346</v>
      </c>
      <c r="B347" s="9" t="s">
        <v>32</v>
      </c>
      <c r="C347" s="4" t="s">
        <v>26</v>
      </c>
      <c r="D347" s="4" t="s">
        <v>24</v>
      </c>
      <c r="E347" s="4" t="s">
        <v>7</v>
      </c>
      <c r="F347" s="4">
        <v>16</v>
      </c>
      <c r="G347" s="4">
        <v>6910</v>
      </c>
      <c r="H347" s="4">
        <v>15</v>
      </c>
      <c r="I347" s="7">
        <v>46140</v>
      </c>
      <c r="J347" s="7">
        <v>46142</v>
      </c>
      <c r="K347" s="4" t="s">
        <v>49</v>
      </c>
      <c r="L347" s="4" t="str">
        <f t="shared" si="15"/>
        <v>Ash1346</v>
      </c>
      <c r="M347" s="4" t="str">
        <f t="shared" si="16"/>
        <v>Dessk</v>
      </c>
      <c r="N347" s="4" t="str">
        <f t="shared" si="17"/>
        <v>D</v>
      </c>
    </row>
    <row r="348" spans="1:14" x14ac:dyDescent="0.3">
      <c r="A348" s="9">
        <v>1347</v>
      </c>
      <c r="B348" s="9" t="s">
        <v>49</v>
      </c>
      <c r="C348" s="4" t="s">
        <v>26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7">
        <v>46037</v>
      </c>
      <c r="J348" s="7">
        <v>46044</v>
      </c>
      <c r="K348" s="4" t="s">
        <v>80</v>
      </c>
      <c r="L348" s="4" t="str">
        <f t="shared" si="15"/>
        <v>Pri1347</v>
      </c>
      <c r="M348" s="4" t="str">
        <f t="shared" si="16"/>
        <v>Prier</v>
      </c>
      <c r="N348" s="4" t="str">
        <f t="shared" si="17"/>
        <v>Per</v>
      </c>
    </row>
    <row r="349" spans="1:14" x14ac:dyDescent="0.3">
      <c r="A349" s="9">
        <v>1348</v>
      </c>
      <c r="B349" s="9" t="s">
        <v>18</v>
      </c>
      <c r="C349" s="4" t="s">
        <v>33</v>
      </c>
      <c r="D349" s="4" t="s">
        <v>20</v>
      </c>
      <c r="E349" s="4" t="s">
        <v>48</v>
      </c>
      <c r="F349" s="4">
        <v>12</v>
      </c>
      <c r="G349" s="4">
        <v>244</v>
      </c>
      <c r="H349" s="4">
        <v>7</v>
      </c>
      <c r="I349" s="7">
        <v>46048</v>
      </c>
      <c r="J349" s="7">
        <v>46053</v>
      </c>
      <c r="K349" s="4" t="s">
        <v>78</v>
      </c>
      <c r="L349" s="4" t="str">
        <f t="shared" si="15"/>
        <v>Rit1348</v>
      </c>
      <c r="M349" s="4" t="str">
        <f t="shared" si="16"/>
        <v>Marer</v>
      </c>
      <c r="N349" s="4" t="str">
        <f t="shared" si="17"/>
        <v>Mr</v>
      </c>
    </row>
    <row r="350" spans="1:14" x14ac:dyDescent="0.3">
      <c r="A350" s="9">
        <v>1349</v>
      </c>
      <c r="B350" s="9" t="s">
        <v>39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7">
        <v>46079</v>
      </c>
      <c r="J350" s="7">
        <v>46083</v>
      </c>
      <c r="K350" s="4" t="s">
        <v>79</v>
      </c>
      <c r="L350" s="4" t="str">
        <f t="shared" si="15"/>
        <v>Dee1349</v>
      </c>
      <c r="M350" s="4" t="str">
        <f t="shared" si="16"/>
        <v>Prier</v>
      </c>
      <c r="N350" s="4" t="str">
        <f t="shared" si="17"/>
        <v>Per</v>
      </c>
    </row>
    <row r="351" spans="1:14" x14ac:dyDescent="0.3">
      <c r="A351" s="9">
        <v>1350</v>
      </c>
      <c r="B351" s="9" t="s">
        <v>28</v>
      </c>
      <c r="C351" s="4" t="s">
        <v>42</v>
      </c>
      <c r="D351" s="4" t="s">
        <v>24</v>
      </c>
      <c r="E351" s="4" t="s">
        <v>8</v>
      </c>
      <c r="F351" s="4">
        <v>16</v>
      </c>
      <c r="G351" s="4">
        <v>11790</v>
      </c>
      <c r="H351" s="4">
        <v>12</v>
      </c>
      <c r="I351" s="7">
        <v>46185</v>
      </c>
      <c r="J351" s="7">
        <v>46190</v>
      </c>
      <c r="K351" s="4" t="s">
        <v>49</v>
      </c>
      <c r="L351" s="4" t="str">
        <f t="shared" si="15"/>
        <v>Vik1350</v>
      </c>
      <c r="M351" s="4" t="str">
        <f t="shared" si="16"/>
        <v>Chair</v>
      </c>
      <c r="N351" s="4" t="str">
        <f t="shared" si="17"/>
        <v>C</v>
      </c>
    </row>
    <row r="352" spans="1:14" x14ac:dyDescent="0.3">
      <c r="A352" s="9">
        <v>1351</v>
      </c>
      <c r="B352" s="9" t="s">
        <v>41</v>
      </c>
      <c r="C352" s="4" t="s">
        <v>33</v>
      </c>
      <c r="D352" s="4" t="s">
        <v>34</v>
      </c>
      <c r="E352" s="4" t="s">
        <v>6</v>
      </c>
      <c r="F352" s="4">
        <v>12</v>
      </c>
      <c r="G352" s="4">
        <v>1272</v>
      </c>
      <c r="H352" s="4">
        <v>0</v>
      </c>
      <c r="I352" s="7">
        <v>46026</v>
      </c>
      <c r="J352" s="7">
        <v>46029</v>
      </c>
      <c r="K352" s="4" t="s">
        <v>78</v>
      </c>
      <c r="L352" s="4" t="str">
        <f t="shared" si="15"/>
        <v>Nis1351</v>
      </c>
      <c r="M352" s="4" t="str">
        <f t="shared" si="16"/>
        <v>Monor</v>
      </c>
      <c r="N352" s="4" t="str">
        <f t="shared" si="17"/>
        <v>Mor</v>
      </c>
    </row>
    <row r="353" spans="1:14" x14ac:dyDescent="0.3">
      <c r="A353" s="9">
        <v>1352</v>
      </c>
      <c r="B353" s="9" t="s">
        <v>52</v>
      </c>
      <c r="C353" s="4" t="s">
        <v>26</v>
      </c>
      <c r="D353" s="4" t="s">
        <v>20</v>
      </c>
      <c r="E353" s="4" t="s">
        <v>21</v>
      </c>
      <c r="F353" s="4">
        <v>12</v>
      </c>
      <c r="G353" s="4">
        <v>203</v>
      </c>
      <c r="H353" s="4">
        <v>5</v>
      </c>
      <c r="I353" s="7">
        <v>46024</v>
      </c>
      <c r="J353" s="7">
        <v>46033</v>
      </c>
      <c r="K353" s="4" t="s">
        <v>78</v>
      </c>
      <c r="L353" s="4" t="str">
        <f t="shared" si="15"/>
        <v>Man1352</v>
      </c>
      <c r="M353" s="4" t="str">
        <f t="shared" si="16"/>
        <v>Notok</v>
      </c>
      <c r="N353" s="4" t="str">
        <f t="shared" si="17"/>
        <v>Nook</v>
      </c>
    </row>
    <row r="354" spans="1:14" x14ac:dyDescent="0.3">
      <c r="A354" s="9">
        <v>1353</v>
      </c>
      <c r="B354" s="9" t="s">
        <v>45</v>
      </c>
      <c r="C354" s="4" t="s">
        <v>42</v>
      </c>
      <c r="D354" s="4" t="s">
        <v>20</v>
      </c>
      <c r="E354" s="4" t="s">
        <v>21</v>
      </c>
      <c r="F354" s="4">
        <v>6</v>
      </c>
      <c r="G354" s="4">
        <v>495</v>
      </c>
      <c r="H354" s="4">
        <v>2</v>
      </c>
      <c r="I354" s="7">
        <v>46194</v>
      </c>
      <c r="J354" s="7">
        <v>46200</v>
      </c>
      <c r="K354" s="4" t="s">
        <v>80</v>
      </c>
      <c r="L354" s="4" t="str">
        <f t="shared" si="15"/>
        <v>Yas1353</v>
      </c>
      <c r="M354" s="4" t="str">
        <f t="shared" si="16"/>
        <v>Notok</v>
      </c>
      <c r="N354" s="4" t="str">
        <f t="shared" si="17"/>
        <v>Nook</v>
      </c>
    </row>
    <row r="355" spans="1:14" x14ac:dyDescent="0.3">
      <c r="A355" s="9">
        <v>1354</v>
      </c>
      <c r="B355" s="9" t="s">
        <v>45</v>
      </c>
      <c r="C355" s="4" t="s">
        <v>42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7">
        <v>46118</v>
      </c>
      <c r="J355" s="7">
        <v>46120</v>
      </c>
      <c r="K355" s="4" t="s">
        <v>81</v>
      </c>
      <c r="L355" s="4" t="str">
        <f t="shared" si="15"/>
        <v>Yas1354</v>
      </c>
      <c r="M355" s="4" t="str">
        <f t="shared" si="16"/>
        <v>Prier</v>
      </c>
      <c r="N355" s="4" t="str">
        <f t="shared" si="17"/>
        <v>Per</v>
      </c>
    </row>
    <row r="356" spans="1:14" x14ac:dyDescent="0.3">
      <c r="A356" s="9">
        <v>1355</v>
      </c>
      <c r="B356" s="9" t="s">
        <v>29</v>
      </c>
      <c r="C356" s="4" t="s">
        <v>19</v>
      </c>
      <c r="D356" s="4" t="s">
        <v>34</v>
      </c>
      <c r="E356" s="4" t="s">
        <v>9</v>
      </c>
      <c r="F356" s="4">
        <v>18</v>
      </c>
      <c r="G356" s="4">
        <v>35997</v>
      </c>
      <c r="H356" s="4">
        <v>2</v>
      </c>
      <c r="I356" s="7">
        <v>46024</v>
      </c>
      <c r="J356" s="7">
        <v>46031</v>
      </c>
      <c r="K356" s="4" t="s">
        <v>81</v>
      </c>
      <c r="L356" s="4" t="str">
        <f t="shared" si="15"/>
        <v>Arj1355</v>
      </c>
      <c r="M356" s="4" t="str">
        <f t="shared" si="16"/>
        <v>Lapop</v>
      </c>
      <c r="N356" s="4" t="str">
        <f t="shared" si="17"/>
        <v>Lp</v>
      </c>
    </row>
    <row r="357" spans="1:14" x14ac:dyDescent="0.3">
      <c r="A357" s="9">
        <v>1356</v>
      </c>
      <c r="B357" s="9" t="s">
        <v>28</v>
      </c>
      <c r="C357" s="4" t="s">
        <v>38</v>
      </c>
      <c r="D357" s="4" t="s">
        <v>34</v>
      </c>
      <c r="E357" s="4" t="s">
        <v>9</v>
      </c>
      <c r="F357" s="4">
        <v>16</v>
      </c>
      <c r="G357" s="4">
        <v>53457</v>
      </c>
      <c r="H357" s="4">
        <v>10</v>
      </c>
      <c r="I357" s="7">
        <v>46201</v>
      </c>
      <c r="J357" s="7">
        <v>46204</v>
      </c>
      <c r="K357" s="4" t="s">
        <v>78</v>
      </c>
      <c r="L357" s="4" t="str">
        <f t="shared" si="15"/>
        <v>Vik1356</v>
      </c>
      <c r="M357" s="4" t="str">
        <f t="shared" si="16"/>
        <v>Lapop</v>
      </c>
      <c r="N357" s="4" t="str">
        <f t="shared" si="17"/>
        <v>Lp</v>
      </c>
    </row>
    <row r="358" spans="1:14" x14ac:dyDescent="0.3">
      <c r="A358" s="9">
        <v>1357</v>
      </c>
      <c r="B358" s="9" t="s">
        <v>56</v>
      </c>
      <c r="C358" s="4" t="s">
        <v>27</v>
      </c>
      <c r="D358" s="4" t="s">
        <v>20</v>
      </c>
      <c r="E358" s="4" t="s">
        <v>37</v>
      </c>
      <c r="F358" s="4">
        <v>6</v>
      </c>
      <c r="G358" s="4">
        <v>365</v>
      </c>
      <c r="H358" s="4">
        <v>7</v>
      </c>
      <c r="I358" s="7">
        <v>46133</v>
      </c>
      <c r="J358" s="7">
        <v>46140</v>
      </c>
      <c r="K358" s="4" t="s">
        <v>81</v>
      </c>
      <c r="L358" s="4" t="str">
        <f t="shared" ref="L358:L401" si="18">_xlfn.CONCAT(LEFT(B358, 3), A358)</f>
        <v>Ani1357</v>
      </c>
      <c r="M358" s="4" t="str">
        <f t="shared" ref="M358:M401" si="19">_xlfn.CONCAT(LEFT(E358, 3), RIGHT(E358,2))</f>
        <v>Penck</v>
      </c>
      <c r="N358" s="4" t="str">
        <f t="shared" ref="N358:N401" si="20">REPLACE(E358,2,4,"")</f>
        <v>Pack</v>
      </c>
    </row>
    <row r="359" spans="1:14" x14ac:dyDescent="0.3">
      <c r="A359" s="9">
        <v>1358</v>
      </c>
      <c r="B359" s="9" t="s">
        <v>39</v>
      </c>
      <c r="C359" s="4" t="s">
        <v>38</v>
      </c>
      <c r="D359" s="4" t="s">
        <v>24</v>
      </c>
      <c r="E359" s="4" t="s">
        <v>7</v>
      </c>
      <c r="F359" s="4">
        <v>7</v>
      </c>
      <c r="G359" s="4">
        <v>6618</v>
      </c>
      <c r="H359" s="4">
        <v>0</v>
      </c>
      <c r="I359" s="7">
        <v>46127</v>
      </c>
      <c r="J359" s="7">
        <v>46129</v>
      </c>
      <c r="K359" s="4" t="s">
        <v>79</v>
      </c>
      <c r="L359" s="4" t="str">
        <f t="shared" si="18"/>
        <v>Dee1358</v>
      </c>
      <c r="M359" s="4" t="str">
        <f t="shared" si="19"/>
        <v>Dessk</v>
      </c>
      <c r="N359" s="4" t="str">
        <f t="shared" si="20"/>
        <v>D</v>
      </c>
    </row>
    <row r="360" spans="1:14" x14ac:dyDescent="0.3">
      <c r="A360" s="9">
        <v>1359</v>
      </c>
      <c r="B360" s="9" t="s">
        <v>52</v>
      </c>
      <c r="C360" s="4" t="s">
        <v>19</v>
      </c>
      <c r="D360" s="4" t="s">
        <v>34</v>
      </c>
      <c r="E360" s="4" t="s">
        <v>12</v>
      </c>
      <c r="F360" s="4">
        <v>9</v>
      </c>
      <c r="G360" s="4">
        <v>38179</v>
      </c>
      <c r="H360" s="4">
        <v>0</v>
      </c>
      <c r="I360" s="7">
        <v>46096</v>
      </c>
      <c r="J360" s="7">
        <v>46099</v>
      </c>
      <c r="K360" s="4" t="s">
        <v>78</v>
      </c>
      <c r="L360" s="4" t="str">
        <f t="shared" si="18"/>
        <v>Man1359</v>
      </c>
      <c r="M360" s="4" t="str">
        <f t="shared" si="19"/>
        <v>Mouse</v>
      </c>
      <c r="N360" s="4" t="str">
        <f t="shared" si="20"/>
        <v>M</v>
      </c>
    </row>
    <row r="361" spans="1:14" x14ac:dyDescent="0.3">
      <c r="A361" s="9">
        <v>1360</v>
      </c>
      <c r="B361" s="9" t="s">
        <v>18</v>
      </c>
      <c r="C361" s="4" t="s">
        <v>42</v>
      </c>
      <c r="D361" s="4" t="s">
        <v>24</v>
      </c>
      <c r="E361" s="4" t="s">
        <v>10</v>
      </c>
      <c r="F361" s="4">
        <v>19</v>
      </c>
      <c r="G361" s="4">
        <v>6681</v>
      </c>
      <c r="H361" s="4">
        <v>2</v>
      </c>
      <c r="I361" s="7">
        <v>46146</v>
      </c>
      <c r="J361" s="7">
        <v>46150</v>
      </c>
      <c r="K361" s="4" t="s">
        <v>78</v>
      </c>
      <c r="L361" s="4" t="str">
        <f t="shared" si="18"/>
        <v>Rit1360</v>
      </c>
      <c r="M361" s="4" t="str">
        <f t="shared" si="19"/>
        <v>Table</v>
      </c>
      <c r="N361" s="4" t="str">
        <f t="shared" si="20"/>
        <v>T</v>
      </c>
    </row>
    <row r="362" spans="1:14" x14ac:dyDescent="0.3">
      <c r="A362" s="9">
        <v>1361</v>
      </c>
      <c r="B362" s="9" t="s">
        <v>41</v>
      </c>
      <c r="C362" s="4" t="s">
        <v>23</v>
      </c>
      <c r="D362" s="4" t="s">
        <v>24</v>
      </c>
      <c r="E362" s="4" t="s">
        <v>10</v>
      </c>
      <c r="F362" s="4">
        <v>2</v>
      </c>
      <c r="G362" s="4">
        <v>1822</v>
      </c>
      <c r="H362" s="4">
        <v>5</v>
      </c>
      <c r="I362" s="7">
        <v>46141</v>
      </c>
      <c r="J362" s="7">
        <v>46145</v>
      </c>
      <c r="K362" s="4" t="s">
        <v>79</v>
      </c>
      <c r="L362" s="4" t="str">
        <f t="shared" si="18"/>
        <v>Nis1361</v>
      </c>
      <c r="M362" s="4" t="str">
        <f t="shared" si="19"/>
        <v>Table</v>
      </c>
      <c r="N362" s="4" t="str">
        <f t="shared" si="20"/>
        <v>T</v>
      </c>
    </row>
    <row r="363" spans="1:14" x14ac:dyDescent="0.3">
      <c r="A363" s="9">
        <v>1362</v>
      </c>
      <c r="B363" s="9" t="s">
        <v>22</v>
      </c>
      <c r="C363" s="4" t="s">
        <v>19</v>
      </c>
      <c r="D363" s="4" t="s">
        <v>24</v>
      </c>
      <c r="E363" s="4" t="s">
        <v>8</v>
      </c>
      <c r="F363" s="4">
        <v>1</v>
      </c>
      <c r="G363" s="4">
        <v>10474</v>
      </c>
      <c r="H363" s="4">
        <v>0</v>
      </c>
      <c r="I363" s="7">
        <v>46094</v>
      </c>
      <c r="J363" s="7">
        <v>46096</v>
      </c>
      <c r="K363" s="4" t="s">
        <v>49</v>
      </c>
      <c r="L363" s="4" t="str">
        <f t="shared" si="18"/>
        <v>Poo1362</v>
      </c>
      <c r="M363" s="4" t="str">
        <f t="shared" si="19"/>
        <v>Chair</v>
      </c>
      <c r="N363" s="4" t="str">
        <f t="shared" si="20"/>
        <v>C</v>
      </c>
    </row>
    <row r="364" spans="1:14" x14ac:dyDescent="0.3">
      <c r="A364" s="9">
        <v>1363</v>
      </c>
      <c r="B364" s="9" t="s">
        <v>29</v>
      </c>
      <c r="C364" s="4" t="s">
        <v>27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7">
        <v>46122</v>
      </c>
      <c r="J364" s="7">
        <v>46128</v>
      </c>
      <c r="K364" s="4" t="s">
        <v>78</v>
      </c>
      <c r="L364" s="4" t="str">
        <f t="shared" si="18"/>
        <v>Arj1363</v>
      </c>
      <c r="M364" s="4" t="str">
        <f t="shared" si="19"/>
        <v>Prier</v>
      </c>
      <c r="N364" s="4" t="str">
        <f t="shared" si="20"/>
        <v>Per</v>
      </c>
    </row>
    <row r="365" spans="1:14" x14ac:dyDescent="0.3">
      <c r="A365" s="9">
        <v>1364</v>
      </c>
      <c r="B365" s="9" t="s">
        <v>30</v>
      </c>
      <c r="C365" s="4" t="s">
        <v>26</v>
      </c>
      <c r="D365" s="4" t="s">
        <v>24</v>
      </c>
      <c r="E365" s="4" t="s">
        <v>11</v>
      </c>
      <c r="F365" s="4">
        <v>16</v>
      </c>
      <c r="G365" s="4">
        <v>1744</v>
      </c>
      <c r="H365" s="4">
        <v>15</v>
      </c>
      <c r="I365" s="7">
        <v>46031</v>
      </c>
      <c r="J365" s="7">
        <v>46033</v>
      </c>
      <c r="K365" s="4" t="s">
        <v>81</v>
      </c>
      <c r="L365" s="4" t="str">
        <f t="shared" si="18"/>
        <v>Neh1364</v>
      </c>
      <c r="M365" s="4" t="str">
        <f t="shared" si="19"/>
        <v>Cabet</v>
      </c>
      <c r="N365" s="4" t="str">
        <f t="shared" si="20"/>
        <v>Cet</v>
      </c>
    </row>
    <row r="366" spans="1:14" x14ac:dyDescent="0.3">
      <c r="A366" s="9">
        <v>1365</v>
      </c>
      <c r="B366" s="9" t="s">
        <v>44</v>
      </c>
      <c r="C366" s="4" t="s">
        <v>33</v>
      </c>
      <c r="D366" s="4" t="s">
        <v>20</v>
      </c>
      <c r="E366" s="4" t="s">
        <v>48</v>
      </c>
      <c r="F366" s="4">
        <v>17</v>
      </c>
      <c r="G366" s="4">
        <v>119</v>
      </c>
      <c r="H366" s="4">
        <v>7</v>
      </c>
      <c r="I366" s="7">
        <v>46070</v>
      </c>
      <c r="J366" s="7">
        <v>46072</v>
      </c>
      <c r="K366" s="4" t="s">
        <v>79</v>
      </c>
      <c r="L366" s="4" t="str">
        <f t="shared" si="18"/>
        <v>Kir1365</v>
      </c>
      <c r="M366" s="4" t="str">
        <f t="shared" si="19"/>
        <v>Marer</v>
      </c>
      <c r="N366" s="4" t="str">
        <f t="shared" si="20"/>
        <v>Mr</v>
      </c>
    </row>
    <row r="367" spans="1:14" x14ac:dyDescent="0.3">
      <c r="A367" s="9">
        <v>1366</v>
      </c>
      <c r="B367" s="9" t="s">
        <v>28</v>
      </c>
      <c r="C367" s="4" t="s">
        <v>23</v>
      </c>
      <c r="D367" s="4" t="s">
        <v>34</v>
      </c>
      <c r="E367" s="4" t="s">
        <v>12</v>
      </c>
      <c r="F367" s="4">
        <v>20</v>
      </c>
      <c r="G367" s="4">
        <v>44312</v>
      </c>
      <c r="H367" s="4">
        <v>10</v>
      </c>
      <c r="I367" s="7">
        <v>46047</v>
      </c>
      <c r="J367" s="7">
        <v>46054</v>
      </c>
      <c r="K367" s="4" t="s">
        <v>49</v>
      </c>
      <c r="L367" s="4" t="str">
        <f t="shared" si="18"/>
        <v>Vik1366</v>
      </c>
      <c r="M367" s="4" t="str">
        <f t="shared" si="19"/>
        <v>Mouse</v>
      </c>
      <c r="N367" s="4" t="str">
        <f t="shared" si="20"/>
        <v>M</v>
      </c>
    </row>
    <row r="368" spans="1:14" x14ac:dyDescent="0.3">
      <c r="A368" s="9">
        <v>1367</v>
      </c>
      <c r="B368" s="9" t="s">
        <v>52</v>
      </c>
      <c r="C368" s="4" t="s">
        <v>27</v>
      </c>
      <c r="D368" s="4" t="s">
        <v>20</v>
      </c>
      <c r="E368" s="4" t="s">
        <v>51</v>
      </c>
      <c r="F368" s="4">
        <v>1</v>
      </c>
      <c r="G368" s="4">
        <v>371</v>
      </c>
      <c r="H368" s="4">
        <v>5</v>
      </c>
      <c r="I368" s="7">
        <v>46158</v>
      </c>
      <c r="J368" s="7">
        <v>46168</v>
      </c>
      <c r="K368" s="4" t="s">
        <v>49</v>
      </c>
      <c r="L368" s="4" t="str">
        <f t="shared" si="18"/>
        <v>Man1367</v>
      </c>
      <c r="M368" s="4" t="str">
        <f t="shared" si="19"/>
        <v>Diary</v>
      </c>
      <c r="N368" s="4" t="str">
        <f t="shared" si="20"/>
        <v>D</v>
      </c>
    </row>
    <row r="369" spans="1:14" x14ac:dyDescent="0.3">
      <c r="A369" s="9">
        <v>1368</v>
      </c>
      <c r="B369" s="9" t="s">
        <v>53</v>
      </c>
      <c r="C369" s="4" t="s">
        <v>38</v>
      </c>
      <c r="D369" s="4" t="s">
        <v>20</v>
      </c>
      <c r="E369" s="4" t="s">
        <v>36</v>
      </c>
      <c r="F369" s="4">
        <v>9</v>
      </c>
      <c r="G369" s="4">
        <v>115</v>
      </c>
      <c r="H369" s="4">
        <v>0</v>
      </c>
      <c r="I369" s="7">
        <v>46036</v>
      </c>
      <c r="J369" s="7">
        <v>46045</v>
      </c>
      <c r="K369" s="4" t="s">
        <v>80</v>
      </c>
      <c r="L369" s="4" t="str">
        <f t="shared" si="18"/>
        <v>Sne1368</v>
      </c>
      <c r="M369" s="4" t="str">
        <f t="shared" si="19"/>
        <v>Staer</v>
      </c>
      <c r="N369" s="4" t="str">
        <f t="shared" si="20"/>
        <v>Ser</v>
      </c>
    </row>
    <row r="370" spans="1:14" x14ac:dyDescent="0.3">
      <c r="A370" s="9">
        <v>1369</v>
      </c>
      <c r="B370" s="9" t="s">
        <v>54</v>
      </c>
      <c r="C370" s="4" t="s">
        <v>27</v>
      </c>
      <c r="D370" s="4" t="s">
        <v>24</v>
      </c>
      <c r="E370" s="4" t="s">
        <v>7</v>
      </c>
      <c r="F370" s="4">
        <v>19</v>
      </c>
      <c r="G370" s="4">
        <v>5840</v>
      </c>
      <c r="H370" s="4">
        <v>5</v>
      </c>
      <c r="I370" s="7">
        <v>46062</v>
      </c>
      <c r="J370" s="7">
        <v>46067</v>
      </c>
      <c r="K370" s="4" t="s">
        <v>78</v>
      </c>
      <c r="L370" s="4" t="str">
        <f t="shared" si="18"/>
        <v>Sar1369</v>
      </c>
      <c r="M370" s="4" t="str">
        <f t="shared" si="19"/>
        <v>Dessk</v>
      </c>
      <c r="N370" s="4" t="str">
        <f t="shared" si="20"/>
        <v>D</v>
      </c>
    </row>
    <row r="371" spans="1:14" x14ac:dyDescent="0.3">
      <c r="A371" s="9">
        <v>1370</v>
      </c>
      <c r="B371" s="9" t="s">
        <v>56</v>
      </c>
      <c r="C371" s="4" t="s">
        <v>38</v>
      </c>
      <c r="D371" s="4" t="s">
        <v>20</v>
      </c>
      <c r="E371" s="4" t="s">
        <v>51</v>
      </c>
      <c r="F371" s="4">
        <v>13</v>
      </c>
      <c r="G371" s="4">
        <v>337</v>
      </c>
      <c r="H371" s="4">
        <v>7</v>
      </c>
      <c r="I371" s="7">
        <v>46184</v>
      </c>
      <c r="J371" s="7">
        <v>46188</v>
      </c>
      <c r="K371" s="4" t="s">
        <v>78</v>
      </c>
      <c r="L371" s="4" t="str">
        <f t="shared" si="18"/>
        <v>Ani1370</v>
      </c>
      <c r="M371" s="4" t="str">
        <f t="shared" si="19"/>
        <v>Diary</v>
      </c>
      <c r="N371" s="4" t="str">
        <f t="shared" si="20"/>
        <v>D</v>
      </c>
    </row>
    <row r="372" spans="1:14" x14ac:dyDescent="0.3">
      <c r="A372" s="9">
        <v>1371</v>
      </c>
      <c r="B372" s="9" t="s">
        <v>46</v>
      </c>
      <c r="C372" s="4" t="s">
        <v>38</v>
      </c>
      <c r="D372" s="4" t="s">
        <v>24</v>
      </c>
      <c r="E372" s="4" t="s">
        <v>7</v>
      </c>
      <c r="F372" s="4">
        <v>19</v>
      </c>
      <c r="G372" s="4">
        <v>1087</v>
      </c>
      <c r="H372" s="4">
        <v>15</v>
      </c>
      <c r="I372" s="7">
        <v>46072</v>
      </c>
      <c r="J372" s="7">
        <v>46082</v>
      </c>
      <c r="K372" s="4" t="s">
        <v>79</v>
      </c>
      <c r="L372" s="4" t="str">
        <f t="shared" si="18"/>
        <v>Nit1371</v>
      </c>
      <c r="M372" s="4" t="str">
        <f t="shared" si="19"/>
        <v>Dessk</v>
      </c>
      <c r="N372" s="4" t="str">
        <f t="shared" si="20"/>
        <v>D</v>
      </c>
    </row>
    <row r="373" spans="1:14" x14ac:dyDescent="0.3">
      <c r="A373" s="9">
        <v>1372</v>
      </c>
      <c r="B373" s="9" t="s">
        <v>46</v>
      </c>
      <c r="C373" s="4" t="s">
        <v>23</v>
      </c>
      <c r="D373" s="4" t="s">
        <v>34</v>
      </c>
      <c r="E373" s="4" t="s">
        <v>5</v>
      </c>
      <c r="F373" s="4">
        <v>9</v>
      </c>
      <c r="G373" s="4">
        <v>9551</v>
      </c>
      <c r="H373" s="4">
        <v>10</v>
      </c>
      <c r="I373" s="7">
        <v>46161</v>
      </c>
      <c r="J373" s="7">
        <v>46168</v>
      </c>
      <c r="K373" s="4" t="s">
        <v>78</v>
      </c>
      <c r="L373" s="4" t="str">
        <f t="shared" si="18"/>
        <v>Nit1372</v>
      </c>
      <c r="M373" s="4" t="str">
        <f t="shared" si="19"/>
        <v>Keyrd</v>
      </c>
      <c r="N373" s="4" t="str">
        <f t="shared" si="20"/>
        <v>Kard</v>
      </c>
    </row>
    <row r="374" spans="1:14" x14ac:dyDescent="0.3">
      <c r="A374" s="9">
        <v>1373</v>
      </c>
      <c r="B374" s="9" t="s">
        <v>52</v>
      </c>
      <c r="C374" s="4" t="s">
        <v>27</v>
      </c>
      <c r="D374" s="4" t="s">
        <v>34</v>
      </c>
      <c r="E374" s="4" t="s">
        <v>9</v>
      </c>
      <c r="F374" s="4">
        <v>11</v>
      </c>
      <c r="G374" s="4">
        <v>47930</v>
      </c>
      <c r="H374" s="4">
        <v>12</v>
      </c>
      <c r="I374" s="7">
        <v>46191</v>
      </c>
      <c r="J374" s="7">
        <v>46201</v>
      </c>
      <c r="K374" s="4" t="s">
        <v>79</v>
      </c>
      <c r="L374" s="4" t="str">
        <f t="shared" si="18"/>
        <v>Man1373</v>
      </c>
      <c r="M374" s="4" t="str">
        <f t="shared" si="19"/>
        <v>Lapop</v>
      </c>
      <c r="N374" s="4" t="str">
        <f t="shared" si="20"/>
        <v>Lp</v>
      </c>
    </row>
    <row r="375" spans="1:14" x14ac:dyDescent="0.3">
      <c r="A375" s="9">
        <v>1374</v>
      </c>
      <c r="B375" s="9" t="s">
        <v>54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7">
        <v>46063</v>
      </c>
      <c r="J375" s="7">
        <v>46066</v>
      </c>
      <c r="K375" s="4" t="s">
        <v>81</v>
      </c>
      <c r="L375" s="4" t="str">
        <f t="shared" si="18"/>
        <v>Sar1374</v>
      </c>
      <c r="M375" s="4" t="str">
        <f t="shared" si="19"/>
        <v>Prier</v>
      </c>
      <c r="N375" s="4" t="str">
        <f t="shared" si="20"/>
        <v>Per</v>
      </c>
    </row>
    <row r="376" spans="1:14" x14ac:dyDescent="0.3">
      <c r="A376" s="9">
        <v>1375</v>
      </c>
      <c r="B376" s="9" t="s">
        <v>44</v>
      </c>
      <c r="C376" s="4" t="s">
        <v>42</v>
      </c>
      <c r="D376" s="4" t="s">
        <v>34</v>
      </c>
      <c r="E376" s="4" t="s">
        <v>6</v>
      </c>
      <c r="F376" s="4">
        <v>20</v>
      </c>
      <c r="G376" s="4">
        <v>56766</v>
      </c>
      <c r="H376" s="4">
        <v>0</v>
      </c>
      <c r="I376" s="7">
        <v>46052</v>
      </c>
      <c r="J376" s="7">
        <v>46061</v>
      </c>
      <c r="K376" s="4" t="s">
        <v>80</v>
      </c>
      <c r="L376" s="4" t="str">
        <f t="shared" si="18"/>
        <v>Kir1375</v>
      </c>
      <c r="M376" s="4" t="str">
        <f t="shared" si="19"/>
        <v>Monor</v>
      </c>
      <c r="N376" s="4" t="str">
        <f t="shared" si="20"/>
        <v>Mor</v>
      </c>
    </row>
    <row r="377" spans="1:14" x14ac:dyDescent="0.3">
      <c r="A377" s="9">
        <v>1376</v>
      </c>
      <c r="B377" s="9" t="s">
        <v>50</v>
      </c>
      <c r="C377" s="4" t="s">
        <v>31</v>
      </c>
      <c r="D377" s="4" t="s">
        <v>20</v>
      </c>
      <c r="E377" s="4" t="s">
        <v>48</v>
      </c>
      <c r="F377" s="4">
        <v>20</v>
      </c>
      <c r="G377" s="4">
        <v>429</v>
      </c>
      <c r="H377" s="4">
        <v>5</v>
      </c>
      <c r="I377" s="7">
        <v>46178</v>
      </c>
      <c r="J377" s="7">
        <v>46184</v>
      </c>
      <c r="K377" s="4" t="s">
        <v>79</v>
      </c>
      <c r="L377" s="4" t="str">
        <f t="shared" si="18"/>
        <v>Kom1376</v>
      </c>
      <c r="M377" s="4" t="str">
        <f t="shared" si="19"/>
        <v>Marer</v>
      </c>
      <c r="N377" s="4" t="str">
        <f t="shared" si="20"/>
        <v>Mr</v>
      </c>
    </row>
    <row r="378" spans="1:14" x14ac:dyDescent="0.3">
      <c r="A378" s="9">
        <v>1377</v>
      </c>
      <c r="B378" s="9" t="s">
        <v>32</v>
      </c>
      <c r="C378" s="4" t="s">
        <v>38</v>
      </c>
      <c r="D378" s="4" t="s">
        <v>24</v>
      </c>
      <c r="E378" s="4" t="s">
        <v>7</v>
      </c>
      <c r="F378" s="4">
        <v>3</v>
      </c>
      <c r="G378" s="4">
        <v>5480</v>
      </c>
      <c r="H378" s="4">
        <v>12</v>
      </c>
      <c r="I378" s="7">
        <v>46105</v>
      </c>
      <c r="J378" s="7">
        <v>46111</v>
      </c>
      <c r="K378" s="4" t="s">
        <v>80</v>
      </c>
      <c r="L378" s="4" t="str">
        <f t="shared" si="18"/>
        <v>Ash1377</v>
      </c>
      <c r="M378" s="4" t="str">
        <f t="shared" si="19"/>
        <v>Dessk</v>
      </c>
      <c r="N378" s="4" t="str">
        <f t="shared" si="20"/>
        <v>D</v>
      </c>
    </row>
    <row r="379" spans="1:14" x14ac:dyDescent="0.3">
      <c r="A379" s="9">
        <v>1378</v>
      </c>
      <c r="B379" s="9" t="s">
        <v>53</v>
      </c>
      <c r="C379" s="4" t="s">
        <v>26</v>
      </c>
      <c r="D379" s="4" t="s">
        <v>34</v>
      </c>
      <c r="E379" s="4" t="s">
        <v>6</v>
      </c>
      <c r="F379" s="4">
        <v>15</v>
      </c>
      <c r="G379" s="4">
        <v>22693</v>
      </c>
      <c r="H379" s="4">
        <v>12</v>
      </c>
      <c r="I379" s="7">
        <v>46074</v>
      </c>
      <c r="J379" s="7">
        <v>46080</v>
      </c>
      <c r="K379" s="4" t="s">
        <v>81</v>
      </c>
      <c r="L379" s="4" t="str">
        <f t="shared" si="18"/>
        <v>Sne1378</v>
      </c>
      <c r="M379" s="4" t="str">
        <f t="shared" si="19"/>
        <v>Monor</v>
      </c>
      <c r="N379" s="4" t="str">
        <f t="shared" si="20"/>
        <v>Mor</v>
      </c>
    </row>
    <row r="380" spans="1:14" x14ac:dyDescent="0.3">
      <c r="A380" s="9">
        <v>1379</v>
      </c>
      <c r="B380" s="9" t="s">
        <v>45</v>
      </c>
      <c r="C380" s="4" t="s">
        <v>23</v>
      </c>
      <c r="D380" s="4" t="s">
        <v>20</v>
      </c>
      <c r="E380" s="4" t="s">
        <v>21</v>
      </c>
      <c r="F380" s="4">
        <v>11</v>
      </c>
      <c r="G380" s="4">
        <v>136</v>
      </c>
      <c r="H380" s="4">
        <v>15</v>
      </c>
      <c r="I380" s="7">
        <v>46106</v>
      </c>
      <c r="J380" s="7">
        <v>46107</v>
      </c>
      <c r="K380" s="4" t="s">
        <v>79</v>
      </c>
      <c r="L380" s="4" t="str">
        <f t="shared" si="18"/>
        <v>Yas1379</v>
      </c>
      <c r="M380" s="4" t="str">
        <f t="shared" si="19"/>
        <v>Notok</v>
      </c>
      <c r="N380" s="4" t="str">
        <f t="shared" si="20"/>
        <v>Nook</v>
      </c>
    </row>
    <row r="381" spans="1:14" x14ac:dyDescent="0.3">
      <c r="A381" s="9">
        <v>1380</v>
      </c>
      <c r="B381" s="9" t="s">
        <v>50</v>
      </c>
      <c r="C381" s="4" t="s">
        <v>42</v>
      </c>
      <c r="D381" s="4" t="s">
        <v>20</v>
      </c>
      <c r="E381" s="4" t="s">
        <v>51</v>
      </c>
      <c r="F381" s="4">
        <v>3</v>
      </c>
      <c r="G381" s="4">
        <v>412</v>
      </c>
      <c r="H381" s="4">
        <v>7</v>
      </c>
      <c r="I381" s="7">
        <v>46128</v>
      </c>
      <c r="J381" s="7">
        <v>46138</v>
      </c>
      <c r="K381" s="4" t="s">
        <v>80</v>
      </c>
      <c r="L381" s="4" t="str">
        <f t="shared" si="18"/>
        <v>Kom1380</v>
      </c>
      <c r="M381" s="4" t="str">
        <f t="shared" si="19"/>
        <v>Diary</v>
      </c>
      <c r="N381" s="4" t="str">
        <f t="shared" si="20"/>
        <v>D</v>
      </c>
    </row>
    <row r="382" spans="1:14" x14ac:dyDescent="0.3">
      <c r="A382" s="9">
        <v>1381</v>
      </c>
      <c r="B382" s="9" t="s">
        <v>53</v>
      </c>
      <c r="C382" s="4" t="s">
        <v>33</v>
      </c>
      <c r="D382" s="4" t="s">
        <v>24</v>
      </c>
      <c r="E382" s="4" t="s">
        <v>8</v>
      </c>
      <c r="F382" s="4">
        <v>5</v>
      </c>
      <c r="G382" s="4">
        <v>7484</v>
      </c>
      <c r="H382" s="4">
        <v>2</v>
      </c>
      <c r="I382" s="7">
        <v>46089</v>
      </c>
      <c r="J382" s="7">
        <v>46093</v>
      </c>
      <c r="K382" s="4" t="s">
        <v>79</v>
      </c>
      <c r="L382" s="4" t="str">
        <f t="shared" si="18"/>
        <v>Sne1381</v>
      </c>
      <c r="M382" s="4" t="str">
        <f t="shared" si="19"/>
        <v>Chair</v>
      </c>
      <c r="N382" s="4" t="str">
        <f t="shared" si="20"/>
        <v>C</v>
      </c>
    </row>
    <row r="383" spans="1:14" x14ac:dyDescent="0.3">
      <c r="A383" s="9">
        <v>1382</v>
      </c>
      <c r="B383" s="9" t="s">
        <v>47</v>
      </c>
      <c r="C383" s="4" t="s">
        <v>33</v>
      </c>
      <c r="D383" s="4" t="s">
        <v>34</v>
      </c>
      <c r="E383" s="4" t="s">
        <v>9</v>
      </c>
      <c r="F383" s="4">
        <v>11</v>
      </c>
      <c r="G383" s="4">
        <v>36198</v>
      </c>
      <c r="H383" s="4">
        <v>0</v>
      </c>
      <c r="I383" s="7">
        <v>46130</v>
      </c>
      <c r="J383" s="7">
        <v>46134</v>
      </c>
      <c r="K383" s="4" t="s">
        <v>78</v>
      </c>
      <c r="L383" s="4" t="str">
        <f t="shared" si="18"/>
        <v>Aja1382</v>
      </c>
      <c r="M383" s="4" t="str">
        <f t="shared" si="19"/>
        <v>Lapop</v>
      </c>
      <c r="N383" s="4" t="str">
        <f t="shared" si="20"/>
        <v>Lp</v>
      </c>
    </row>
    <row r="384" spans="1:14" x14ac:dyDescent="0.3">
      <c r="A384" s="9">
        <v>1383</v>
      </c>
      <c r="B384" s="9" t="s">
        <v>32</v>
      </c>
      <c r="C384" s="4" t="s">
        <v>19</v>
      </c>
      <c r="D384" s="4" t="s">
        <v>20</v>
      </c>
      <c r="E384" s="4" t="s">
        <v>51</v>
      </c>
      <c r="F384" s="4">
        <v>14</v>
      </c>
      <c r="G384" s="4">
        <v>334</v>
      </c>
      <c r="H384" s="4">
        <v>10</v>
      </c>
      <c r="I384" s="7">
        <v>46196</v>
      </c>
      <c r="J384" s="7">
        <v>46203</v>
      </c>
      <c r="K384" s="4" t="s">
        <v>78</v>
      </c>
      <c r="L384" s="4" t="str">
        <f t="shared" si="18"/>
        <v>Ash1383</v>
      </c>
      <c r="M384" s="4" t="str">
        <f t="shared" si="19"/>
        <v>Diary</v>
      </c>
      <c r="N384" s="4" t="str">
        <f t="shared" si="20"/>
        <v>D</v>
      </c>
    </row>
    <row r="385" spans="1:14" x14ac:dyDescent="0.3">
      <c r="A385" s="9">
        <v>1384</v>
      </c>
      <c r="B385" s="9" t="s">
        <v>56</v>
      </c>
      <c r="C385" s="4" t="s">
        <v>19</v>
      </c>
      <c r="D385" s="4" t="s">
        <v>34</v>
      </c>
      <c r="E385" s="4" t="s">
        <v>5</v>
      </c>
      <c r="F385" s="4">
        <v>15</v>
      </c>
      <c r="G385" s="4">
        <v>38116</v>
      </c>
      <c r="H385" s="4">
        <v>0</v>
      </c>
      <c r="I385" s="7">
        <v>46074</v>
      </c>
      <c r="J385" s="7">
        <v>46078</v>
      </c>
      <c r="K385" s="4" t="s">
        <v>49</v>
      </c>
      <c r="L385" s="4" t="str">
        <f t="shared" si="18"/>
        <v>Ani1384</v>
      </c>
      <c r="M385" s="4" t="str">
        <f t="shared" si="19"/>
        <v>Keyrd</v>
      </c>
      <c r="N385" s="4" t="str">
        <f t="shared" si="20"/>
        <v>Kard</v>
      </c>
    </row>
    <row r="386" spans="1:14" x14ac:dyDescent="0.3">
      <c r="A386" s="9">
        <v>1385</v>
      </c>
      <c r="B386" s="9" t="s">
        <v>28</v>
      </c>
      <c r="C386" s="4" t="s">
        <v>33</v>
      </c>
      <c r="D386" s="4" t="s">
        <v>34</v>
      </c>
      <c r="E386" s="4" t="s">
        <v>5</v>
      </c>
      <c r="F386" s="4">
        <v>12</v>
      </c>
      <c r="G386" s="4">
        <v>61360</v>
      </c>
      <c r="H386" s="4">
        <v>10</v>
      </c>
      <c r="I386" s="7">
        <v>46048</v>
      </c>
      <c r="J386" s="7">
        <v>46053</v>
      </c>
      <c r="K386" s="4" t="s">
        <v>81</v>
      </c>
      <c r="L386" s="4" t="str">
        <f t="shared" si="18"/>
        <v>Vik1385</v>
      </c>
      <c r="M386" s="4" t="str">
        <f t="shared" si="19"/>
        <v>Keyrd</v>
      </c>
      <c r="N386" s="4" t="str">
        <f t="shared" si="20"/>
        <v>Kard</v>
      </c>
    </row>
    <row r="387" spans="1:14" x14ac:dyDescent="0.3">
      <c r="A387" s="9">
        <v>1386</v>
      </c>
      <c r="B387" s="9" t="s">
        <v>29</v>
      </c>
      <c r="C387" s="4" t="s">
        <v>31</v>
      </c>
      <c r="D387" s="4" t="s">
        <v>24</v>
      </c>
      <c r="E387" s="4" t="s">
        <v>8</v>
      </c>
      <c r="F387" s="4">
        <v>9</v>
      </c>
      <c r="G387" s="4">
        <v>7509</v>
      </c>
      <c r="H387" s="4">
        <v>5</v>
      </c>
      <c r="I387" s="7">
        <v>46162</v>
      </c>
      <c r="J387" s="7">
        <v>46171</v>
      </c>
      <c r="K387" s="4" t="s">
        <v>81</v>
      </c>
      <c r="L387" s="4" t="str">
        <f t="shared" si="18"/>
        <v>Arj1386</v>
      </c>
      <c r="M387" s="4" t="str">
        <f t="shared" si="19"/>
        <v>Chair</v>
      </c>
      <c r="N387" s="4" t="str">
        <f t="shared" si="20"/>
        <v>C</v>
      </c>
    </row>
    <row r="388" spans="1:14" x14ac:dyDescent="0.3">
      <c r="A388" s="9">
        <v>1387</v>
      </c>
      <c r="B388" s="9" t="s">
        <v>52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7">
        <v>46102</v>
      </c>
      <c r="J388" s="7">
        <v>46112</v>
      </c>
      <c r="K388" s="4" t="s">
        <v>80</v>
      </c>
      <c r="L388" s="4" t="str">
        <f t="shared" si="18"/>
        <v>Man1387</v>
      </c>
      <c r="M388" s="4" t="str">
        <f t="shared" si="19"/>
        <v>Prier</v>
      </c>
      <c r="N388" s="4" t="str">
        <f t="shared" si="20"/>
        <v>Per</v>
      </c>
    </row>
    <row r="389" spans="1:14" x14ac:dyDescent="0.3">
      <c r="A389" s="9">
        <v>1388</v>
      </c>
      <c r="B389" s="9" t="s">
        <v>53</v>
      </c>
      <c r="C389" s="4" t="s">
        <v>31</v>
      </c>
      <c r="D389" s="4" t="s">
        <v>24</v>
      </c>
      <c r="E389" s="4" t="s">
        <v>8</v>
      </c>
      <c r="F389" s="4">
        <v>12</v>
      </c>
      <c r="G389" s="4">
        <v>11662</v>
      </c>
      <c r="H389" s="4">
        <v>12</v>
      </c>
      <c r="I389" s="7">
        <v>46094</v>
      </c>
      <c r="J389" s="7">
        <v>46096</v>
      </c>
      <c r="K389" s="4" t="s">
        <v>79</v>
      </c>
      <c r="L389" s="4" t="str">
        <f t="shared" si="18"/>
        <v>Sne1388</v>
      </c>
      <c r="M389" s="4" t="str">
        <f t="shared" si="19"/>
        <v>Chair</v>
      </c>
      <c r="N389" s="4" t="str">
        <f t="shared" si="20"/>
        <v>C</v>
      </c>
    </row>
    <row r="390" spans="1:14" x14ac:dyDescent="0.3">
      <c r="A390" s="9">
        <v>1389</v>
      </c>
      <c r="B390" s="9" t="s">
        <v>32</v>
      </c>
      <c r="C390" s="4" t="s">
        <v>19</v>
      </c>
      <c r="D390" s="4" t="s">
        <v>34</v>
      </c>
      <c r="E390" s="4" t="s">
        <v>40</v>
      </c>
      <c r="F390" s="4">
        <v>3</v>
      </c>
      <c r="G390" s="4">
        <v>56380</v>
      </c>
      <c r="H390" s="4">
        <v>5</v>
      </c>
      <c r="I390" s="7">
        <v>46044</v>
      </c>
      <c r="J390" s="7">
        <v>46048</v>
      </c>
      <c r="K390" s="4" t="s">
        <v>81</v>
      </c>
      <c r="L390" s="4" t="str">
        <f t="shared" si="18"/>
        <v>Ash1389</v>
      </c>
      <c r="M390" s="4" t="str">
        <f t="shared" si="19"/>
        <v>Heaet</v>
      </c>
      <c r="N390" s="4" t="str">
        <f t="shared" si="20"/>
        <v>Het</v>
      </c>
    </row>
    <row r="391" spans="1:14" x14ac:dyDescent="0.3">
      <c r="A391" s="9">
        <v>1390</v>
      </c>
      <c r="B391" s="9" t="s">
        <v>55</v>
      </c>
      <c r="C391" s="4" t="s">
        <v>42</v>
      </c>
      <c r="D391" s="4" t="s">
        <v>24</v>
      </c>
      <c r="E391" s="4" t="s">
        <v>7</v>
      </c>
      <c r="F391" s="4">
        <v>9</v>
      </c>
      <c r="G391" s="4">
        <v>7670</v>
      </c>
      <c r="H391" s="4">
        <v>0</v>
      </c>
      <c r="I391" s="7">
        <v>46076</v>
      </c>
      <c r="J391" s="7">
        <v>46081</v>
      </c>
      <c r="K391" s="4" t="s">
        <v>81</v>
      </c>
      <c r="L391" s="4" t="str">
        <f t="shared" si="18"/>
        <v>Roh1390</v>
      </c>
      <c r="M391" s="4" t="str">
        <f t="shared" si="19"/>
        <v>Dessk</v>
      </c>
      <c r="N391" s="4" t="str">
        <f t="shared" si="20"/>
        <v>D</v>
      </c>
    </row>
    <row r="392" spans="1:14" x14ac:dyDescent="0.3">
      <c r="A392" s="9">
        <v>1391</v>
      </c>
      <c r="B392" s="9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7">
        <v>46100</v>
      </c>
      <c r="J392" s="7">
        <v>46103</v>
      </c>
      <c r="K392" s="4" t="s">
        <v>80</v>
      </c>
      <c r="L392" s="4" t="str">
        <f t="shared" si="18"/>
        <v>Neh1391</v>
      </c>
      <c r="M392" s="4" t="str">
        <f t="shared" si="19"/>
        <v>Prier</v>
      </c>
      <c r="N392" s="4" t="str">
        <f t="shared" si="20"/>
        <v>Per</v>
      </c>
    </row>
    <row r="393" spans="1:14" x14ac:dyDescent="0.3">
      <c r="A393" s="9">
        <v>1392</v>
      </c>
      <c r="B393" s="9" t="s">
        <v>49</v>
      </c>
      <c r="C393" s="4" t="s">
        <v>42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7">
        <v>46124</v>
      </c>
      <c r="J393" s="7">
        <v>46125</v>
      </c>
      <c r="K393" s="4" t="s">
        <v>49</v>
      </c>
      <c r="L393" s="4" t="str">
        <f t="shared" si="18"/>
        <v>Pri1392</v>
      </c>
      <c r="M393" s="4" t="str">
        <f t="shared" si="19"/>
        <v>Prier</v>
      </c>
      <c r="N393" s="4" t="str">
        <f t="shared" si="20"/>
        <v>Per</v>
      </c>
    </row>
    <row r="394" spans="1:14" x14ac:dyDescent="0.3">
      <c r="A394" s="9">
        <v>1393</v>
      </c>
      <c r="B394" s="9" t="s">
        <v>30</v>
      </c>
      <c r="C394" s="4" t="s">
        <v>27</v>
      </c>
      <c r="D394" s="4" t="s">
        <v>34</v>
      </c>
      <c r="E394" s="4" t="s">
        <v>6</v>
      </c>
      <c r="F394" s="4">
        <v>17</v>
      </c>
      <c r="G394" s="4">
        <v>30351</v>
      </c>
      <c r="H394" s="4">
        <v>15</v>
      </c>
      <c r="I394" s="7">
        <v>46047</v>
      </c>
      <c r="J394" s="7">
        <v>46051</v>
      </c>
      <c r="K394" s="4" t="s">
        <v>81</v>
      </c>
      <c r="L394" s="4" t="str">
        <f t="shared" si="18"/>
        <v>Neh1393</v>
      </c>
      <c r="M394" s="4" t="str">
        <f t="shared" si="19"/>
        <v>Monor</v>
      </c>
      <c r="N394" s="4" t="str">
        <f t="shared" si="20"/>
        <v>Mor</v>
      </c>
    </row>
    <row r="395" spans="1:14" x14ac:dyDescent="0.3">
      <c r="A395" s="9">
        <v>1394</v>
      </c>
      <c r="B395" s="9" t="s">
        <v>52</v>
      </c>
      <c r="C395" s="4" t="s">
        <v>19</v>
      </c>
      <c r="D395" s="4" t="s">
        <v>20</v>
      </c>
      <c r="E395" s="4" t="s">
        <v>21</v>
      </c>
      <c r="F395" s="4">
        <v>10</v>
      </c>
      <c r="G395" s="4">
        <v>138</v>
      </c>
      <c r="H395" s="4">
        <v>2</v>
      </c>
      <c r="I395" s="7">
        <v>46056</v>
      </c>
      <c r="J395" s="7">
        <v>46057</v>
      </c>
      <c r="K395" s="4" t="s">
        <v>78</v>
      </c>
      <c r="L395" s="4" t="str">
        <f t="shared" si="18"/>
        <v>Man1394</v>
      </c>
      <c r="M395" s="4" t="str">
        <f t="shared" si="19"/>
        <v>Notok</v>
      </c>
      <c r="N395" s="4" t="str">
        <f t="shared" si="20"/>
        <v>Nook</v>
      </c>
    </row>
    <row r="396" spans="1:14" x14ac:dyDescent="0.3">
      <c r="A396" s="9">
        <v>1395</v>
      </c>
      <c r="B396" s="9" t="s">
        <v>52</v>
      </c>
      <c r="C396" s="4" t="s">
        <v>33</v>
      </c>
      <c r="D396" s="4" t="s">
        <v>24</v>
      </c>
      <c r="E396" s="4" t="s">
        <v>43</v>
      </c>
      <c r="F396" s="4">
        <v>18</v>
      </c>
      <c r="G396" s="4">
        <v>10402</v>
      </c>
      <c r="H396" s="4">
        <v>15</v>
      </c>
      <c r="I396" s="7">
        <v>46062</v>
      </c>
      <c r="J396" s="7">
        <v>46067</v>
      </c>
      <c r="K396" s="4" t="s">
        <v>49</v>
      </c>
      <c r="L396" s="4" t="str">
        <f t="shared" si="18"/>
        <v>Man1395</v>
      </c>
      <c r="M396" s="4" t="str">
        <f t="shared" si="19"/>
        <v>Boolf</v>
      </c>
      <c r="N396" s="4" t="str">
        <f t="shared" si="20"/>
        <v>Bhelf</v>
      </c>
    </row>
    <row r="397" spans="1:14" x14ac:dyDescent="0.3">
      <c r="A397" s="9">
        <v>1396</v>
      </c>
      <c r="B397" s="9" t="s">
        <v>25</v>
      </c>
      <c r="C397" s="4" t="s">
        <v>38</v>
      </c>
      <c r="D397" s="4" t="s">
        <v>20</v>
      </c>
      <c r="E397" s="4" t="s">
        <v>51</v>
      </c>
      <c r="F397" s="4">
        <v>8</v>
      </c>
      <c r="G397" s="4">
        <v>54</v>
      </c>
      <c r="H397" s="4">
        <v>15</v>
      </c>
      <c r="I397" s="7">
        <v>46031</v>
      </c>
      <c r="J397" s="7">
        <v>46035</v>
      </c>
      <c r="K397" s="4" t="s">
        <v>78</v>
      </c>
      <c r="L397" s="4" t="str">
        <f t="shared" si="18"/>
        <v>Mee1396</v>
      </c>
      <c r="M397" s="4" t="str">
        <f t="shared" si="19"/>
        <v>Diary</v>
      </c>
      <c r="N397" s="4" t="str">
        <f t="shared" si="20"/>
        <v>D</v>
      </c>
    </row>
    <row r="398" spans="1:14" x14ac:dyDescent="0.3">
      <c r="A398" s="9">
        <v>1397</v>
      </c>
      <c r="B398" s="9" t="s">
        <v>25</v>
      </c>
      <c r="C398" s="4" t="s">
        <v>33</v>
      </c>
      <c r="D398" s="4" t="s">
        <v>24</v>
      </c>
      <c r="E398" s="4" t="s">
        <v>10</v>
      </c>
      <c r="F398" s="4">
        <v>1</v>
      </c>
      <c r="G398" s="4">
        <v>8948</v>
      </c>
      <c r="H398" s="4">
        <v>5</v>
      </c>
      <c r="I398" s="7">
        <v>46194</v>
      </c>
      <c r="J398" s="7">
        <v>46201</v>
      </c>
      <c r="K398" s="4" t="s">
        <v>81</v>
      </c>
      <c r="L398" s="4" t="str">
        <f t="shared" si="18"/>
        <v>Mee1397</v>
      </c>
      <c r="M398" s="4" t="str">
        <f t="shared" si="19"/>
        <v>Table</v>
      </c>
      <c r="N398" s="4" t="str">
        <f t="shared" si="20"/>
        <v>T</v>
      </c>
    </row>
    <row r="399" spans="1:14" x14ac:dyDescent="0.3">
      <c r="A399" s="9">
        <v>1398</v>
      </c>
      <c r="B399" s="9" t="s">
        <v>55</v>
      </c>
      <c r="C399" s="4" t="s">
        <v>42</v>
      </c>
      <c r="D399" s="4" t="s">
        <v>34</v>
      </c>
      <c r="E399" s="4" t="s">
        <v>5</v>
      </c>
      <c r="F399" s="4">
        <v>12</v>
      </c>
      <c r="G399" s="4">
        <v>10668</v>
      </c>
      <c r="H399" s="4">
        <v>0</v>
      </c>
      <c r="I399" s="7">
        <v>46170</v>
      </c>
      <c r="J399" s="7">
        <v>46176</v>
      </c>
      <c r="K399" s="4" t="s">
        <v>78</v>
      </c>
      <c r="L399" s="4" t="str">
        <f t="shared" si="18"/>
        <v>Roh1398</v>
      </c>
      <c r="M399" s="4" t="str">
        <f t="shared" si="19"/>
        <v>Keyrd</v>
      </c>
      <c r="N399" s="4" t="str">
        <f t="shared" si="20"/>
        <v>Kard</v>
      </c>
    </row>
    <row r="400" spans="1:14" x14ac:dyDescent="0.3">
      <c r="A400" s="9">
        <v>1399</v>
      </c>
      <c r="B400" s="9" t="s">
        <v>46</v>
      </c>
      <c r="C400" s="4" t="s">
        <v>31</v>
      </c>
      <c r="D400" s="4" t="s">
        <v>20</v>
      </c>
      <c r="E400" s="4" t="s">
        <v>21</v>
      </c>
      <c r="F400" s="4">
        <v>15</v>
      </c>
      <c r="G400" s="4">
        <v>87</v>
      </c>
      <c r="H400" s="4">
        <v>15</v>
      </c>
      <c r="I400" s="7">
        <v>46089</v>
      </c>
      <c r="J400" s="7">
        <v>46093</v>
      </c>
      <c r="K400" s="4" t="s">
        <v>79</v>
      </c>
      <c r="L400" s="4" t="str">
        <f t="shared" si="18"/>
        <v>Nit1399</v>
      </c>
      <c r="M400" s="4" t="str">
        <f t="shared" si="19"/>
        <v>Notok</v>
      </c>
      <c r="N400" s="4" t="str">
        <f t="shared" si="20"/>
        <v>Nook</v>
      </c>
    </row>
    <row r="401" spans="1:14" x14ac:dyDescent="0.3">
      <c r="A401" s="9">
        <v>1400</v>
      </c>
      <c r="B401" s="9" t="s">
        <v>39</v>
      </c>
      <c r="C401" s="4" t="s">
        <v>26</v>
      </c>
      <c r="D401" s="4" t="s">
        <v>34</v>
      </c>
      <c r="E401" s="4" t="s">
        <v>35</v>
      </c>
      <c r="F401" s="4">
        <v>13</v>
      </c>
      <c r="G401" s="4">
        <v>52411</v>
      </c>
      <c r="H401" s="4">
        <v>15</v>
      </c>
      <c r="I401" s="7">
        <v>46090</v>
      </c>
      <c r="J401" s="7">
        <v>46092</v>
      </c>
      <c r="K401" s="4" t="s">
        <v>79</v>
      </c>
      <c r="L401" s="4" t="str">
        <f t="shared" si="18"/>
        <v>Dee1400</v>
      </c>
      <c r="M401" s="4" t="str">
        <f t="shared" si="19"/>
        <v>Prier</v>
      </c>
      <c r="N401" s="4" t="str">
        <f t="shared" si="20"/>
        <v>Per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267D-7767-4F7F-85CD-A177B1CB83B0}">
  <dimension ref="A1:N401"/>
  <sheetViews>
    <sheetView workbookViewId="0">
      <pane ySplit="1" topLeftCell="A2" activePane="bottomLeft" state="frozen"/>
      <selection pane="bottomLeft" sqref="A1:N1"/>
    </sheetView>
  </sheetViews>
  <sheetFormatPr defaultRowHeight="14.4" x14ac:dyDescent="0.3"/>
  <cols>
    <col min="1" max="1" width="8.5546875" bestFit="1" customWidth="1"/>
    <col min="2" max="2" width="9.10937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.33203125" bestFit="1" customWidth="1"/>
    <col min="7" max="7" width="9.6640625" bestFit="1" customWidth="1"/>
    <col min="8" max="8" width="10.77734375" bestFit="1" customWidth="1"/>
    <col min="9" max="9" width="10.6640625" bestFit="1" customWidth="1"/>
    <col min="10" max="10" width="12.6640625" bestFit="1" customWidth="1"/>
    <col min="11" max="11" width="11" bestFit="1" customWidth="1"/>
    <col min="12" max="12" width="15.44140625" bestFit="1" customWidth="1"/>
    <col min="13" max="13" width="13.88671875" bestFit="1" customWidth="1"/>
    <col min="14" max="14" width="14.109375" bestFit="1" customWidth="1"/>
  </cols>
  <sheetData>
    <row r="1" spans="1:14" x14ac:dyDescent="0.3">
      <c r="A1" s="11" t="s">
        <v>0</v>
      </c>
      <c r="B1" s="11" t="s">
        <v>13</v>
      </c>
      <c r="C1" s="10" t="s">
        <v>14</v>
      </c>
      <c r="D1" s="10" t="s">
        <v>15</v>
      </c>
      <c r="E1" s="10" t="s">
        <v>1</v>
      </c>
      <c r="F1" s="10" t="s">
        <v>4</v>
      </c>
      <c r="G1" s="10" t="s">
        <v>16</v>
      </c>
      <c r="H1" s="10" t="s">
        <v>17</v>
      </c>
      <c r="I1" s="10" t="s">
        <v>2</v>
      </c>
      <c r="J1" s="10" t="s">
        <v>3</v>
      </c>
      <c r="K1" s="13" t="s">
        <v>77</v>
      </c>
      <c r="L1" s="6" t="s">
        <v>71</v>
      </c>
      <c r="M1" s="6" t="s">
        <v>72</v>
      </c>
      <c r="N1" s="6" t="s">
        <v>73</v>
      </c>
    </row>
    <row r="2" spans="1:14" x14ac:dyDescent="0.3">
      <c r="A2" s="9">
        <v>1001</v>
      </c>
      <c r="B2" s="9" t="s">
        <v>18</v>
      </c>
      <c r="C2" s="4" t="s">
        <v>19</v>
      </c>
      <c r="D2" s="4" t="s">
        <v>20</v>
      </c>
      <c r="E2" s="4" t="s">
        <v>21</v>
      </c>
      <c r="F2" s="4">
        <v>3</v>
      </c>
      <c r="G2" s="4">
        <v>222</v>
      </c>
      <c r="H2" s="4">
        <v>15</v>
      </c>
      <c r="I2" s="7">
        <v>46081</v>
      </c>
      <c r="J2" s="7">
        <v>46083</v>
      </c>
      <c r="K2" s="4" t="s">
        <v>78</v>
      </c>
      <c r="L2" s="4" t="str">
        <f>UPPER(B2)</f>
        <v>RITESH</v>
      </c>
      <c r="M2" s="4" t="str">
        <f>LOWER(E2)</f>
        <v>notebook</v>
      </c>
      <c r="N2" s="4">
        <f>LEN(E2)</f>
        <v>8</v>
      </c>
    </row>
    <row r="3" spans="1:14" x14ac:dyDescent="0.3">
      <c r="A3" s="9">
        <v>1002</v>
      </c>
      <c r="B3" s="9" t="s">
        <v>22</v>
      </c>
      <c r="C3" s="4" t="s">
        <v>23</v>
      </c>
      <c r="D3" s="4" t="s">
        <v>24</v>
      </c>
      <c r="E3" s="4" t="s">
        <v>7</v>
      </c>
      <c r="F3" s="4">
        <v>7</v>
      </c>
      <c r="G3" s="4">
        <v>8448</v>
      </c>
      <c r="H3" s="4">
        <v>12</v>
      </c>
      <c r="I3" s="7">
        <v>46174</v>
      </c>
      <c r="J3" s="7">
        <v>46179</v>
      </c>
      <c r="K3" s="4" t="s">
        <v>79</v>
      </c>
      <c r="L3" s="4" t="str">
        <f t="shared" ref="L3:L66" si="0">UPPER(B3)</f>
        <v>POOJA</v>
      </c>
      <c r="M3" s="4" t="str">
        <f t="shared" ref="M3:M66" si="1">LOWER(E3)</f>
        <v>desk</v>
      </c>
      <c r="N3" s="4">
        <f t="shared" ref="N3:N66" si="2">LEN(E3)</f>
        <v>4</v>
      </c>
    </row>
    <row r="4" spans="1:14" x14ac:dyDescent="0.3">
      <c r="A4" s="9">
        <v>1003</v>
      </c>
      <c r="B4" s="9" t="s">
        <v>25</v>
      </c>
      <c r="C4" s="4" t="s">
        <v>26</v>
      </c>
      <c r="D4" s="4" t="s">
        <v>24</v>
      </c>
      <c r="E4" s="4" t="s">
        <v>10</v>
      </c>
      <c r="F4" s="4">
        <v>20</v>
      </c>
      <c r="G4" s="4">
        <v>2123</v>
      </c>
      <c r="H4" s="4">
        <v>15</v>
      </c>
      <c r="I4" s="7">
        <v>46183</v>
      </c>
      <c r="J4" s="7">
        <v>46192</v>
      </c>
      <c r="K4" s="4" t="s">
        <v>80</v>
      </c>
      <c r="L4" s="4" t="str">
        <f t="shared" si="0"/>
        <v>MEERA</v>
      </c>
      <c r="M4" s="4" t="str">
        <f t="shared" si="1"/>
        <v>table</v>
      </c>
      <c r="N4" s="4">
        <f t="shared" si="2"/>
        <v>5</v>
      </c>
    </row>
    <row r="5" spans="1:14" x14ac:dyDescent="0.3">
      <c r="A5" s="9">
        <v>1004</v>
      </c>
      <c r="B5" s="9" t="s">
        <v>22</v>
      </c>
      <c r="C5" s="4" t="s">
        <v>27</v>
      </c>
      <c r="D5" s="4" t="s">
        <v>24</v>
      </c>
      <c r="E5" s="4" t="s">
        <v>10</v>
      </c>
      <c r="F5" s="4">
        <v>16</v>
      </c>
      <c r="G5" s="4">
        <v>11739</v>
      </c>
      <c r="H5" s="4">
        <v>12</v>
      </c>
      <c r="I5" s="7">
        <v>46034</v>
      </c>
      <c r="J5" s="7">
        <v>46040</v>
      </c>
      <c r="K5" s="4" t="s">
        <v>79</v>
      </c>
      <c r="L5" s="4" t="str">
        <f t="shared" si="0"/>
        <v>POOJA</v>
      </c>
      <c r="M5" s="4" t="str">
        <f t="shared" si="1"/>
        <v>table</v>
      </c>
      <c r="N5" s="4">
        <f t="shared" si="2"/>
        <v>5</v>
      </c>
    </row>
    <row r="6" spans="1:14" x14ac:dyDescent="0.3">
      <c r="A6" s="9">
        <v>1005</v>
      </c>
      <c r="B6" s="9" t="s">
        <v>28</v>
      </c>
      <c r="C6" s="4" t="s">
        <v>23</v>
      </c>
      <c r="D6" s="4" t="s">
        <v>20</v>
      </c>
      <c r="E6" s="4" t="s">
        <v>21</v>
      </c>
      <c r="F6" s="4">
        <v>18</v>
      </c>
      <c r="G6" s="4">
        <v>70</v>
      </c>
      <c r="H6" s="4">
        <v>0</v>
      </c>
      <c r="I6" s="7">
        <v>46171</v>
      </c>
      <c r="J6" s="7">
        <v>46179</v>
      </c>
      <c r="K6" s="4" t="s">
        <v>80</v>
      </c>
      <c r="L6" s="4" t="str">
        <f t="shared" si="0"/>
        <v>VIKRAM</v>
      </c>
      <c r="M6" s="4" t="str">
        <f t="shared" si="1"/>
        <v>notebook</v>
      </c>
      <c r="N6" s="4">
        <f t="shared" si="2"/>
        <v>8</v>
      </c>
    </row>
    <row r="7" spans="1:14" x14ac:dyDescent="0.3">
      <c r="A7" s="9">
        <v>1006</v>
      </c>
      <c r="B7" s="9" t="s">
        <v>29</v>
      </c>
      <c r="C7" s="4" t="s">
        <v>27</v>
      </c>
      <c r="D7" s="4" t="s">
        <v>24</v>
      </c>
      <c r="E7" s="4" t="s">
        <v>8</v>
      </c>
      <c r="F7" s="4">
        <v>3</v>
      </c>
      <c r="G7" s="4">
        <v>2714</v>
      </c>
      <c r="H7" s="4">
        <v>5</v>
      </c>
      <c r="I7" s="7">
        <v>46055</v>
      </c>
      <c r="J7" s="7">
        <v>46062</v>
      </c>
      <c r="K7" s="4" t="s">
        <v>49</v>
      </c>
      <c r="L7" s="4" t="str">
        <f t="shared" si="0"/>
        <v>ARJUN</v>
      </c>
      <c r="M7" s="4" t="str">
        <f t="shared" si="1"/>
        <v>chair</v>
      </c>
      <c r="N7" s="4">
        <f t="shared" si="2"/>
        <v>5</v>
      </c>
    </row>
    <row r="8" spans="1:14" x14ac:dyDescent="0.3">
      <c r="A8" s="9">
        <v>1007</v>
      </c>
      <c r="B8" s="9" t="s">
        <v>25</v>
      </c>
      <c r="C8" s="4" t="s">
        <v>26</v>
      </c>
      <c r="D8" s="4" t="s">
        <v>20</v>
      </c>
      <c r="E8" s="4" t="s">
        <v>21</v>
      </c>
      <c r="F8" s="4">
        <v>19</v>
      </c>
      <c r="G8" s="4">
        <v>149</v>
      </c>
      <c r="H8" s="4">
        <v>7</v>
      </c>
      <c r="I8" s="7">
        <v>46162</v>
      </c>
      <c r="J8" s="7">
        <v>46168</v>
      </c>
      <c r="K8" s="4" t="s">
        <v>80</v>
      </c>
      <c r="L8" s="4" t="str">
        <f t="shared" si="0"/>
        <v>MEERA</v>
      </c>
      <c r="M8" s="4" t="str">
        <f t="shared" si="1"/>
        <v>notebook</v>
      </c>
      <c r="N8" s="4">
        <f t="shared" si="2"/>
        <v>8</v>
      </c>
    </row>
    <row r="9" spans="1:14" x14ac:dyDescent="0.3">
      <c r="A9" s="9">
        <v>1008</v>
      </c>
      <c r="B9" s="9" t="s">
        <v>30</v>
      </c>
      <c r="C9" s="4" t="s">
        <v>31</v>
      </c>
      <c r="D9" s="4" t="s">
        <v>24</v>
      </c>
      <c r="E9" s="4" t="s">
        <v>8</v>
      </c>
      <c r="F9" s="4">
        <v>1</v>
      </c>
      <c r="G9" s="4">
        <v>1134</v>
      </c>
      <c r="H9" s="4">
        <v>0</v>
      </c>
      <c r="I9" s="7">
        <v>46033</v>
      </c>
      <c r="J9" s="7">
        <v>46041</v>
      </c>
      <c r="K9" s="4" t="s">
        <v>80</v>
      </c>
      <c r="L9" s="4" t="str">
        <f t="shared" si="0"/>
        <v>NEHA</v>
      </c>
      <c r="M9" s="4" t="str">
        <f t="shared" si="1"/>
        <v>chair</v>
      </c>
      <c r="N9" s="4">
        <f t="shared" si="2"/>
        <v>5</v>
      </c>
    </row>
    <row r="10" spans="1:14" x14ac:dyDescent="0.3">
      <c r="A10" s="9">
        <v>1009</v>
      </c>
      <c r="B10" s="9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7">
        <v>46183</v>
      </c>
      <c r="J10" s="7">
        <v>46193</v>
      </c>
      <c r="K10" s="4" t="s">
        <v>80</v>
      </c>
      <c r="L10" s="4" t="str">
        <f t="shared" si="0"/>
        <v>ASHA</v>
      </c>
      <c r="M10" s="4" t="str">
        <f t="shared" si="1"/>
        <v>printer</v>
      </c>
      <c r="N10" s="4">
        <f t="shared" si="2"/>
        <v>7</v>
      </c>
    </row>
    <row r="11" spans="1:14" x14ac:dyDescent="0.3">
      <c r="A11" s="9">
        <v>1010</v>
      </c>
      <c r="B11" s="9" t="s">
        <v>18</v>
      </c>
      <c r="C11" s="4" t="s">
        <v>23</v>
      </c>
      <c r="D11" s="4" t="s">
        <v>20</v>
      </c>
      <c r="E11" s="4" t="s">
        <v>36</v>
      </c>
      <c r="F11" s="4">
        <v>14</v>
      </c>
      <c r="G11" s="4">
        <v>470</v>
      </c>
      <c r="H11" s="4">
        <v>5</v>
      </c>
      <c r="I11" s="7">
        <v>46062</v>
      </c>
      <c r="J11" s="7">
        <v>46068</v>
      </c>
      <c r="K11" s="4" t="s">
        <v>78</v>
      </c>
      <c r="L11" s="4" t="str">
        <f t="shared" si="0"/>
        <v>RITESH</v>
      </c>
      <c r="M11" s="4" t="str">
        <f t="shared" si="1"/>
        <v>stapler</v>
      </c>
      <c r="N11" s="4">
        <f t="shared" si="2"/>
        <v>7</v>
      </c>
    </row>
    <row r="12" spans="1:14" x14ac:dyDescent="0.3">
      <c r="A12" s="9">
        <v>1011</v>
      </c>
      <c r="B12" s="9" t="s">
        <v>18</v>
      </c>
      <c r="C12" s="4" t="s">
        <v>23</v>
      </c>
      <c r="D12" s="4" t="s">
        <v>20</v>
      </c>
      <c r="E12" s="4" t="s">
        <v>37</v>
      </c>
      <c r="F12" s="4">
        <v>14</v>
      </c>
      <c r="G12" s="4">
        <v>88</v>
      </c>
      <c r="H12" s="4">
        <v>12</v>
      </c>
      <c r="I12" s="7">
        <v>46161</v>
      </c>
      <c r="J12" s="7">
        <v>46163</v>
      </c>
      <c r="K12" s="4" t="s">
        <v>78</v>
      </c>
      <c r="L12" s="4" t="str">
        <f t="shared" si="0"/>
        <v>RITESH</v>
      </c>
      <c r="M12" s="4" t="str">
        <f t="shared" si="1"/>
        <v>pen pack</v>
      </c>
      <c r="N12" s="4">
        <f t="shared" si="2"/>
        <v>8</v>
      </c>
    </row>
    <row r="13" spans="1:14" x14ac:dyDescent="0.3">
      <c r="A13" s="9">
        <v>1012</v>
      </c>
      <c r="B13" s="9" t="s">
        <v>28</v>
      </c>
      <c r="C13" s="4" t="s">
        <v>38</v>
      </c>
      <c r="D13" s="4" t="s">
        <v>34</v>
      </c>
      <c r="E13" s="4" t="s">
        <v>5</v>
      </c>
      <c r="F13" s="4">
        <v>3</v>
      </c>
      <c r="G13" s="4">
        <v>64615</v>
      </c>
      <c r="H13" s="4">
        <v>10</v>
      </c>
      <c r="I13" s="7">
        <v>46086</v>
      </c>
      <c r="J13" s="7">
        <v>46095</v>
      </c>
      <c r="K13" s="4" t="s">
        <v>49</v>
      </c>
      <c r="L13" s="4" t="str">
        <f t="shared" si="0"/>
        <v>VIKRAM</v>
      </c>
      <c r="M13" s="4" t="str">
        <f t="shared" si="1"/>
        <v>keyboard</v>
      </c>
      <c r="N13" s="4">
        <f t="shared" si="2"/>
        <v>8</v>
      </c>
    </row>
    <row r="14" spans="1:14" x14ac:dyDescent="0.3">
      <c r="A14" s="9">
        <v>1013</v>
      </c>
      <c r="B14" s="9" t="s">
        <v>22</v>
      </c>
      <c r="C14" s="4" t="s">
        <v>31</v>
      </c>
      <c r="D14" s="4" t="s">
        <v>20</v>
      </c>
      <c r="E14" s="4" t="s">
        <v>36</v>
      </c>
      <c r="F14" s="4">
        <v>17</v>
      </c>
      <c r="G14" s="4">
        <v>459</v>
      </c>
      <c r="H14" s="4">
        <v>12</v>
      </c>
      <c r="I14" s="7">
        <v>46095</v>
      </c>
      <c r="J14" s="7">
        <v>46105</v>
      </c>
      <c r="K14" s="4" t="s">
        <v>49</v>
      </c>
      <c r="L14" s="4" t="str">
        <f t="shared" si="0"/>
        <v>POOJA</v>
      </c>
      <c r="M14" s="4" t="str">
        <f t="shared" si="1"/>
        <v>stapler</v>
      </c>
      <c r="N14" s="4">
        <f t="shared" si="2"/>
        <v>7</v>
      </c>
    </row>
    <row r="15" spans="1:14" x14ac:dyDescent="0.3">
      <c r="A15" s="9">
        <v>1014</v>
      </c>
      <c r="B15" s="9" t="s">
        <v>39</v>
      </c>
      <c r="C15" s="4" t="s">
        <v>23</v>
      </c>
      <c r="D15" s="4" t="s">
        <v>34</v>
      </c>
      <c r="E15" s="4" t="s">
        <v>40</v>
      </c>
      <c r="F15" s="4">
        <v>19</v>
      </c>
      <c r="G15" s="4">
        <v>53683</v>
      </c>
      <c r="H15" s="4">
        <v>12</v>
      </c>
      <c r="I15" s="7">
        <v>46129</v>
      </c>
      <c r="J15" s="7">
        <v>46134</v>
      </c>
      <c r="K15" s="4" t="s">
        <v>49</v>
      </c>
      <c r="L15" s="4" t="str">
        <f t="shared" si="0"/>
        <v>DEEPAK</v>
      </c>
      <c r="M15" s="4" t="str">
        <f t="shared" si="1"/>
        <v>headset</v>
      </c>
      <c r="N15" s="4">
        <f t="shared" si="2"/>
        <v>7</v>
      </c>
    </row>
    <row r="16" spans="1:14" x14ac:dyDescent="0.3">
      <c r="A16" s="9">
        <v>1015</v>
      </c>
      <c r="B16" s="9" t="s">
        <v>41</v>
      </c>
      <c r="C16" s="4" t="s">
        <v>42</v>
      </c>
      <c r="D16" s="4" t="s">
        <v>24</v>
      </c>
      <c r="E16" s="4" t="s">
        <v>43</v>
      </c>
      <c r="F16" s="4">
        <v>11</v>
      </c>
      <c r="G16" s="4">
        <v>14511</v>
      </c>
      <c r="H16" s="4">
        <v>2</v>
      </c>
      <c r="I16" s="7">
        <v>46175</v>
      </c>
      <c r="J16" s="7">
        <v>46185</v>
      </c>
      <c r="K16" s="4" t="s">
        <v>79</v>
      </c>
      <c r="L16" s="4" t="str">
        <f t="shared" si="0"/>
        <v>NISHA</v>
      </c>
      <c r="M16" s="4" t="str">
        <f t="shared" si="1"/>
        <v>bookshelf</v>
      </c>
      <c r="N16" s="4">
        <f t="shared" si="2"/>
        <v>9</v>
      </c>
    </row>
    <row r="17" spans="1:14" x14ac:dyDescent="0.3">
      <c r="A17" s="9">
        <v>1016</v>
      </c>
      <c r="B17" s="9" t="s">
        <v>32</v>
      </c>
      <c r="C17" s="4" t="s">
        <v>33</v>
      </c>
      <c r="D17" s="4" t="s">
        <v>34</v>
      </c>
      <c r="E17" s="4" t="s">
        <v>6</v>
      </c>
      <c r="F17" s="4">
        <v>16</v>
      </c>
      <c r="G17" s="4">
        <v>30234</v>
      </c>
      <c r="H17" s="4">
        <v>15</v>
      </c>
      <c r="I17" s="7">
        <v>46137</v>
      </c>
      <c r="J17" s="7">
        <v>46140</v>
      </c>
      <c r="K17" s="4" t="s">
        <v>80</v>
      </c>
      <c r="L17" s="4" t="str">
        <f t="shared" si="0"/>
        <v>ASHA</v>
      </c>
      <c r="M17" s="4" t="str">
        <f t="shared" si="1"/>
        <v>monitor</v>
      </c>
      <c r="N17" s="4">
        <f t="shared" si="2"/>
        <v>7</v>
      </c>
    </row>
    <row r="18" spans="1:14" x14ac:dyDescent="0.3">
      <c r="A18" s="9">
        <v>1017</v>
      </c>
      <c r="B18" s="9" t="s">
        <v>44</v>
      </c>
      <c r="C18" s="4" t="s">
        <v>38</v>
      </c>
      <c r="D18" s="4" t="s">
        <v>20</v>
      </c>
      <c r="E18" s="4" t="s">
        <v>36</v>
      </c>
      <c r="F18" s="4">
        <v>8</v>
      </c>
      <c r="G18" s="4">
        <v>179</v>
      </c>
      <c r="H18" s="4">
        <v>15</v>
      </c>
      <c r="I18" s="7">
        <v>46082</v>
      </c>
      <c r="J18" s="7">
        <v>46084</v>
      </c>
      <c r="K18" s="4" t="s">
        <v>78</v>
      </c>
      <c r="L18" s="4" t="str">
        <f t="shared" si="0"/>
        <v>KIRAN</v>
      </c>
      <c r="M18" s="4" t="str">
        <f t="shared" si="1"/>
        <v>stapler</v>
      </c>
      <c r="N18" s="4">
        <f t="shared" si="2"/>
        <v>7</v>
      </c>
    </row>
    <row r="19" spans="1:14" x14ac:dyDescent="0.3">
      <c r="A19" s="9">
        <v>1018</v>
      </c>
      <c r="B19" s="9" t="s">
        <v>45</v>
      </c>
      <c r="C19" s="4" t="s">
        <v>27</v>
      </c>
      <c r="D19" s="4" t="s">
        <v>20</v>
      </c>
      <c r="E19" s="4" t="s">
        <v>21</v>
      </c>
      <c r="F19" s="4">
        <v>20</v>
      </c>
      <c r="G19" s="4">
        <v>301</v>
      </c>
      <c r="H19" s="4">
        <v>0</v>
      </c>
      <c r="I19" s="7">
        <v>46089</v>
      </c>
      <c r="J19" s="7">
        <v>46094</v>
      </c>
      <c r="K19" s="4" t="s">
        <v>49</v>
      </c>
      <c r="L19" s="4" t="str">
        <f t="shared" si="0"/>
        <v>YASH</v>
      </c>
      <c r="M19" s="4" t="str">
        <f t="shared" si="1"/>
        <v>notebook</v>
      </c>
      <c r="N19" s="4">
        <f t="shared" si="2"/>
        <v>8</v>
      </c>
    </row>
    <row r="20" spans="1:14" x14ac:dyDescent="0.3">
      <c r="A20" s="9">
        <v>1019</v>
      </c>
      <c r="B20" s="9" t="s">
        <v>18</v>
      </c>
      <c r="C20" s="4" t="s">
        <v>42</v>
      </c>
      <c r="D20" s="4" t="s">
        <v>34</v>
      </c>
      <c r="E20" s="4" t="s">
        <v>40</v>
      </c>
      <c r="F20" s="4">
        <v>18</v>
      </c>
      <c r="G20" s="4">
        <v>45652</v>
      </c>
      <c r="H20" s="4">
        <v>10</v>
      </c>
      <c r="I20" s="7">
        <v>46023</v>
      </c>
      <c r="J20" s="7">
        <v>46030</v>
      </c>
      <c r="K20" s="4" t="s">
        <v>79</v>
      </c>
      <c r="L20" s="4" t="str">
        <f t="shared" si="0"/>
        <v>RITESH</v>
      </c>
      <c r="M20" s="4" t="str">
        <f t="shared" si="1"/>
        <v>headset</v>
      </c>
      <c r="N20" s="4">
        <f t="shared" si="2"/>
        <v>7</v>
      </c>
    </row>
    <row r="21" spans="1:14" x14ac:dyDescent="0.3">
      <c r="A21" s="9">
        <v>1020</v>
      </c>
      <c r="B21" s="9" t="s">
        <v>44</v>
      </c>
      <c r="C21" s="4" t="s">
        <v>19</v>
      </c>
      <c r="D21" s="4" t="s">
        <v>24</v>
      </c>
      <c r="E21" s="4" t="s">
        <v>7</v>
      </c>
      <c r="F21" s="4">
        <v>5</v>
      </c>
      <c r="G21" s="4">
        <v>4582</v>
      </c>
      <c r="H21" s="4">
        <v>5</v>
      </c>
      <c r="I21" s="7">
        <v>46078</v>
      </c>
      <c r="J21" s="7">
        <v>46083</v>
      </c>
      <c r="K21" s="4" t="s">
        <v>78</v>
      </c>
      <c r="L21" s="4" t="str">
        <f t="shared" si="0"/>
        <v>KIRAN</v>
      </c>
      <c r="M21" s="4" t="str">
        <f t="shared" si="1"/>
        <v>desk</v>
      </c>
      <c r="N21" s="4">
        <f t="shared" si="2"/>
        <v>4</v>
      </c>
    </row>
    <row r="22" spans="1:14" x14ac:dyDescent="0.3">
      <c r="A22" s="9">
        <v>1021</v>
      </c>
      <c r="B22" s="9" t="s">
        <v>46</v>
      </c>
      <c r="C22" s="4" t="s">
        <v>42</v>
      </c>
      <c r="D22" s="4" t="s">
        <v>20</v>
      </c>
      <c r="E22" s="4" t="s">
        <v>21</v>
      </c>
      <c r="F22" s="4">
        <v>3</v>
      </c>
      <c r="G22" s="4">
        <v>484</v>
      </c>
      <c r="H22" s="4">
        <v>2</v>
      </c>
      <c r="I22" s="7">
        <v>46144</v>
      </c>
      <c r="J22" s="7">
        <v>46148</v>
      </c>
      <c r="K22" s="4" t="s">
        <v>80</v>
      </c>
      <c r="L22" s="4" t="str">
        <f t="shared" si="0"/>
        <v>NITIN</v>
      </c>
      <c r="M22" s="4" t="str">
        <f t="shared" si="1"/>
        <v>notebook</v>
      </c>
      <c r="N22" s="4">
        <f t="shared" si="2"/>
        <v>8</v>
      </c>
    </row>
    <row r="23" spans="1:14" x14ac:dyDescent="0.3">
      <c r="A23" s="9">
        <v>1022</v>
      </c>
      <c r="B23" s="9" t="s">
        <v>28</v>
      </c>
      <c r="C23" s="4" t="s">
        <v>23</v>
      </c>
      <c r="D23" s="4" t="s">
        <v>34</v>
      </c>
      <c r="E23" s="4" t="s">
        <v>6</v>
      </c>
      <c r="F23" s="4">
        <v>15</v>
      </c>
      <c r="G23" s="4">
        <v>11596</v>
      </c>
      <c r="H23" s="4">
        <v>0</v>
      </c>
      <c r="I23" s="7">
        <v>46117</v>
      </c>
      <c r="J23" s="7">
        <v>46121</v>
      </c>
      <c r="K23" s="4" t="s">
        <v>49</v>
      </c>
      <c r="L23" s="4" t="str">
        <f t="shared" si="0"/>
        <v>VIKRAM</v>
      </c>
      <c r="M23" s="4" t="str">
        <f t="shared" si="1"/>
        <v>monitor</v>
      </c>
      <c r="N23" s="4">
        <f t="shared" si="2"/>
        <v>7</v>
      </c>
    </row>
    <row r="24" spans="1:14" x14ac:dyDescent="0.3">
      <c r="A24" s="9">
        <v>1023</v>
      </c>
      <c r="B24" s="9" t="s">
        <v>39</v>
      </c>
      <c r="C24" s="4" t="s">
        <v>19</v>
      </c>
      <c r="D24" s="4" t="s">
        <v>24</v>
      </c>
      <c r="E24" s="4" t="s">
        <v>43</v>
      </c>
      <c r="F24" s="4">
        <v>15</v>
      </c>
      <c r="G24" s="4">
        <v>3506</v>
      </c>
      <c r="H24" s="4">
        <v>2</v>
      </c>
      <c r="I24" s="7">
        <v>46193</v>
      </c>
      <c r="J24" s="7">
        <v>46194</v>
      </c>
      <c r="K24" s="4" t="s">
        <v>49</v>
      </c>
      <c r="L24" s="4" t="str">
        <f t="shared" si="0"/>
        <v>DEEPAK</v>
      </c>
      <c r="M24" s="4" t="str">
        <f t="shared" si="1"/>
        <v>bookshelf</v>
      </c>
      <c r="N24" s="4">
        <f t="shared" si="2"/>
        <v>9</v>
      </c>
    </row>
    <row r="25" spans="1:14" x14ac:dyDescent="0.3">
      <c r="A25" s="9">
        <v>1024</v>
      </c>
      <c r="B25" s="9" t="s">
        <v>32</v>
      </c>
      <c r="C25" s="4" t="s">
        <v>38</v>
      </c>
      <c r="D25" s="4" t="s">
        <v>34</v>
      </c>
      <c r="E25" s="4" t="s">
        <v>40</v>
      </c>
      <c r="F25" s="4">
        <v>12</v>
      </c>
      <c r="G25" s="4">
        <v>1682</v>
      </c>
      <c r="H25" s="4">
        <v>5</v>
      </c>
      <c r="I25" s="7">
        <v>46161</v>
      </c>
      <c r="J25" s="7">
        <v>46165</v>
      </c>
      <c r="K25" s="4" t="s">
        <v>78</v>
      </c>
      <c r="L25" s="4" t="str">
        <f t="shared" si="0"/>
        <v>ASHA</v>
      </c>
      <c r="M25" s="4" t="str">
        <f t="shared" si="1"/>
        <v>headset</v>
      </c>
      <c r="N25" s="4">
        <f t="shared" si="2"/>
        <v>7</v>
      </c>
    </row>
    <row r="26" spans="1:14" x14ac:dyDescent="0.3">
      <c r="A26" s="9">
        <v>1025</v>
      </c>
      <c r="B26" s="9" t="s">
        <v>25</v>
      </c>
      <c r="C26" s="4" t="s">
        <v>19</v>
      </c>
      <c r="D26" s="4" t="s">
        <v>24</v>
      </c>
      <c r="E26" s="4" t="s">
        <v>7</v>
      </c>
      <c r="F26" s="4">
        <v>18</v>
      </c>
      <c r="G26" s="4">
        <v>7924</v>
      </c>
      <c r="H26" s="4">
        <v>0</v>
      </c>
      <c r="I26" s="7">
        <v>46175</v>
      </c>
      <c r="J26" s="7">
        <v>46181</v>
      </c>
      <c r="K26" s="4" t="s">
        <v>78</v>
      </c>
      <c r="L26" s="4" t="str">
        <f t="shared" si="0"/>
        <v>MEERA</v>
      </c>
      <c r="M26" s="4" t="str">
        <f t="shared" si="1"/>
        <v>desk</v>
      </c>
      <c r="N26" s="4">
        <f t="shared" si="2"/>
        <v>4</v>
      </c>
    </row>
    <row r="27" spans="1:14" x14ac:dyDescent="0.3">
      <c r="A27" s="9">
        <v>1026</v>
      </c>
      <c r="B27" s="9" t="s">
        <v>47</v>
      </c>
      <c r="C27" s="4" t="s">
        <v>31</v>
      </c>
      <c r="D27" s="4" t="s">
        <v>20</v>
      </c>
      <c r="E27" s="4" t="s">
        <v>48</v>
      </c>
      <c r="F27" s="4">
        <v>17</v>
      </c>
      <c r="G27" s="4">
        <v>323</v>
      </c>
      <c r="H27" s="4">
        <v>10</v>
      </c>
      <c r="I27" s="7">
        <v>46039</v>
      </c>
      <c r="J27" s="7">
        <v>46040</v>
      </c>
      <c r="K27" s="4" t="s">
        <v>49</v>
      </c>
      <c r="L27" s="4" t="str">
        <f t="shared" si="0"/>
        <v>AJAY</v>
      </c>
      <c r="M27" s="4" t="str">
        <f t="shared" si="1"/>
        <v>marker</v>
      </c>
      <c r="N27" s="4">
        <f t="shared" si="2"/>
        <v>6</v>
      </c>
    </row>
    <row r="28" spans="1:14" x14ac:dyDescent="0.3">
      <c r="A28" s="9">
        <v>1027</v>
      </c>
      <c r="B28" s="9" t="s">
        <v>49</v>
      </c>
      <c r="C28" s="4" t="s">
        <v>42</v>
      </c>
      <c r="D28" s="4" t="s">
        <v>20</v>
      </c>
      <c r="E28" s="4" t="s">
        <v>48</v>
      </c>
      <c r="F28" s="4">
        <v>4</v>
      </c>
      <c r="G28" s="4">
        <v>264</v>
      </c>
      <c r="H28" s="4">
        <v>0</v>
      </c>
      <c r="I28" s="7">
        <v>46155</v>
      </c>
      <c r="J28" s="7">
        <v>46161</v>
      </c>
      <c r="K28" s="4" t="s">
        <v>81</v>
      </c>
      <c r="L28" s="4" t="str">
        <f t="shared" si="0"/>
        <v>PRIYA</v>
      </c>
      <c r="M28" s="4" t="str">
        <f t="shared" si="1"/>
        <v>marker</v>
      </c>
      <c r="N28" s="4">
        <f t="shared" si="2"/>
        <v>6</v>
      </c>
    </row>
    <row r="29" spans="1:14" x14ac:dyDescent="0.3">
      <c r="A29" s="9">
        <v>1028</v>
      </c>
      <c r="B29" s="9" t="s">
        <v>45</v>
      </c>
      <c r="C29" s="4" t="s">
        <v>26</v>
      </c>
      <c r="D29" s="4" t="s">
        <v>20</v>
      </c>
      <c r="E29" s="4" t="s">
        <v>36</v>
      </c>
      <c r="F29" s="4">
        <v>13</v>
      </c>
      <c r="G29" s="4">
        <v>433</v>
      </c>
      <c r="H29" s="4">
        <v>2</v>
      </c>
      <c r="I29" s="7">
        <v>46116</v>
      </c>
      <c r="J29" s="7">
        <v>46121</v>
      </c>
      <c r="K29" s="4" t="s">
        <v>80</v>
      </c>
      <c r="L29" s="4" t="str">
        <f t="shared" si="0"/>
        <v>YASH</v>
      </c>
      <c r="M29" s="4" t="str">
        <f t="shared" si="1"/>
        <v>stapler</v>
      </c>
      <c r="N29" s="4">
        <f t="shared" si="2"/>
        <v>7</v>
      </c>
    </row>
    <row r="30" spans="1:14" x14ac:dyDescent="0.3">
      <c r="A30" s="9">
        <v>1029</v>
      </c>
      <c r="B30" s="9" t="s">
        <v>30</v>
      </c>
      <c r="C30" s="4" t="s">
        <v>27</v>
      </c>
      <c r="D30" s="4" t="s">
        <v>20</v>
      </c>
      <c r="E30" s="4" t="s">
        <v>36</v>
      </c>
      <c r="F30" s="4">
        <v>18</v>
      </c>
      <c r="G30" s="4">
        <v>443</v>
      </c>
      <c r="H30" s="4">
        <v>5</v>
      </c>
      <c r="I30" s="7">
        <v>46046</v>
      </c>
      <c r="J30" s="7">
        <v>46054</v>
      </c>
      <c r="K30" s="4" t="s">
        <v>80</v>
      </c>
      <c r="L30" s="4" t="str">
        <f t="shared" si="0"/>
        <v>NEHA</v>
      </c>
      <c r="M30" s="4" t="str">
        <f t="shared" si="1"/>
        <v>stapler</v>
      </c>
      <c r="N30" s="4">
        <f t="shared" si="2"/>
        <v>7</v>
      </c>
    </row>
    <row r="31" spans="1:14" x14ac:dyDescent="0.3">
      <c r="A31" s="9">
        <v>1030</v>
      </c>
      <c r="B31" s="9" t="s">
        <v>50</v>
      </c>
      <c r="C31" s="4" t="s">
        <v>19</v>
      </c>
      <c r="D31" s="4" t="s">
        <v>20</v>
      </c>
      <c r="E31" s="4" t="s">
        <v>51</v>
      </c>
      <c r="F31" s="4">
        <v>13</v>
      </c>
      <c r="G31" s="4">
        <v>336</v>
      </c>
      <c r="H31" s="4">
        <v>10</v>
      </c>
      <c r="I31" s="7">
        <v>46098</v>
      </c>
      <c r="J31" s="7">
        <v>46108</v>
      </c>
      <c r="K31" s="4" t="s">
        <v>78</v>
      </c>
      <c r="L31" s="4" t="str">
        <f t="shared" si="0"/>
        <v>KOMAL</v>
      </c>
      <c r="M31" s="4" t="str">
        <f t="shared" si="1"/>
        <v>diary</v>
      </c>
      <c r="N31" s="4">
        <f t="shared" si="2"/>
        <v>5</v>
      </c>
    </row>
    <row r="32" spans="1:14" x14ac:dyDescent="0.3">
      <c r="A32" s="9">
        <v>1031</v>
      </c>
      <c r="B32" s="9" t="s">
        <v>52</v>
      </c>
      <c r="C32" s="4" t="s">
        <v>31</v>
      </c>
      <c r="D32" s="4" t="s">
        <v>20</v>
      </c>
      <c r="E32" s="4" t="s">
        <v>51</v>
      </c>
      <c r="F32" s="4">
        <v>2</v>
      </c>
      <c r="G32" s="4">
        <v>184</v>
      </c>
      <c r="H32" s="4">
        <v>5</v>
      </c>
      <c r="I32" s="7">
        <v>46089</v>
      </c>
      <c r="J32" s="7">
        <v>46093</v>
      </c>
      <c r="K32" s="4" t="s">
        <v>79</v>
      </c>
      <c r="L32" s="4" t="str">
        <f t="shared" si="0"/>
        <v>MANOJ</v>
      </c>
      <c r="M32" s="4" t="str">
        <f t="shared" si="1"/>
        <v>diary</v>
      </c>
      <c r="N32" s="4">
        <f t="shared" si="2"/>
        <v>5</v>
      </c>
    </row>
    <row r="33" spans="1:14" x14ac:dyDescent="0.3">
      <c r="A33" s="9">
        <v>1032</v>
      </c>
      <c r="B33" s="9" t="s">
        <v>52</v>
      </c>
      <c r="C33" s="4" t="s">
        <v>42</v>
      </c>
      <c r="D33" s="4" t="s">
        <v>34</v>
      </c>
      <c r="E33" s="4" t="s">
        <v>5</v>
      </c>
      <c r="F33" s="4">
        <v>20</v>
      </c>
      <c r="G33" s="4">
        <v>11305</v>
      </c>
      <c r="H33" s="4">
        <v>2</v>
      </c>
      <c r="I33" s="7">
        <v>46163</v>
      </c>
      <c r="J33" s="7">
        <v>46165</v>
      </c>
      <c r="K33" s="4" t="s">
        <v>49</v>
      </c>
      <c r="L33" s="4" t="str">
        <f t="shared" si="0"/>
        <v>MANOJ</v>
      </c>
      <c r="M33" s="4" t="str">
        <f t="shared" si="1"/>
        <v>keyboard</v>
      </c>
      <c r="N33" s="4">
        <f t="shared" si="2"/>
        <v>8</v>
      </c>
    </row>
    <row r="34" spans="1:14" x14ac:dyDescent="0.3">
      <c r="A34" s="9">
        <v>1033</v>
      </c>
      <c r="B34" s="9" t="s">
        <v>18</v>
      </c>
      <c r="C34" s="4" t="s">
        <v>42</v>
      </c>
      <c r="D34" s="4" t="s">
        <v>24</v>
      </c>
      <c r="E34" s="4" t="s">
        <v>7</v>
      </c>
      <c r="F34" s="4">
        <v>9</v>
      </c>
      <c r="G34" s="4">
        <v>4895</v>
      </c>
      <c r="H34" s="4">
        <v>2</v>
      </c>
      <c r="I34" s="7">
        <v>46082</v>
      </c>
      <c r="J34" s="7">
        <v>46084</v>
      </c>
      <c r="K34" s="4" t="s">
        <v>49</v>
      </c>
      <c r="L34" s="4" t="str">
        <f t="shared" si="0"/>
        <v>RITESH</v>
      </c>
      <c r="M34" s="4" t="str">
        <f t="shared" si="1"/>
        <v>desk</v>
      </c>
      <c r="N34" s="4">
        <f t="shared" si="2"/>
        <v>4</v>
      </c>
    </row>
    <row r="35" spans="1:14" x14ac:dyDescent="0.3">
      <c r="A35" s="9">
        <v>1034</v>
      </c>
      <c r="B35" s="9" t="s">
        <v>53</v>
      </c>
      <c r="C35" s="4" t="s">
        <v>33</v>
      </c>
      <c r="D35" s="4" t="s">
        <v>24</v>
      </c>
      <c r="E35" s="4" t="s">
        <v>8</v>
      </c>
      <c r="F35" s="4">
        <v>17</v>
      </c>
      <c r="G35" s="4">
        <v>5104</v>
      </c>
      <c r="H35" s="4">
        <v>12</v>
      </c>
      <c r="I35" s="7">
        <v>46052</v>
      </c>
      <c r="J35" s="7">
        <v>46061</v>
      </c>
      <c r="K35" s="4" t="s">
        <v>81</v>
      </c>
      <c r="L35" s="4" t="str">
        <f t="shared" si="0"/>
        <v>SNEHA</v>
      </c>
      <c r="M35" s="4" t="str">
        <f t="shared" si="1"/>
        <v>chair</v>
      </c>
      <c r="N35" s="4">
        <f t="shared" si="2"/>
        <v>5</v>
      </c>
    </row>
    <row r="36" spans="1:14" x14ac:dyDescent="0.3">
      <c r="A36" s="9">
        <v>1035</v>
      </c>
      <c r="B36" s="9" t="s">
        <v>47</v>
      </c>
      <c r="C36" s="4" t="s">
        <v>42</v>
      </c>
      <c r="D36" s="4" t="s">
        <v>24</v>
      </c>
      <c r="E36" s="4" t="s">
        <v>11</v>
      </c>
      <c r="F36" s="4">
        <v>3</v>
      </c>
      <c r="G36" s="4">
        <v>9149</v>
      </c>
      <c r="H36" s="4">
        <v>0</v>
      </c>
      <c r="I36" s="7">
        <v>46031</v>
      </c>
      <c r="J36" s="7">
        <v>46034</v>
      </c>
      <c r="K36" s="4" t="s">
        <v>80</v>
      </c>
      <c r="L36" s="4" t="str">
        <f t="shared" si="0"/>
        <v>AJAY</v>
      </c>
      <c r="M36" s="4" t="str">
        <f t="shared" si="1"/>
        <v>cabinet</v>
      </c>
      <c r="N36" s="4">
        <f t="shared" si="2"/>
        <v>7</v>
      </c>
    </row>
    <row r="37" spans="1:14" x14ac:dyDescent="0.3">
      <c r="A37" s="9">
        <v>1036</v>
      </c>
      <c r="B37" s="9" t="s">
        <v>18</v>
      </c>
      <c r="C37" s="4" t="s">
        <v>27</v>
      </c>
      <c r="D37" s="4" t="s">
        <v>20</v>
      </c>
      <c r="E37" s="4" t="s">
        <v>36</v>
      </c>
      <c r="F37" s="4">
        <v>20</v>
      </c>
      <c r="G37" s="4">
        <v>161</v>
      </c>
      <c r="H37" s="4">
        <v>7</v>
      </c>
      <c r="I37" s="7">
        <v>46071</v>
      </c>
      <c r="J37" s="7">
        <v>46077</v>
      </c>
      <c r="K37" s="4" t="s">
        <v>80</v>
      </c>
      <c r="L37" s="4" t="str">
        <f t="shared" si="0"/>
        <v>RITESH</v>
      </c>
      <c r="M37" s="4" t="str">
        <f t="shared" si="1"/>
        <v>stapler</v>
      </c>
      <c r="N37" s="4">
        <f t="shared" si="2"/>
        <v>7</v>
      </c>
    </row>
    <row r="38" spans="1:14" x14ac:dyDescent="0.3">
      <c r="A38" s="9">
        <v>1037</v>
      </c>
      <c r="B38" s="9" t="s">
        <v>44</v>
      </c>
      <c r="C38" s="4" t="s">
        <v>42</v>
      </c>
      <c r="D38" s="4" t="s">
        <v>24</v>
      </c>
      <c r="E38" s="4" t="s">
        <v>11</v>
      </c>
      <c r="F38" s="4">
        <v>6</v>
      </c>
      <c r="G38" s="4">
        <v>14385</v>
      </c>
      <c r="H38" s="4">
        <v>12</v>
      </c>
      <c r="I38" s="7">
        <v>46033</v>
      </c>
      <c r="J38" s="7">
        <v>46043</v>
      </c>
      <c r="K38" s="4" t="s">
        <v>80</v>
      </c>
      <c r="L38" s="4" t="str">
        <f t="shared" si="0"/>
        <v>KIRAN</v>
      </c>
      <c r="M38" s="4" t="str">
        <f t="shared" si="1"/>
        <v>cabinet</v>
      </c>
      <c r="N38" s="4">
        <f t="shared" si="2"/>
        <v>7</v>
      </c>
    </row>
    <row r="39" spans="1:14" x14ac:dyDescent="0.3">
      <c r="A39" s="9">
        <v>1038</v>
      </c>
      <c r="B39" s="9" t="s">
        <v>53</v>
      </c>
      <c r="C39" s="4" t="s">
        <v>23</v>
      </c>
      <c r="D39" s="4" t="s">
        <v>20</v>
      </c>
      <c r="E39" s="4" t="s">
        <v>36</v>
      </c>
      <c r="F39" s="4">
        <v>17</v>
      </c>
      <c r="G39" s="4">
        <v>223</v>
      </c>
      <c r="H39" s="4">
        <v>7</v>
      </c>
      <c r="I39" s="7">
        <v>46030</v>
      </c>
      <c r="J39" s="7">
        <v>46031</v>
      </c>
      <c r="K39" s="4" t="s">
        <v>81</v>
      </c>
      <c r="L39" s="4" t="str">
        <f t="shared" si="0"/>
        <v>SNEHA</v>
      </c>
      <c r="M39" s="4" t="str">
        <f t="shared" si="1"/>
        <v>stapler</v>
      </c>
      <c r="N39" s="4">
        <f t="shared" si="2"/>
        <v>7</v>
      </c>
    </row>
    <row r="40" spans="1:14" x14ac:dyDescent="0.3">
      <c r="A40" s="9">
        <v>1039</v>
      </c>
      <c r="B40" s="9" t="s">
        <v>46</v>
      </c>
      <c r="C40" s="4" t="s">
        <v>38</v>
      </c>
      <c r="D40" s="4" t="s">
        <v>34</v>
      </c>
      <c r="E40" s="4" t="s">
        <v>6</v>
      </c>
      <c r="F40" s="4">
        <v>5</v>
      </c>
      <c r="G40" s="4">
        <v>60236</v>
      </c>
      <c r="H40" s="4">
        <v>10</v>
      </c>
      <c r="I40" s="7">
        <v>46107</v>
      </c>
      <c r="J40" s="7">
        <v>46110</v>
      </c>
      <c r="K40" s="4" t="s">
        <v>79</v>
      </c>
      <c r="L40" s="4" t="str">
        <f t="shared" si="0"/>
        <v>NITIN</v>
      </c>
      <c r="M40" s="4" t="str">
        <f t="shared" si="1"/>
        <v>monitor</v>
      </c>
      <c r="N40" s="4">
        <f t="shared" si="2"/>
        <v>7</v>
      </c>
    </row>
    <row r="41" spans="1:14" x14ac:dyDescent="0.3">
      <c r="A41" s="9">
        <v>1040</v>
      </c>
      <c r="B41" s="9" t="s">
        <v>47</v>
      </c>
      <c r="C41" s="4" t="s">
        <v>38</v>
      </c>
      <c r="D41" s="4" t="s">
        <v>24</v>
      </c>
      <c r="E41" s="4" t="s">
        <v>8</v>
      </c>
      <c r="F41" s="4">
        <v>10</v>
      </c>
      <c r="G41" s="4">
        <v>7531</v>
      </c>
      <c r="H41" s="4">
        <v>2</v>
      </c>
      <c r="I41" s="7">
        <v>46171</v>
      </c>
      <c r="J41" s="7">
        <v>46178</v>
      </c>
      <c r="K41" s="4" t="s">
        <v>80</v>
      </c>
      <c r="L41" s="4" t="str">
        <f t="shared" si="0"/>
        <v>AJAY</v>
      </c>
      <c r="M41" s="4" t="str">
        <f t="shared" si="1"/>
        <v>chair</v>
      </c>
      <c r="N41" s="4">
        <f t="shared" si="2"/>
        <v>5</v>
      </c>
    </row>
    <row r="42" spans="1:14" x14ac:dyDescent="0.3">
      <c r="A42" s="9">
        <v>1041</v>
      </c>
      <c r="B42" s="9" t="s">
        <v>52</v>
      </c>
      <c r="C42" s="4" t="s">
        <v>38</v>
      </c>
      <c r="D42" s="4" t="s">
        <v>20</v>
      </c>
      <c r="E42" s="4" t="s">
        <v>48</v>
      </c>
      <c r="F42" s="4">
        <v>9</v>
      </c>
      <c r="G42" s="4">
        <v>71</v>
      </c>
      <c r="H42" s="4">
        <v>7</v>
      </c>
      <c r="I42" s="7">
        <v>46185</v>
      </c>
      <c r="J42" s="7">
        <v>46188</v>
      </c>
      <c r="K42" s="4" t="s">
        <v>78</v>
      </c>
      <c r="L42" s="4" t="str">
        <f t="shared" si="0"/>
        <v>MANOJ</v>
      </c>
      <c r="M42" s="4" t="str">
        <f t="shared" si="1"/>
        <v>marker</v>
      </c>
      <c r="N42" s="4">
        <f t="shared" si="2"/>
        <v>6</v>
      </c>
    </row>
    <row r="43" spans="1:14" x14ac:dyDescent="0.3">
      <c r="A43" s="9">
        <v>1042</v>
      </c>
      <c r="B43" s="9" t="s">
        <v>44</v>
      </c>
      <c r="C43" s="4" t="s">
        <v>33</v>
      </c>
      <c r="D43" s="4" t="s">
        <v>20</v>
      </c>
      <c r="E43" s="4" t="s">
        <v>51</v>
      </c>
      <c r="F43" s="4">
        <v>16</v>
      </c>
      <c r="G43" s="4">
        <v>232</v>
      </c>
      <c r="H43" s="4">
        <v>0</v>
      </c>
      <c r="I43" s="7">
        <v>46081</v>
      </c>
      <c r="J43" s="7">
        <v>46088</v>
      </c>
      <c r="K43" s="4" t="s">
        <v>49</v>
      </c>
      <c r="L43" s="4" t="str">
        <f t="shared" si="0"/>
        <v>KIRAN</v>
      </c>
      <c r="M43" s="4" t="str">
        <f t="shared" si="1"/>
        <v>diary</v>
      </c>
      <c r="N43" s="4">
        <f t="shared" si="2"/>
        <v>5</v>
      </c>
    </row>
    <row r="44" spans="1:14" x14ac:dyDescent="0.3">
      <c r="A44" s="9">
        <v>1043</v>
      </c>
      <c r="B44" s="9" t="s">
        <v>47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7">
        <v>46091</v>
      </c>
      <c r="J44" s="7">
        <v>46098</v>
      </c>
      <c r="K44" s="4" t="s">
        <v>49</v>
      </c>
      <c r="L44" s="4" t="str">
        <f t="shared" si="0"/>
        <v>AJAY</v>
      </c>
      <c r="M44" s="4" t="str">
        <f t="shared" si="1"/>
        <v>printer</v>
      </c>
      <c r="N44" s="4">
        <f t="shared" si="2"/>
        <v>7</v>
      </c>
    </row>
    <row r="45" spans="1:14" x14ac:dyDescent="0.3">
      <c r="A45" s="9">
        <v>1044</v>
      </c>
      <c r="B45" s="9" t="s">
        <v>46</v>
      </c>
      <c r="C45" s="4" t="s">
        <v>38</v>
      </c>
      <c r="D45" s="4" t="s">
        <v>24</v>
      </c>
      <c r="E45" s="4" t="s">
        <v>7</v>
      </c>
      <c r="F45" s="4">
        <v>4</v>
      </c>
      <c r="G45" s="4">
        <v>14731</v>
      </c>
      <c r="H45" s="4">
        <v>2</v>
      </c>
      <c r="I45" s="7">
        <v>46173</v>
      </c>
      <c r="J45" s="7">
        <v>46176</v>
      </c>
      <c r="K45" s="4" t="s">
        <v>79</v>
      </c>
      <c r="L45" s="4" t="str">
        <f t="shared" si="0"/>
        <v>NITIN</v>
      </c>
      <c r="M45" s="4" t="str">
        <f t="shared" si="1"/>
        <v>desk</v>
      </c>
      <c r="N45" s="4">
        <f t="shared" si="2"/>
        <v>4</v>
      </c>
    </row>
    <row r="46" spans="1:14" x14ac:dyDescent="0.3">
      <c r="A46" s="9">
        <v>1045</v>
      </c>
      <c r="B46" s="9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7">
        <v>46038</v>
      </c>
      <c r="J46" s="7">
        <v>46039</v>
      </c>
      <c r="K46" s="4" t="s">
        <v>49</v>
      </c>
      <c r="L46" s="4" t="str">
        <f t="shared" si="0"/>
        <v>ASHA</v>
      </c>
      <c r="M46" s="4" t="str">
        <f t="shared" si="1"/>
        <v>printer</v>
      </c>
      <c r="N46" s="4">
        <f t="shared" si="2"/>
        <v>7</v>
      </c>
    </row>
    <row r="47" spans="1:14" x14ac:dyDescent="0.3">
      <c r="A47" s="9">
        <v>1046</v>
      </c>
      <c r="B47" s="9" t="s">
        <v>54</v>
      </c>
      <c r="C47" s="4" t="s">
        <v>38</v>
      </c>
      <c r="D47" s="4" t="s">
        <v>34</v>
      </c>
      <c r="E47" s="4" t="s">
        <v>6</v>
      </c>
      <c r="F47" s="4">
        <v>3</v>
      </c>
      <c r="G47" s="4">
        <v>19443</v>
      </c>
      <c r="H47" s="4">
        <v>10</v>
      </c>
      <c r="I47" s="7">
        <v>46153</v>
      </c>
      <c r="J47" s="7">
        <v>46158</v>
      </c>
      <c r="K47" s="4" t="s">
        <v>49</v>
      </c>
      <c r="L47" s="4" t="str">
        <f t="shared" si="0"/>
        <v>SARA</v>
      </c>
      <c r="M47" s="4" t="str">
        <f t="shared" si="1"/>
        <v>monitor</v>
      </c>
      <c r="N47" s="4">
        <f t="shared" si="2"/>
        <v>7</v>
      </c>
    </row>
    <row r="48" spans="1:14" x14ac:dyDescent="0.3">
      <c r="A48" s="9">
        <v>1047</v>
      </c>
      <c r="B48" s="9" t="s">
        <v>55</v>
      </c>
      <c r="C48" s="4" t="s">
        <v>38</v>
      </c>
      <c r="D48" s="4" t="s">
        <v>24</v>
      </c>
      <c r="E48" s="4" t="s">
        <v>11</v>
      </c>
      <c r="F48" s="4">
        <v>11</v>
      </c>
      <c r="G48" s="4">
        <v>9976</v>
      </c>
      <c r="H48" s="4">
        <v>12</v>
      </c>
      <c r="I48" s="7">
        <v>46200</v>
      </c>
      <c r="J48" s="7">
        <v>46209</v>
      </c>
      <c r="K48" s="4" t="s">
        <v>78</v>
      </c>
      <c r="L48" s="4" t="str">
        <f t="shared" si="0"/>
        <v>ROHAN</v>
      </c>
      <c r="M48" s="4" t="str">
        <f t="shared" si="1"/>
        <v>cabinet</v>
      </c>
      <c r="N48" s="4">
        <f t="shared" si="2"/>
        <v>7</v>
      </c>
    </row>
    <row r="49" spans="1:14" x14ac:dyDescent="0.3">
      <c r="A49" s="9">
        <v>1048</v>
      </c>
      <c r="B49" s="9" t="s">
        <v>56</v>
      </c>
      <c r="C49" s="4" t="s">
        <v>27</v>
      </c>
      <c r="D49" s="4" t="s">
        <v>34</v>
      </c>
      <c r="E49" s="4" t="s">
        <v>9</v>
      </c>
      <c r="F49" s="4">
        <v>14</v>
      </c>
      <c r="G49" s="4">
        <v>11762</v>
      </c>
      <c r="H49" s="4">
        <v>7</v>
      </c>
      <c r="I49" s="7">
        <v>46180</v>
      </c>
      <c r="J49" s="7">
        <v>46186</v>
      </c>
      <c r="K49" s="4" t="s">
        <v>80</v>
      </c>
      <c r="L49" s="4" t="str">
        <f t="shared" si="0"/>
        <v>ANITA</v>
      </c>
      <c r="M49" s="4" t="str">
        <f t="shared" si="1"/>
        <v>laptop</v>
      </c>
      <c r="N49" s="4">
        <f t="shared" si="2"/>
        <v>6</v>
      </c>
    </row>
    <row r="50" spans="1:14" x14ac:dyDescent="0.3">
      <c r="A50" s="9">
        <v>1049</v>
      </c>
      <c r="B50" s="9" t="s">
        <v>50</v>
      </c>
      <c r="C50" s="4" t="s">
        <v>27</v>
      </c>
      <c r="D50" s="4" t="s">
        <v>34</v>
      </c>
      <c r="E50" s="4" t="s">
        <v>6</v>
      </c>
      <c r="F50" s="4">
        <v>2</v>
      </c>
      <c r="G50" s="4">
        <v>40789</v>
      </c>
      <c r="H50" s="4">
        <v>0</v>
      </c>
      <c r="I50" s="7">
        <v>46102</v>
      </c>
      <c r="J50" s="7">
        <v>46108</v>
      </c>
      <c r="K50" s="4" t="s">
        <v>80</v>
      </c>
      <c r="L50" s="4" t="str">
        <f t="shared" si="0"/>
        <v>KOMAL</v>
      </c>
      <c r="M50" s="4" t="str">
        <f t="shared" si="1"/>
        <v>monitor</v>
      </c>
      <c r="N50" s="4">
        <f t="shared" si="2"/>
        <v>7</v>
      </c>
    </row>
    <row r="51" spans="1:14" x14ac:dyDescent="0.3">
      <c r="A51" s="9">
        <v>1050</v>
      </c>
      <c r="B51" s="9" t="s">
        <v>32</v>
      </c>
      <c r="C51" s="4" t="s">
        <v>27</v>
      </c>
      <c r="D51" s="4" t="s">
        <v>20</v>
      </c>
      <c r="E51" s="4" t="s">
        <v>51</v>
      </c>
      <c r="F51" s="4">
        <v>12</v>
      </c>
      <c r="G51" s="4">
        <v>360</v>
      </c>
      <c r="H51" s="4">
        <v>5</v>
      </c>
      <c r="I51" s="7">
        <v>46127</v>
      </c>
      <c r="J51" s="7">
        <v>46137</v>
      </c>
      <c r="K51" s="4" t="s">
        <v>49</v>
      </c>
      <c r="L51" s="4" t="str">
        <f t="shared" si="0"/>
        <v>ASHA</v>
      </c>
      <c r="M51" s="4" t="str">
        <f t="shared" si="1"/>
        <v>diary</v>
      </c>
      <c r="N51" s="4">
        <f t="shared" si="2"/>
        <v>5</v>
      </c>
    </row>
    <row r="52" spans="1:14" x14ac:dyDescent="0.3">
      <c r="A52" s="9">
        <v>1051</v>
      </c>
      <c r="B52" s="9" t="s">
        <v>55</v>
      </c>
      <c r="C52" s="4" t="s">
        <v>23</v>
      </c>
      <c r="D52" s="4" t="s">
        <v>20</v>
      </c>
      <c r="E52" s="4" t="s">
        <v>36</v>
      </c>
      <c r="F52" s="4">
        <v>12</v>
      </c>
      <c r="G52" s="4">
        <v>47</v>
      </c>
      <c r="H52" s="4">
        <v>2</v>
      </c>
      <c r="I52" s="7">
        <v>46037</v>
      </c>
      <c r="J52" s="7">
        <v>46045</v>
      </c>
      <c r="K52" s="4" t="s">
        <v>78</v>
      </c>
      <c r="L52" s="4" t="str">
        <f t="shared" si="0"/>
        <v>ROHAN</v>
      </c>
      <c r="M52" s="4" t="str">
        <f t="shared" si="1"/>
        <v>stapler</v>
      </c>
      <c r="N52" s="4">
        <f t="shared" si="2"/>
        <v>7</v>
      </c>
    </row>
    <row r="53" spans="1:14" x14ac:dyDescent="0.3">
      <c r="A53" s="9">
        <v>1052</v>
      </c>
      <c r="B53" s="9" t="s">
        <v>53</v>
      </c>
      <c r="C53" s="4" t="s">
        <v>19</v>
      </c>
      <c r="D53" s="4" t="s">
        <v>20</v>
      </c>
      <c r="E53" s="4" t="s">
        <v>21</v>
      </c>
      <c r="F53" s="4">
        <v>17</v>
      </c>
      <c r="G53" s="4">
        <v>172</v>
      </c>
      <c r="H53" s="4">
        <v>10</v>
      </c>
      <c r="I53" s="7">
        <v>46159</v>
      </c>
      <c r="J53" s="7">
        <v>46165</v>
      </c>
      <c r="K53" s="4" t="s">
        <v>79</v>
      </c>
      <c r="L53" s="4" t="str">
        <f t="shared" si="0"/>
        <v>SNEHA</v>
      </c>
      <c r="M53" s="4" t="str">
        <f t="shared" si="1"/>
        <v>notebook</v>
      </c>
      <c r="N53" s="4">
        <f t="shared" si="2"/>
        <v>8</v>
      </c>
    </row>
    <row r="54" spans="1:14" x14ac:dyDescent="0.3">
      <c r="A54" s="9">
        <v>1053</v>
      </c>
      <c r="B54" s="9" t="s">
        <v>22</v>
      </c>
      <c r="C54" s="4" t="s">
        <v>33</v>
      </c>
      <c r="D54" s="4" t="s">
        <v>24</v>
      </c>
      <c r="E54" s="4" t="s">
        <v>8</v>
      </c>
      <c r="F54" s="4">
        <v>1</v>
      </c>
      <c r="G54" s="4">
        <v>9749</v>
      </c>
      <c r="H54" s="4">
        <v>15</v>
      </c>
      <c r="I54" s="7">
        <v>46064</v>
      </c>
      <c r="J54" s="7">
        <v>46070</v>
      </c>
      <c r="K54" s="4" t="s">
        <v>80</v>
      </c>
      <c r="L54" s="4" t="str">
        <f t="shared" si="0"/>
        <v>POOJA</v>
      </c>
      <c r="M54" s="4" t="str">
        <f t="shared" si="1"/>
        <v>chair</v>
      </c>
      <c r="N54" s="4">
        <f t="shared" si="2"/>
        <v>5</v>
      </c>
    </row>
    <row r="55" spans="1:14" x14ac:dyDescent="0.3">
      <c r="A55" s="9">
        <v>1054</v>
      </c>
      <c r="B55" s="9" t="s">
        <v>28</v>
      </c>
      <c r="C55" s="4" t="s">
        <v>27</v>
      </c>
      <c r="D55" s="4" t="s">
        <v>24</v>
      </c>
      <c r="E55" s="4" t="s">
        <v>10</v>
      </c>
      <c r="F55" s="4">
        <v>8</v>
      </c>
      <c r="G55" s="4">
        <v>9798</v>
      </c>
      <c r="H55" s="4">
        <v>12</v>
      </c>
      <c r="I55" s="7">
        <v>46200</v>
      </c>
      <c r="J55" s="7">
        <v>46201</v>
      </c>
      <c r="K55" s="4" t="s">
        <v>81</v>
      </c>
      <c r="L55" s="4" t="str">
        <f t="shared" si="0"/>
        <v>VIKRAM</v>
      </c>
      <c r="M55" s="4" t="str">
        <f t="shared" si="1"/>
        <v>table</v>
      </c>
      <c r="N55" s="4">
        <f t="shared" si="2"/>
        <v>5</v>
      </c>
    </row>
    <row r="56" spans="1:14" x14ac:dyDescent="0.3">
      <c r="A56" s="9">
        <v>1055</v>
      </c>
      <c r="B56" s="9" t="s">
        <v>46</v>
      </c>
      <c r="C56" s="4" t="s">
        <v>19</v>
      </c>
      <c r="D56" s="4" t="s">
        <v>20</v>
      </c>
      <c r="E56" s="4" t="s">
        <v>37</v>
      </c>
      <c r="F56" s="4">
        <v>18</v>
      </c>
      <c r="G56" s="4">
        <v>185</v>
      </c>
      <c r="H56" s="4">
        <v>15</v>
      </c>
      <c r="I56" s="7">
        <v>46077</v>
      </c>
      <c r="J56" s="7">
        <v>46078</v>
      </c>
      <c r="K56" s="4" t="s">
        <v>78</v>
      </c>
      <c r="L56" s="4" t="str">
        <f t="shared" si="0"/>
        <v>NITIN</v>
      </c>
      <c r="M56" s="4" t="str">
        <f t="shared" si="1"/>
        <v>pen pack</v>
      </c>
      <c r="N56" s="4">
        <f t="shared" si="2"/>
        <v>8</v>
      </c>
    </row>
    <row r="57" spans="1:14" x14ac:dyDescent="0.3">
      <c r="A57" s="9">
        <v>1056</v>
      </c>
      <c r="B57" s="9" t="s">
        <v>18</v>
      </c>
      <c r="C57" s="4" t="s">
        <v>26</v>
      </c>
      <c r="D57" s="4" t="s">
        <v>24</v>
      </c>
      <c r="E57" s="4" t="s">
        <v>7</v>
      </c>
      <c r="F57" s="4">
        <v>3</v>
      </c>
      <c r="G57" s="4">
        <v>9771</v>
      </c>
      <c r="H57" s="4">
        <v>5</v>
      </c>
      <c r="I57" s="7">
        <v>46133</v>
      </c>
      <c r="J57" s="7">
        <v>46139</v>
      </c>
      <c r="K57" s="4" t="s">
        <v>80</v>
      </c>
      <c r="L57" s="4" t="str">
        <f t="shared" si="0"/>
        <v>RITESH</v>
      </c>
      <c r="M57" s="4" t="str">
        <f t="shared" si="1"/>
        <v>desk</v>
      </c>
      <c r="N57" s="4">
        <f t="shared" si="2"/>
        <v>4</v>
      </c>
    </row>
    <row r="58" spans="1:14" x14ac:dyDescent="0.3">
      <c r="A58" s="9">
        <v>1057</v>
      </c>
      <c r="B58" s="9" t="s">
        <v>56</v>
      </c>
      <c r="C58" s="4" t="s">
        <v>26</v>
      </c>
      <c r="D58" s="4" t="s">
        <v>24</v>
      </c>
      <c r="E58" s="4" t="s">
        <v>8</v>
      </c>
      <c r="F58" s="4">
        <v>2</v>
      </c>
      <c r="G58" s="4">
        <v>9531</v>
      </c>
      <c r="H58" s="4">
        <v>15</v>
      </c>
      <c r="I58" s="7">
        <v>46067</v>
      </c>
      <c r="J58" s="7">
        <v>46076</v>
      </c>
      <c r="K58" s="4" t="s">
        <v>81</v>
      </c>
      <c r="L58" s="4" t="str">
        <f t="shared" si="0"/>
        <v>ANITA</v>
      </c>
      <c r="M58" s="4" t="str">
        <f t="shared" si="1"/>
        <v>chair</v>
      </c>
      <c r="N58" s="4">
        <f t="shared" si="2"/>
        <v>5</v>
      </c>
    </row>
    <row r="59" spans="1:14" x14ac:dyDescent="0.3">
      <c r="A59" s="9">
        <v>1058</v>
      </c>
      <c r="B59" s="9" t="s">
        <v>50</v>
      </c>
      <c r="C59" s="4" t="s">
        <v>38</v>
      </c>
      <c r="D59" s="4" t="s">
        <v>24</v>
      </c>
      <c r="E59" s="4" t="s">
        <v>8</v>
      </c>
      <c r="F59" s="4">
        <v>10</v>
      </c>
      <c r="G59" s="4">
        <v>5532</v>
      </c>
      <c r="H59" s="4">
        <v>7</v>
      </c>
      <c r="I59" s="7">
        <v>46074</v>
      </c>
      <c r="J59" s="7">
        <v>46084</v>
      </c>
      <c r="K59" s="4" t="s">
        <v>80</v>
      </c>
      <c r="L59" s="4" t="str">
        <f t="shared" si="0"/>
        <v>KOMAL</v>
      </c>
      <c r="M59" s="4" t="str">
        <f t="shared" si="1"/>
        <v>chair</v>
      </c>
      <c r="N59" s="4">
        <f t="shared" si="2"/>
        <v>5</v>
      </c>
    </row>
    <row r="60" spans="1:14" x14ac:dyDescent="0.3">
      <c r="A60" s="9">
        <v>1059</v>
      </c>
      <c r="B60" s="9" t="s">
        <v>52</v>
      </c>
      <c r="C60" s="4" t="s">
        <v>27</v>
      </c>
      <c r="D60" s="4" t="s">
        <v>20</v>
      </c>
      <c r="E60" s="4" t="s">
        <v>48</v>
      </c>
      <c r="F60" s="4">
        <v>20</v>
      </c>
      <c r="G60" s="4">
        <v>112</v>
      </c>
      <c r="H60" s="4">
        <v>10</v>
      </c>
      <c r="I60" s="7">
        <v>46113</v>
      </c>
      <c r="J60" s="7">
        <v>46122</v>
      </c>
      <c r="K60" s="4" t="s">
        <v>81</v>
      </c>
      <c r="L60" s="4" t="str">
        <f t="shared" si="0"/>
        <v>MANOJ</v>
      </c>
      <c r="M60" s="4" t="str">
        <f t="shared" si="1"/>
        <v>marker</v>
      </c>
      <c r="N60" s="4">
        <f t="shared" si="2"/>
        <v>6</v>
      </c>
    </row>
    <row r="61" spans="1:14" x14ac:dyDescent="0.3">
      <c r="A61" s="9">
        <v>1060</v>
      </c>
      <c r="B61" s="9" t="s">
        <v>47</v>
      </c>
      <c r="C61" s="4" t="s">
        <v>19</v>
      </c>
      <c r="D61" s="4" t="s">
        <v>24</v>
      </c>
      <c r="E61" s="4" t="s">
        <v>43</v>
      </c>
      <c r="F61" s="4">
        <v>9</v>
      </c>
      <c r="G61" s="4">
        <v>9727</v>
      </c>
      <c r="H61" s="4">
        <v>2</v>
      </c>
      <c r="I61" s="7">
        <v>46024</v>
      </c>
      <c r="J61" s="7">
        <v>46030</v>
      </c>
      <c r="K61" s="4" t="s">
        <v>79</v>
      </c>
      <c r="L61" s="4" t="str">
        <f t="shared" si="0"/>
        <v>AJAY</v>
      </c>
      <c r="M61" s="4" t="str">
        <f t="shared" si="1"/>
        <v>bookshelf</v>
      </c>
      <c r="N61" s="4">
        <f t="shared" si="2"/>
        <v>9</v>
      </c>
    </row>
    <row r="62" spans="1:14" x14ac:dyDescent="0.3">
      <c r="A62" s="9">
        <v>1061</v>
      </c>
      <c r="B62" s="9" t="s">
        <v>54</v>
      </c>
      <c r="C62" s="4" t="s">
        <v>19</v>
      </c>
      <c r="D62" s="4" t="s">
        <v>34</v>
      </c>
      <c r="E62" s="4" t="s">
        <v>40</v>
      </c>
      <c r="F62" s="4">
        <v>16</v>
      </c>
      <c r="G62" s="4">
        <v>59084</v>
      </c>
      <c r="H62" s="4">
        <v>0</v>
      </c>
      <c r="I62" s="7">
        <v>46060</v>
      </c>
      <c r="J62" s="7">
        <v>46069</v>
      </c>
      <c r="K62" s="4" t="s">
        <v>79</v>
      </c>
      <c r="L62" s="4" t="str">
        <f t="shared" si="0"/>
        <v>SARA</v>
      </c>
      <c r="M62" s="4" t="str">
        <f t="shared" si="1"/>
        <v>headset</v>
      </c>
      <c r="N62" s="4">
        <f t="shared" si="2"/>
        <v>7</v>
      </c>
    </row>
    <row r="63" spans="1:14" x14ac:dyDescent="0.3">
      <c r="A63" s="9">
        <v>1062</v>
      </c>
      <c r="B63" s="9" t="s">
        <v>39</v>
      </c>
      <c r="C63" s="4" t="s">
        <v>42</v>
      </c>
      <c r="D63" s="4" t="s">
        <v>24</v>
      </c>
      <c r="E63" s="4" t="s">
        <v>10</v>
      </c>
      <c r="F63" s="4">
        <v>8</v>
      </c>
      <c r="G63" s="4">
        <v>8360</v>
      </c>
      <c r="H63" s="4">
        <v>2</v>
      </c>
      <c r="I63" s="7">
        <v>46190</v>
      </c>
      <c r="J63" s="7">
        <v>46200</v>
      </c>
      <c r="K63" s="4" t="s">
        <v>81</v>
      </c>
      <c r="L63" s="4" t="str">
        <f t="shared" si="0"/>
        <v>DEEPAK</v>
      </c>
      <c r="M63" s="4" t="str">
        <f t="shared" si="1"/>
        <v>table</v>
      </c>
      <c r="N63" s="4">
        <f t="shared" si="2"/>
        <v>5</v>
      </c>
    </row>
    <row r="64" spans="1:14" x14ac:dyDescent="0.3">
      <c r="A64" s="9">
        <v>1063</v>
      </c>
      <c r="B64" s="9" t="s">
        <v>52</v>
      </c>
      <c r="C64" s="4" t="s">
        <v>26</v>
      </c>
      <c r="D64" s="4" t="s">
        <v>34</v>
      </c>
      <c r="E64" s="4" t="s">
        <v>6</v>
      </c>
      <c r="F64" s="4">
        <v>7</v>
      </c>
      <c r="G64" s="4">
        <v>66744</v>
      </c>
      <c r="H64" s="4">
        <v>7</v>
      </c>
      <c r="I64" s="7">
        <v>46148</v>
      </c>
      <c r="J64" s="7">
        <v>46155</v>
      </c>
      <c r="K64" s="4" t="s">
        <v>78</v>
      </c>
      <c r="L64" s="4" t="str">
        <f t="shared" si="0"/>
        <v>MANOJ</v>
      </c>
      <c r="M64" s="4" t="str">
        <f t="shared" si="1"/>
        <v>monitor</v>
      </c>
      <c r="N64" s="4">
        <f t="shared" si="2"/>
        <v>7</v>
      </c>
    </row>
    <row r="65" spans="1:14" x14ac:dyDescent="0.3">
      <c r="A65" s="9">
        <v>1064</v>
      </c>
      <c r="B65" s="9" t="s">
        <v>28</v>
      </c>
      <c r="C65" s="4" t="s">
        <v>23</v>
      </c>
      <c r="D65" s="4" t="s">
        <v>20</v>
      </c>
      <c r="E65" s="4" t="s">
        <v>48</v>
      </c>
      <c r="F65" s="4">
        <v>20</v>
      </c>
      <c r="G65" s="4">
        <v>191</v>
      </c>
      <c r="H65" s="4">
        <v>7</v>
      </c>
      <c r="I65" s="7">
        <v>46185</v>
      </c>
      <c r="J65" s="7">
        <v>46195</v>
      </c>
      <c r="K65" s="4" t="s">
        <v>49</v>
      </c>
      <c r="L65" s="4" t="str">
        <f t="shared" si="0"/>
        <v>VIKRAM</v>
      </c>
      <c r="M65" s="4" t="str">
        <f t="shared" si="1"/>
        <v>marker</v>
      </c>
      <c r="N65" s="4">
        <f t="shared" si="2"/>
        <v>6</v>
      </c>
    </row>
    <row r="66" spans="1:14" x14ac:dyDescent="0.3">
      <c r="A66" s="9">
        <v>1065</v>
      </c>
      <c r="B66" s="9" t="s">
        <v>41</v>
      </c>
      <c r="C66" s="4" t="s">
        <v>42</v>
      </c>
      <c r="D66" s="4" t="s">
        <v>24</v>
      </c>
      <c r="E66" s="4" t="s">
        <v>43</v>
      </c>
      <c r="F66" s="4">
        <v>1</v>
      </c>
      <c r="G66" s="4">
        <v>7730</v>
      </c>
      <c r="H66" s="4">
        <v>5</v>
      </c>
      <c r="I66" s="7">
        <v>46192</v>
      </c>
      <c r="J66" s="7">
        <v>46195</v>
      </c>
      <c r="K66" s="4" t="s">
        <v>81</v>
      </c>
      <c r="L66" s="4" t="str">
        <f t="shared" si="0"/>
        <v>NISHA</v>
      </c>
      <c r="M66" s="4" t="str">
        <f t="shared" si="1"/>
        <v>bookshelf</v>
      </c>
      <c r="N66" s="4">
        <f t="shared" si="2"/>
        <v>9</v>
      </c>
    </row>
    <row r="67" spans="1:14" x14ac:dyDescent="0.3">
      <c r="A67" s="9">
        <v>1066</v>
      </c>
      <c r="B67" s="9" t="s">
        <v>45</v>
      </c>
      <c r="C67" s="4" t="s">
        <v>27</v>
      </c>
      <c r="D67" s="4" t="s">
        <v>24</v>
      </c>
      <c r="E67" s="4" t="s">
        <v>43</v>
      </c>
      <c r="F67" s="4">
        <v>15</v>
      </c>
      <c r="G67" s="4">
        <v>11987</v>
      </c>
      <c r="H67" s="4">
        <v>5</v>
      </c>
      <c r="I67" s="7">
        <v>46082</v>
      </c>
      <c r="J67" s="7">
        <v>46083</v>
      </c>
      <c r="K67" s="4" t="s">
        <v>78</v>
      </c>
      <c r="L67" s="4" t="str">
        <f t="shared" ref="L67:L101" si="3">UPPER(B67)</f>
        <v>YASH</v>
      </c>
      <c r="M67" s="4" t="str">
        <f t="shared" ref="M67:M101" si="4">LOWER(E67)</f>
        <v>bookshelf</v>
      </c>
      <c r="N67" s="4">
        <f t="shared" ref="N67:N101" si="5">LEN(E67)</f>
        <v>9</v>
      </c>
    </row>
    <row r="68" spans="1:14" x14ac:dyDescent="0.3">
      <c r="A68" s="9">
        <v>1067</v>
      </c>
      <c r="B68" s="9" t="s">
        <v>32</v>
      </c>
      <c r="C68" s="4" t="s">
        <v>42</v>
      </c>
      <c r="D68" s="4" t="s">
        <v>24</v>
      </c>
      <c r="E68" s="4" t="s">
        <v>11</v>
      </c>
      <c r="F68" s="4">
        <v>14</v>
      </c>
      <c r="G68" s="4">
        <v>10869</v>
      </c>
      <c r="H68" s="4">
        <v>0</v>
      </c>
      <c r="I68" s="7">
        <v>46058</v>
      </c>
      <c r="J68" s="7">
        <v>46062</v>
      </c>
      <c r="K68" s="4" t="s">
        <v>49</v>
      </c>
      <c r="L68" s="4" t="str">
        <f t="shared" si="3"/>
        <v>ASHA</v>
      </c>
      <c r="M68" s="4" t="str">
        <f t="shared" si="4"/>
        <v>cabinet</v>
      </c>
      <c r="N68" s="4">
        <f t="shared" si="5"/>
        <v>7</v>
      </c>
    </row>
    <row r="69" spans="1:14" x14ac:dyDescent="0.3">
      <c r="A69" s="9">
        <v>1068</v>
      </c>
      <c r="B69" s="9" t="s">
        <v>50</v>
      </c>
      <c r="C69" s="4" t="s">
        <v>42</v>
      </c>
      <c r="D69" s="4" t="s">
        <v>34</v>
      </c>
      <c r="E69" s="4" t="s">
        <v>9</v>
      </c>
      <c r="F69" s="4">
        <v>15</v>
      </c>
      <c r="G69" s="4">
        <v>14534</v>
      </c>
      <c r="H69" s="4">
        <v>5</v>
      </c>
      <c r="I69" s="7">
        <v>46196</v>
      </c>
      <c r="J69" s="7">
        <v>46199</v>
      </c>
      <c r="K69" s="4" t="s">
        <v>49</v>
      </c>
      <c r="L69" s="4" t="str">
        <f t="shared" si="3"/>
        <v>KOMAL</v>
      </c>
      <c r="M69" s="4" t="str">
        <f t="shared" si="4"/>
        <v>laptop</v>
      </c>
      <c r="N69" s="4">
        <f t="shared" si="5"/>
        <v>6</v>
      </c>
    </row>
    <row r="70" spans="1:14" x14ac:dyDescent="0.3">
      <c r="A70" s="9">
        <v>1069</v>
      </c>
      <c r="B70" s="9" t="s">
        <v>50</v>
      </c>
      <c r="C70" s="4" t="s">
        <v>31</v>
      </c>
      <c r="D70" s="4" t="s">
        <v>24</v>
      </c>
      <c r="E70" s="4" t="s">
        <v>8</v>
      </c>
      <c r="F70" s="4">
        <v>9</v>
      </c>
      <c r="G70" s="4">
        <v>4415</v>
      </c>
      <c r="H70" s="4">
        <v>5</v>
      </c>
      <c r="I70" s="7">
        <v>46039</v>
      </c>
      <c r="J70" s="7">
        <v>46046</v>
      </c>
      <c r="K70" s="4" t="s">
        <v>78</v>
      </c>
      <c r="L70" s="4" t="str">
        <f t="shared" si="3"/>
        <v>KOMAL</v>
      </c>
      <c r="M70" s="4" t="str">
        <f t="shared" si="4"/>
        <v>chair</v>
      </c>
      <c r="N70" s="4">
        <f t="shared" si="5"/>
        <v>5</v>
      </c>
    </row>
    <row r="71" spans="1:14" x14ac:dyDescent="0.3">
      <c r="A71" s="9">
        <v>1070</v>
      </c>
      <c r="B71" s="9" t="s">
        <v>50</v>
      </c>
      <c r="C71" s="4" t="s">
        <v>42</v>
      </c>
      <c r="D71" s="4" t="s">
        <v>20</v>
      </c>
      <c r="E71" s="4" t="s">
        <v>36</v>
      </c>
      <c r="F71" s="4">
        <v>10</v>
      </c>
      <c r="G71" s="4">
        <v>233</v>
      </c>
      <c r="H71" s="4">
        <v>7</v>
      </c>
      <c r="I71" s="7">
        <v>46076</v>
      </c>
      <c r="J71" s="7">
        <v>46077</v>
      </c>
      <c r="K71" s="4" t="s">
        <v>49</v>
      </c>
      <c r="L71" s="4" t="str">
        <f t="shared" si="3"/>
        <v>KOMAL</v>
      </c>
      <c r="M71" s="4" t="str">
        <f t="shared" si="4"/>
        <v>stapler</v>
      </c>
      <c r="N71" s="4">
        <f t="shared" si="5"/>
        <v>7</v>
      </c>
    </row>
    <row r="72" spans="1:14" x14ac:dyDescent="0.3">
      <c r="A72" s="9">
        <v>1071</v>
      </c>
      <c r="B72" s="9" t="s">
        <v>56</v>
      </c>
      <c r="C72" s="4" t="s">
        <v>26</v>
      </c>
      <c r="D72" s="4" t="s">
        <v>34</v>
      </c>
      <c r="E72" s="4" t="s">
        <v>12</v>
      </c>
      <c r="F72" s="4">
        <v>18</v>
      </c>
      <c r="G72" s="4">
        <v>32197</v>
      </c>
      <c r="H72" s="4">
        <v>5</v>
      </c>
      <c r="I72" s="7">
        <v>46129</v>
      </c>
      <c r="J72" s="7">
        <v>46137</v>
      </c>
      <c r="K72" s="4" t="s">
        <v>79</v>
      </c>
      <c r="L72" s="4" t="str">
        <f t="shared" si="3"/>
        <v>ANITA</v>
      </c>
      <c r="M72" s="4" t="str">
        <f t="shared" si="4"/>
        <v>mouse</v>
      </c>
      <c r="N72" s="4">
        <f t="shared" si="5"/>
        <v>5</v>
      </c>
    </row>
    <row r="73" spans="1:14" x14ac:dyDescent="0.3">
      <c r="A73" s="9">
        <v>1072</v>
      </c>
      <c r="B73" s="9" t="s">
        <v>22</v>
      </c>
      <c r="C73" s="4" t="s">
        <v>27</v>
      </c>
      <c r="D73" s="4" t="s">
        <v>34</v>
      </c>
      <c r="E73" s="4" t="s">
        <v>12</v>
      </c>
      <c r="F73" s="4">
        <v>20</v>
      </c>
      <c r="G73" s="4">
        <v>58779</v>
      </c>
      <c r="H73" s="4">
        <v>0</v>
      </c>
      <c r="I73" s="7">
        <v>46035</v>
      </c>
      <c r="J73" s="7">
        <v>46036</v>
      </c>
      <c r="K73" s="4" t="s">
        <v>80</v>
      </c>
      <c r="L73" s="4" t="str">
        <f t="shared" si="3"/>
        <v>POOJA</v>
      </c>
      <c r="M73" s="4" t="str">
        <f t="shared" si="4"/>
        <v>mouse</v>
      </c>
      <c r="N73" s="4">
        <f t="shared" si="5"/>
        <v>5</v>
      </c>
    </row>
    <row r="74" spans="1:14" x14ac:dyDescent="0.3">
      <c r="A74" s="9">
        <v>1073</v>
      </c>
      <c r="B74" s="9" t="s">
        <v>55</v>
      </c>
      <c r="C74" s="4" t="s">
        <v>23</v>
      </c>
      <c r="D74" s="4" t="s">
        <v>24</v>
      </c>
      <c r="E74" s="4" t="s">
        <v>11</v>
      </c>
      <c r="F74" s="4">
        <v>4</v>
      </c>
      <c r="G74" s="4">
        <v>2453</v>
      </c>
      <c r="H74" s="4">
        <v>7</v>
      </c>
      <c r="I74" s="7">
        <v>46126</v>
      </c>
      <c r="J74" s="7">
        <v>46129</v>
      </c>
      <c r="K74" s="4" t="s">
        <v>81</v>
      </c>
      <c r="L74" s="4" t="str">
        <f t="shared" si="3"/>
        <v>ROHAN</v>
      </c>
      <c r="M74" s="4" t="str">
        <f t="shared" si="4"/>
        <v>cabinet</v>
      </c>
      <c r="N74" s="4">
        <f t="shared" si="5"/>
        <v>7</v>
      </c>
    </row>
    <row r="75" spans="1:14" x14ac:dyDescent="0.3">
      <c r="A75" s="9">
        <v>1074</v>
      </c>
      <c r="B75" s="9" t="s">
        <v>28</v>
      </c>
      <c r="C75" s="4" t="s">
        <v>31</v>
      </c>
      <c r="D75" s="4" t="s">
        <v>20</v>
      </c>
      <c r="E75" s="4" t="s">
        <v>48</v>
      </c>
      <c r="F75" s="4">
        <v>11</v>
      </c>
      <c r="G75" s="4">
        <v>390</v>
      </c>
      <c r="H75" s="4">
        <v>15</v>
      </c>
      <c r="I75" s="7">
        <v>46114</v>
      </c>
      <c r="J75" s="7">
        <v>46123</v>
      </c>
      <c r="K75" s="4" t="s">
        <v>49</v>
      </c>
      <c r="L75" s="4" t="str">
        <f t="shared" si="3"/>
        <v>VIKRAM</v>
      </c>
      <c r="M75" s="4" t="str">
        <f t="shared" si="4"/>
        <v>marker</v>
      </c>
      <c r="N75" s="4">
        <f t="shared" si="5"/>
        <v>6</v>
      </c>
    </row>
    <row r="76" spans="1:14" x14ac:dyDescent="0.3">
      <c r="A76" s="9">
        <v>1075</v>
      </c>
      <c r="B76" s="9" t="s">
        <v>41</v>
      </c>
      <c r="C76" s="4" t="s">
        <v>42</v>
      </c>
      <c r="D76" s="4" t="s">
        <v>34</v>
      </c>
      <c r="E76" s="4" t="s">
        <v>12</v>
      </c>
      <c r="F76" s="4">
        <v>4</v>
      </c>
      <c r="G76" s="4">
        <v>64773</v>
      </c>
      <c r="H76" s="4">
        <v>10</v>
      </c>
      <c r="I76" s="7">
        <v>46185</v>
      </c>
      <c r="J76" s="7">
        <v>46186</v>
      </c>
      <c r="K76" s="4" t="s">
        <v>81</v>
      </c>
      <c r="L76" s="4" t="str">
        <f t="shared" si="3"/>
        <v>NISHA</v>
      </c>
      <c r="M76" s="4" t="str">
        <f t="shared" si="4"/>
        <v>mouse</v>
      </c>
      <c r="N76" s="4">
        <f t="shared" si="5"/>
        <v>5</v>
      </c>
    </row>
    <row r="77" spans="1:14" x14ac:dyDescent="0.3">
      <c r="A77" s="9">
        <v>1076</v>
      </c>
      <c r="B77" s="9" t="s">
        <v>49</v>
      </c>
      <c r="C77" s="4" t="s">
        <v>23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7">
        <v>46045</v>
      </c>
      <c r="J77" s="7">
        <v>46055</v>
      </c>
      <c r="K77" s="4" t="s">
        <v>49</v>
      </c>
      <c r="L77" s="4" t="str">
        <f t="shared" si="3"/>
        <v>PRIYA</v>
      </c>
      <c r="M77" s="4" t="str">
        <f t="shared" si="4"/>
        <v>printer</v>
      </c>
      <c r="N77" s="4">
        <f t="shared" si="5"/>
        <v>7</v>
      </c>
    </row>
    <row r="78" spans="1:14" x14ac:dyDescent="0.3">
      <c r="A78" s="9">
        <v>1077</v>
      </c>
      <c r="B78" s="9" t="s">
        <v>53</v>
      </c>
      <c r="C78" s="4" t="s">
        <v>27</v>
      </c>
      <c r="D78" s="4" t="s">
        <v>20</v>
      </c>
      <c r="E78" s="4" t="s">
        <v>21</v>
      </c>
      <c r="F78" s="4">
        <v>1</v>
      </c>
      <c r="G78" s="4">
        <v>123</v>
      </c>
      <c r="H78" s="4">
        <v>10</v>
      </c>
      <c r="I78" s="7">
        <v>46113</v>
      </c>
      <c r="J78" s="7">
        <v>46121</v>
      </c>
      <c r="K78" s="4" t="s">
        <v>81</v>
      </c>
      <c r="L78" s="4" t="str">
        <f t="shared" si="3"/>
        <v>SNEHA</v>
      </c>
      <c r="M78" s="4" t="str">
        <f t="shared" si="4"/>
        <v>notebook</v>
      </c>
      <c r="N78" s="4">
        <f t="shared" si="5"/>
        <v>8</v>
      </c>
    </row>
    <row r="79" spans="1:14" x14ac:dyDescent="0.3">
      <c r="A79" s="9">
        <v>1078</v>
      </c>
      <c r="B79" s="9" t="s">
        <v>50</v>
      </c>
      <c r="C79" s="4" t="s">
        <v>23</v>
      </c>
      <c r="D79" s="4" t="s">
        <v>34</v>
      </c>
      <c r="E79" s="4" t="s">
        <v>5</v>
      </c>
      <c r="F79" s="4">
        <v>11</v>
      </c>
      <c r="G79" s="4">
        <v>24278</v>
      </c>
      <c r="H79" s="4">
        <v>12</v>
      </c>
      <c r="I79" s="7">
        <v>46084</v>
      </c>
      <c r="J79" s="7">
        <v>46090</v>
      </c>
      <c r="K79" s="4" t="s">
        <v>49</v>
      </c>
      <c r="L79" s="4" t="str">
        <f t="shared" si="3"/>
        <v>KOMAL</v>
      </c>
      <c r="M79" s="4" t="str">
        <f t="shared" si="4"/>
        <v>keyboard</v>
      </c>
      <c r="N79" s="4">
        <f t="shared" si="5"/>
        <v>8</v>
      </c>
    </row>
    <row r="80" spans="1:14" x14ac:dyDescent="0.3">
      <c r="A80" s="9">
        <v>1079</v>
      </c>
      <c r="B80" s="9" t="s">
        <v>28</v>
      </c>
      <c r="C80" s="4" t="s">
        <v>38</v>
      </c>
      <c r="D80" s="4" t="s">
        <v>34</v>
      </c>
      <c r="E80" s="4" t="s">
        <v>40</v>
      </c>
      <c r="F80" s="4">
        <v>19</v>
      </c>
      <c r="G80" s="4">
        <v>48956</v>
      </c>
      <c r="H80" s="4">
        <v>12</v>
      </c>
      <c r="I80" s="7">
        <v>46170</v>
      </c>
      <c r="J80" s="7">
        <v>46177</v>
      </c>
      <c r="K80" s="4" t="s">
        <v>81</v>
      </c>
      <c r="L80" s="4" t="str">
        <f t="shared" si="3"/>
        <v>VIKRAM</v>
      </c>
      <c r="M80" s="4" t="str">
        <f t="shared" si="4"/>
        <v>headset</v>
      </c>
      <c r="N80" s="4">
        <f t="shared" si="5"/>
        <v>7</v>
      </c>
    </row>
    <row r="81" spans="1:14" x14ac:dyDescent="0.3">
      <c r="A81" s="9">
        <v>1080</v>
      </c>
      <c r="B81" s="9" t="s">
        <v>25</v>
      </c>
      <c r="C81" s="4" t="s">
        <v>26</v>
      </c>
      <c r="D81" s="4" t="s">
        <v>34</v>
      </c>
      <c r="E81" s="4" t="s">
        <v>40</v>
      </c>
      <c r="F81" s="4">
        <v>12</v>
      </c>
      <c r="G81" s="4">
        <v>54161</v>
      </c>
      <c r="H81" s="4">
        <v>15</v>
      </c>
      <c r="I81" s="7">
        <v>46133</v>
      </c>
      <c r="J81" s="7">
        <v>46143</v>
      </c>
      <c r="K81" s="4" t="s">
        <v>80</v>
      </c>
      <c r="L81" s="4" t="str">
        <f t="shared" si="3"/>
        <v>MEERA</v>
      </c>
      <c r="M81" s="4" t="str">
        <f t="shared" si="4"/>
        <v>headset</v>
      </c>
      <c r="N81" s="4">
        <f t="shared" si="5"/>
        <v>7</v>
      </c>
    </row>
    <row r="82" spans="1:14" x14ac:dyDescent="0.3">
      <c r="A82" s="9">
        <v>1081</v>
      </c>
      <c r="B82" s="9" t="s">
        <v>45</v>
      </c>
      <c r="C82" s="4" t="s">
        <v>19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7">
        <v>46058</v>
      </c>
      <c r="J82" s="7">
        <v>46060</v>
      </c>
      <c r="K82" s="4" t="s">
        <v>81</v>
      </c>
      <c r="L82" s="4" t="str">
        <f t="shared" si="3"/>
        <v>YASH</v>
      </c>
      <c r="M82" s="4" t="str">
        <f t="shared" si="4"/>
        <v>printer</v>
      </c>
      <c r="N82" s="4">
        <f t="shared" si="5"/>
        <v>7</v>
      </c>
    </row>
    <row r="83" spans="1:14" x14ac:dyDescent="0.3">
      <c r="A83" s="9">
        <v>1082</v>
      </c>
      <c r="B83" s="9" t="s">
        <v>25</v>
      </c>
      <c r="C83" s="4" t="s">
        <v>19</v>
      </c>
      <c r="D83" s="4" t="s">
        <v>20</v>
      </c>
      <c r="E83" s="4" t="s">
        <v>21</v>
      </c>
      <c r="F83" s="4">
        <v>7</v>
      </c>
      <c r="G83" s="4">
        <v>133</v>
      </c>
      <c r="H83" s="4">
        <v>10</v>
      </c>
      <c r="I83" s="7">
        <v>46075</v>
      </c>
      <c r="J83" s="7">
        <v>46085</v>
      </c>
      <c r="K83" s="4" t="s">
        <v>81</v>
      </c>
      <c r="L83" s="4" t="str">
        <f t="shared" si="3"/>
        <v>MEERA</v>
      </c>
      <c r="M83" s="4" t="str">
        <f t="shared" si="4"/>
        <v>notebook</v>
      </c>
      <c r="N83" s="4">
        <f t="shared" si="5"/>
        <v>8</v>
      </c>
    </row>
    <row r="84" spans="1:14" x14ac:dyDescent="0.3">
      <c r="A84" s="9">
        <v>1083</v>
      </c>
      <c r="B84" s="9" t="s">
        <v>53</v>
      </c>
      <c r="C84" s="4" t="s">
        <v>33</v>
      </c>
      <c r="D84" s="4" t="s">
        <v>20</v>
      </c>
      <c r="E84" s="4" t="s">
        <v>51</v>
      </c>
      <c r="F84" s="4">
        <v>4</v>
      </c>
      <c r="G84" s="4">
        <v>397</v>
      </c>
      <c r="H84" s="4">
        <v>7</v>
      </c>
      <c r="I84" s="7">
        <v>46185</v>
      </c>
      <c r="J84" s="7">
        <v>46193</v>
      </c>
      <c r="K84" s="4" t="s">
        <v>78</v>
      </c>
      <c r="L84" s="4" t="str">
        <f t="shared" si="3"/>
        <v>SNEHA</v>
      </c>
      <c r="M84" s="4" t="str">
        <f t="shared" si="4"/>
        <v>diary</v>
      </c>
      <c r="N84" s="4">
        <f t="shared" si="5"/>
        <v>5</v>
      </c>
    </row>
    <row r="85" spans="1:14" x14ac:dyDescent="0.3">
      <c r="A85" s="9">
        <v>1084</v>
      </c>
      <c r="B85" s="9" t="s">
        <v>47</v>
      </c>
      <c r="C85" s="4" t="s">
        <v>31</v>
      </c>
      <c r="D85" s="4" t="s">
        <v>24</v>
      </c>
      <c r="E85" s="4" t="s">
        <v>8</v>
      </c>
      <c r="F85" s="4">
        <v>4</v>
      </c>
      <c r="G85" s="4">
        <v>6901</v>
      </c>
      <c r="H85" s="4">
        <v>10</v>
      </c>
      <c r="I85" s="7">
        <v>46047</v>
      </c>
      <c r="J85" s="7">
        <v>46057</v>
      </c>
      <c r="K85" s="4" t="s">
        <v>79</v>
      </c>
      <c r="L85" s="4" t="str">
        <f t="shared" si="3"/>
        <v>AJAY</v>
      </c>
      <c r="M85" s="4" t="str">
        <f t="shared" si="4"/>
        <v>chair</v>
      </c>
      <c r="N85" s="4">
        <f t="shared" si="5"/>
        <v>5</v>
      </c>
    </row>
    <row r="86" spans="1:14" x14ac:dyDescent="0.3">
      <c r="A86" s="9">
        <v>1085</v>
      </c>
      <c r="B86" s="9" t="s">
        <v>32</v>
      </c>
      <c r="C86" s="4" t="s">
        <v>38</v>
      </c>
      <c r="D86" s="4" t="s">
        <v>34</v>
      </c>
      <c r="E86" s="4" t="s">
        <v>9</v>
      </c>
      <c r="F86" s="4">
        <v>19</v>
      </c>
      <c r="G86" s="4">
        <v>45307</v>
      </c>
      <c r="H86" s="4">
        <v>12</v>
      </c>
      <c r="I86" s="7">
        <v>46146</v>
      </c>
      <c r="J86" s="7">
        <v>46150</v>
      </c>
      <c r="K86" s="4" t="s">
        <v>80</v>
      </c>
      <c r="L86" s="4" t="str">
        <f t="shared" si="3"/>
        <v>ASHA</v>
      </c>
      <c r="M86" s="4" t="str">
        <f t="shared" si="4"/>
        <v>laptop</v>
      </c>
      <c r="N86" s="4">
        <f t="shared" si="5"/>
        <v>6</v>
      </c>
    </row>
    <row r="87" spans="1:14" x14ac:dyDescent="0.3">
      <c r="A87" s="9">
        <v>1086</v>
      </c>
      <c r="B87" s="9" t="s">
        <v>32</v>
      </c>
      <c r="C87" s="4" t="s">
        <v>19</v>
      </c>
      <c r="D87" s="4" t="s">
        <v>20</v>
      </c>
      <c r="E87" s="4" t="s">
        <v>51</v>
      </c>
      <c r="F87" s="4">
        <v>15</v>
      </c>
      <c r="G87" s="4">
        <v>40</v>
      </c>
      <c r="H87" s="4">
        <v>10</v>
      </c>
      <c r="I87" s="7">
        <v>46045</v>
      </c>
      <c r="J87" s="7">
        <v>46049</v>
      </c>
      <c r="K87" s="4" t="s">
        <v>80</v>
      </c>
      <c r="L87" s="4" t="str">
        <f t="shared" si="3"/>
        <v>ASHA</v>
      </c>
      <c r="M87" s="4" t="str">
        <f t="shared" si="4"/>
        <v>diary</v>
      </c>
      <c r="N87" s="4">
        <f t="shared" si="5"/>
        <v>5</v>
      </c>
    </row>
    <row r="88" spans="1:14" x14ac:dyDescent="0.3">
      <c r="A88" s="9">
        <v>1087</v>
      </c>
      <c r="B88" s="9" t="s">
        <v>18</v>
      </c>
      <c r="C88" s="4" t="s">
        <v>31</v>
      </c>
      <c r="D88" s="4" t="s">
        <v>20</v>
      </c>
      <c r="E88" s="4" t="s">
        <v>37</v>
      </c>
      <c r="F88" s="4">
        <v>13</v>
      </c>
      <c r="G88" s="4">
        <v>387</v>
      </c>
      <c r="H88" s="4">
        <v>7</v>
      </c>
      <c r="I88" s="7">
        <v>46171</v>
      </c>
      <c r="J88" s="7">
        <v>46176</v>
      </c>
      <c r="K88" s="4" t="s">
        <v>80</v>
      </c>
      <c r="L88" s="4" t="str">
        <f t="shared" si="3"/>
        <v>RITESH</v>
      </c>
      <c r="M88" s="4" t="str">
        <f t="shared" si="4"/>
        <v>pen pack</v>
      </c>
      <c r="N88" s="4">
        <f t="shared" si="5"/>
        <v>8</v>
      </c>
    </row>
    <row r="89" spans="1:14" x14ac:dyDescent="0.3">
      <c r="A89" s="9">
        <v>1088</v>
      </c>
      <c r="B89" s="9" t="s">
        <v>39</v>
      </c>
      <c r="C89" s="4" t="s">
        <v>33</v>
      </c>
      <c r="D89" s="4" t="s">
        <v>34</v>
      </c>
      <c r="E89" s="4" t="s">
        <v>40</v>
      </c>
      <c r="F89" s="4">
        <v>20</v>
      </c>
      <c r="G89" s="4">
        <v>41165</v>
      </c>
      <c r="H89" s="4">
        <v>0</v>
      </c>
      <c r="I89" s="7">
        <v>46068</v>
      </c>
      <c r="J89" s="7">
        <v>46069</v>
      </c>
      <c r="K89" s="4" t="s">
        <v>79</v>
      </c>
      <c r="L89" s="4" t="str">
        <f t="shared" si="3"/>
        <v>DEEPAK</v>
      </c>
      <c r="M89" s="4" t="str">
        <f t="shared" si="4"/>
        <v>headset</v>
      </c>
      <c r="N89" s="4">
        <f t="shared" si="5"/>
        <v>7</v>
      </c>
    </row>
    <row r="90" spans="1:14" x14ac:dyDescent="0.3">
      <c r="A90" s="9">
        <v>1089</v>
      </c>
      <c r="B90" s="9" t="s">
        <v>44</v>
      </c>
      <c r="C90" s="4" t="s">
        <v>19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7">
        <v>46066</v>
      </c>
      <c r="J90" s="7">
        <v>46071</v>
      </c>
      <c r="K90" s="4" t="s">
        <v>80</v>
      </c>
      <c r="L90" s="4" t="str">
        <f t="shared" si="3"/>
        <v>KIRAN</v>
      </c>
      <c r="M90" s="4" t="str">
        <f t="shared" si="4"/>
        <v>printer</v>
      </c>
      <c r="N90" s="4">
        <f t="shared" si="5"/>
        <v>7</v>
      </c>
    </row>
    <row r="91" spans="1:14" x14ac:dyDescent="0.3">
      <c r="A91" s="9">
        <v>1090</v>
      </c>
      <c r="B91" s="9" t="s">
        <v>47</v>
      </c>
      <c r="C91" s="4" t="s">
        <v>31</v>
      </c>
      <c r="D91" s="4" t="s">
        <v>34</v>
      </c>
      <c r="E91" s="4" t="s">
        <v>6</v>
      </c>
      <c r="F91" s="4">
        <v>19</v>
      </c>
      <c r="G91" s="4">
        <v>66139</v>
      </c>
      <c r="H91" s="4">
        <v>5</v>
      </c>
      <c r="I91" s="7">
        <v>46088</v>
      </c>
      <c r="J91" s="7">
        <v>46095</v>
      </c>
      <c r="K91" s="4" t="s">
        <v>80</v>
      </c>
      <c r="L91" s="4" t="str">
        <f t="shared" si="3"/>
        <v>AJAY</v>
      </c>
      <c r="M91" s="4" t="str">
        <f t="shared" si="4"/>
        <v>monitor</v>
      </c>
      <c r="N91" s="4">
        <f t="shared" si="5"/>
        <v>7</v>
      </c>
    </row>
    <row r="92" spans="1:14" x14ac:dyDescent="0.3">
      <c r="A92" s="9">
        <v>1091</v>
      </c>
      <c r="B92" s="9" t="s">
        <v>53</v>
      </c>
      <c r="C92" s="4" t="s">
        <v>23</v>
      </c>
      <c r="D92" s="4" t="s">
        <v>20</v>
      </c>
      <c r="E92" s="4" t="s">
        <v>51</v>
      </c>
      <c r="F92" s="4">
        <v>2</v>
      </c>
      <c r="G92" s="4">
        <v>305</v>
      </c>
      <c r="H92" s="4">
        <v>0</v>
      </c>
      <c r="I92" s="7">
        <v>46136</v>
      </c>
      <c r="J92" s="7">
        <v>46144</v>
      </c>
      <c r="K92" s="4" t="s">
        <v>78</v>
      </c>
      <c r="L92" s="4" t="str">
        <f t="shared" si="3"/>
        <v>SNEHA</v>
      </c>
      <c r="M92" s="4" t="str">
        <f t="shared" si="4"/>
        <v>diary</v>
      </c>
      <c r="N92" s="4">
        <f t="shared" si="5"/>
        <v>5</v>
      </c>
    </row>
    <row r="93" spans="1:14" x14ac:dyDescent="0.3">
      <c r="A93" s="9">
        <v>1092</v>
      </c>
      <c r="B93" s="9" t="s">
        <v>25</v>
      </c>
      <c r="C93" s="4" t="s">
        <v>26</v>
      </c>
      <c r="D93" s="4" t="s">
        <v>34</v>
      </c>
      <c r="E93" s="4" t="s">
        <v>40</v>
      </c>
      <c r="F93" s="4">
        <v>9</v>
      </c>
      <c r="G93" s="4">
        <v>23438</v>
      </c>
      <c r="H93" s="4">
        <v>2</v>
      </c>
      <c r="I93" s="7">
        <v>46049</v>
      </c>
      <c r="J93" s="7">
        <v>46055</v>
      </c>
      <c r="K93" s="4" t="s">
        <v>49</v>
      </c>
      <c r="L93" s="4" t="str">
        <f t="shared" si="3"/>
        <v>MEERA</v>
      </c>
      <c r="M93" s="4" t="str">
        <f t="shared" si="4"/>
        <v>headset</v>
      </c>
      <c r="N93" s="4">
        <f t="shared" si="5"/>
        <v>7</v>
      </c>
    </row>
    <row r="94" spans="1:14" x14ac:dyDescent="0.3">
      <c r="A94" s="9">
        <v>1093</v>
      </c>
      <c r="B94" s="9" t="s">
        <v>45</v>
      </c>
      <c r="C94" s="4" t="s">
        <v>27</v>
      </c>
      <c r="D94" s="4" t="s">
        <v>24</v>
      </c>
      <c r="E94" s="4" t="s">
        <v>10</v>
      </c>
      <c r="F94" s="4">
        <v>6</v>
      </c>
      <c r="G94" s="4">
        <v>8224</v>
      </c>
      <c r="H94" s="4">
        <v>15</v>
      </c>
      <c r="I94" s="7">
        <v>46175</v>
      </c>
      <c r="J94" s="7">
        <v>46185</v>
      </c>
      <c r="K94" s="4" t="s">
        <v>81</v>
      </c>
      <c r="L94" s="4" t="str">
        <f t="shared" si="3"/>
        <v>YASH</v>
      </c>
      <c r="M94" s="4" t="str">
        <f t="shared" si="4"/>
        <v>table</v>
      </c>
      <c r="N94" s="4">
        <f t="shared" si="5"/>
        <v>5</v>
      </c>
    </row>
    <row r="95" spans="1:14" x14ac:dyDescent="0.3">
      <c r="A95" s="9">
        <v>1094</v>
      </c>
      <c r="B95" s="9" t="s">
        <v>45</v>
      </c>
      <c r="C95" s="4" t="s">
        <v>42</v>
      </c>
      <c r="D95" s="4" t="s">
        <v>34</v>
      </c>
      <c r="E95" s="4" t="s">
        <v>12</v>
      </c>
      <c r="F95" s="4">
        <v>4</v>
      </c>
      <c r="G95" s="4">
        <v>7073</v>
      </c>
      <c r="H95" s="4">
        <v>0</v>
      </c>
      <c r="I95" s="7">
        <v>46101</v>
      </c>
      <c r="J95" s="7">
        <v>46105</v>
      </c>
      <c r="K95" s="4" t="s">
        <v>49</v>
      </c>
      <c r="L95" s="4" t="str">
        <f t="shared" si="3"/>
        <v>YASH</v>
      </c>
      <c r="M95" s="4" t="str">
        <f t="shared" si="4"/>
        <v>mouse</v>
      </c>
      <c r="N95" s="4">
        <f t="shared" si="5"/>
        <v>5</v>
      </c>
    </row>
    <row r="96" spans="1:14" x14ac:dyDescent="0.3">
      <c r="A96" s="9">
        <v>1095</v>
      </c>
      <c r="B96" s="9" t="s">
        <v>45</v>
      </c>
      <c r="C96" s="4" t="s">
        <v>27</v>
      </c>
      <c r="D96" s="4" t="s">
        <v>34</v>
      </c>
      <c r="E96" s="4" t="s">
        <v>40</v>
      </c>
      <c r="F96" s="4">
        <v>18</v>
      </c>
      <c r="G96" s="4">
        <v>587</v>
      </c>
      <c r="H96" s="4">
        <v>2</v>
      </c>
      <c r="I96" s="7">
        <v>46167</v>
      </c>
      <c r="J96" s="7">
        <v>46171</v>
      </c>
      <c r="K96" s="4" t="s">
        <v>79</v>
      </c>
      <c r="L96" s="4" t="str">
        <f t="shared" si="3"/>
        <v>YASH</v>
      </c>
      <c r="M96" s="4" t="str">
        <f t="shared" si="4"/>
        <v>headset</v>
      </c>
      <c r="N96" s="4">
        <f t="shared" si="5"/>
        <v>7</v>
      </c>
    </row>
    <row r="97" spans="1:14" x14ac:dyDescent="0.3">
      <c r="A97" s="9">
        <v>1096</v>
      </c>
      <c r="B97" s="9" t="s">
        <v>47</v>
      </c>
      <c r="C97" s="4" t="s">
        <v>23</v>
      </c>
      <c r="D97" s="4" t="s">
        <v>24</v>
      </c>
      <c r="E97" s="4" t="s">
        <v>10</v>
      </c>
      <c r="F97" s="4">
        <v>15</v>
      </c>
      <c r="G97" s="4">
        <v>14724</v>
      </c>
      <c r="H97" s="4">
        <v>15</v>
      </c>
      <c r="I97" s="7">
        <v>46054</v>
      </c>
      <c r="J97" s="7">
        <v>46061</v>
      </c>
      <c r="K97" s="4" t="s">
        <v>79</v>
      </c>
      <c r="L97" s="4" t="str">
        <f t="shared" si="3"/>
        <v>AJAY</v>
      </c>
      <c r="M97" s="4" t="str">
        <f t="shared" si="4"/>
        <v>table</v>
      </c>
      <c r="N97" s="4">
        <f t="shared" si="5"/>
        <v>5</v>
      </c>
    </row>
    <row r="98" spans="1:14" x14ac:dyDescent="0.3">
      <c r="A98" s="9">
        <v>1097</v>
      </c>
      <c r="B98" s="9" t="s">
        <v>50</v>
      </c>
      <c r="C98" s="4" t="s">
        <v>26</v>
      </c>
      <c r="D98" s="4" t="s">
        <v>34</v>
      </c>
      <c r="E98" s="4" t="s">
        <v>12</v>
      </c>
      <c r="F98" s="4">
        <v>10</v>
      </c>
      <c r="G98" s="4">
        <v>28980</v>
      </c>
      <c r="H98" s="4">
        <v>10</v>
      </c>
      <c r="I98" s="7">
        <v>46089</v>
      </c>
      <c r="J98" s="7">
        <v>46094</v>
      </c>
      <c r="K98" s="4" t="s">
        <v>80</v>
      </c>
      <c r="L98" s="4" t="str">
        <f t="shared" si="3"/>
        <v>KOMAL</v>
      </c>
      <c r="M98" s="4" t="str">
        <f t="shared" si="4"/>
        <v>mouse</v>
      </c>
      <c r="N98" s="4">
        <f t="shared" si="5"/>
        <v>5</v>
      </c>
    </row>
    <row r="99" spans="1:14" x14ac:dyDescent="0.3">
      <c r="A99" s="9">
        <v>1098</v>
      </c>
      <c r="B99" s="9" t="s">
        <v>28</v>
      </c>
      <c r="C99" s="4" t="s">
        <v>27</v>
      </c>
      <c r="D99" s="4" t="s">
        <v>20</v>
      </c>
      <c r="E99" s="4" t="s">
        <v>51</v>
      </c>
      <c r="F99" s="4">
        <v>17</v>
      </c>
      <c r="G99" s="4">
        <v>345</v>
      </c>
      <c r="H99" s="4">
        <v>2</v>
      </c>
      <c r="I99" s="7">
        <v>46126</v>
      </c>
      <c r="J99" s="7">
        <v>46127</v>
      </c>
      <c r="K99" s="4" t="s">
        <v>81</v>
      </c>
      <c r="L99" s="4" t="str">
        <f t="shared" si="3"/>
        <v>VIKRAM</v>
      </c>
      <c r="M99" s="4" t="str">
        <f t="shared" si="4"/>
        <v>diary</v>
      </c>
      <c r="N99" s="4">
        <f t="shared" si="5"/>
        <v>5</v>
      </c>
    </row>
    <row r="100" spans="1:14" x14ac:dyDescent="0.3">
      <c r="A100" s="9">
        <v>1099</v>
      </c>
      <c r="B100" s="9" t="s">
        <v>28</v>
      </c>
      <c r="C100" s="4" t="s">
        <v>31</v>
      </c>
      <c r="D100" s="4" t="s">
        <v>24</v>
      </c>
      <c r="E100" s="4" t="s">
        <v>7</v>
      </c>
      <c r="F100" s="4">
        <v>1</v>
      </c>
      <c r="G100" s="4">
        <v>5165</v>
      </c>
      <c r="H100" s="4">
        <v>2</v>
      </c>
      <c r="I100" s="7">
        <v>46058</v>
      </c>
      <c r="J100" s="7">
        <v>46060</v>
      </c>
      <c r="K100" s="4" t="s">
        <v>78</v>
      </c>
      <c r="L100" s="4" t="str">
        <f t="shared" si="3"/>
        <v>VIKRAM</v>
      </c>
      <c r="M100" s="4" t="str">
        <f t="shared" si="4"/>
        <v>desk</v>
      </c>
      <c r="N100" s="4">
        <f t="shared" si="5"/>
        <v>4</v>
      </c>
    </row>
    <row r="101" spans="1:14" x14ac:dyDescent="0.3">
      <c r="A101" s="9">
        <v>1100</v>
      </c>
      <c r="B101" s="9" t="s">
        <v>18</v>
      </c>
      <c r="C101" s="4" t="s">
        <v>31</v>
      </c>
      <c r="D101" s="4" t="s">
        <v>20</v>
      </c>
      <c r="E101" s="4" t="s">
        <v>21</v>
      </c>
      <c r="F101" s="4">
        <v>11</v>
      </c>
      <c r="G101" s="4">
        <v>296</v>
      </c>
      <c r="H101" s="4">
        <v>10</v>
      </c>
      <c r="I101" s="7">
        <v>46027</v>
      </c>
      <c r="J101" s="7">
        <v>46031</v>
      </c>
      <c r="K101" s="4" t="s">
        <v>81</v>
      </c>
      <c r="L101" s="4" t="str">
        <f t="shared" si="3"/>
        <v>RITESH</v>
      </c>
      <c r="M101" s="4" t="str">
        <f t="shared" si="4"/>
        <v>notebook</v>
      </c>
      <c r="N101" s="4">
        <f t="shared" si="5"/>
        <v>8</v>
      </c>
    </row>
    <row r="102" spans="1:14" x14ac:dyDescent="0.3">
      <c r="A102" s="9">
        <v>1101</v>
      </c>
      <c r="B102" s="9" t="s">
        <v>29</v>
      </c>
      <c r="C102" s="4" t="s">
        <v>26</v>
      </c>
      <c r="D102" s="4" t="s">
        <v>34</v>
      </c>
      <c r="E102" s="4" t="s">
        <v>12</v>
      </c>
      <c r="F102" s="4">
        <v>9</v>
      </c>
      <c r="G102" s="4">
        <v>37361</v>
      </c>
      <c r="H102" s="4">
        <v>10</v>
      </c>
      <c r="I102" s="7">
        <v>46141</v>
      </c>
      <c r="J102" s="7">
        <v>46142</v>
      </c>
      <c r="K102" s="4" t="s">
        <v>80</v>
      </c>
      <c r="L102" s="4" t="str">
        <f t="shared" ref="L102:L165" si="6">UPPER(B102)</f>
        <v>ARJUN</v>
      </c>
      <c r="M102" s="4" t="str">
        <f t="shared" ref="M102:M165" si="7">LOWER(E102)</f>
        <v>mouse</v>
      </c>
      <c r="N102" s="4">
        <f t="shared" ref="N102:N165" si="8">LEN(E102)</f>
        <v>5</v>
      </c>
    </row>
    <row r="103" spans="1:14" x14ac:dyDescent="0.3">
      <c r="A103" s="9">
        <v>1102</v>
      </c>
      <c r="B103" s="9" t="s">
        <v>52</v>
      </c>
      <c r="C103" s="4" t="s">
        <v>27</v>
      </c>
      <c r="D103" s="4" t="s">
        <v>34</v>
      </c>
      <c r="E103" s="4" t="s">
        <v>6</v>
      </c>
      <c r="F103" s="4">
        <v>12</v>
      </c>
      <c r="G103" s="4">
        <v>63402</v>
      </c>
      <c r="H103" s="4">
        <v>7</v>
      </c>
      <c r="I103" s="7">
        <v>46106</v>
      </c>
      <c r="J103" s="7">
        <v>46113</v>
      </c>
      <c r="K103" s="4" t="s">
        <v>81</v>
      </c>
      <c r="L103" s="4" t="str">
        <f t="shared" si="6"/>
        <v>MANOJ</v>
      </c>
      <c r="M103" s="4" t="str">
        <f t="shared" si="7"/>
        <v>monitor</v>
      </c>
      <c r="N103" s="4">
        <f t="shared" si="8"/>
        <v>7</v>
      </c>
    </row>
    <row r="104" spans="1:14" x14ac:dyDescent="0.3">
      <c r="A104" s="9">
        <v>1103</v>
      </c>
      <c r="B104" s="9" t="s">
        <v>22</v>
      </c>
      <c r="C104" s="4" t="s">
        <v>19</v>
      </c>
      <c r="D104" s="4" t="s">
        <v>24</v>
      </c>
      <c r="E104" s="4" t="s">
        <v>10</v>
      </c>
      <c r="F104" s="4">
        <v>7</v>
      </c>
      <c r="G104" s="4">
        <v>11925</v>
      </c>
      <c r="H104" s="4">
        <v>5</v>
      </c>
      <c r="I104" s="7">
        <v>46040</v>
      </c>
      <c r="J104" s="7">
        <v>46041</v>
      </c>
      <c r="K104" s="4" t="s">
        <v>49</v>
      </c>
      <c r="L104" s="4" t="str">
        <f t="shared" si="6"/>
        <v>POOJA</v>
      </c>
      <c r="M104" s="4" t="str">
        <f t="shared" si="7"/>
        <v>table</v>
      </c>
      <c r="N104" s="4">
        <f t="shared" si="8"/>
        <v>5</v>
      </c>
    </row>
    <row r="105" spans="1:14" x14ac:dyDescent="0.3">
      <c r="A105" s="9">
        <v>1104</v>
      </c>
      <c r="B105" s="9" t="s">
        <v>22</v>
      </c>
      <c r="C105" s="4" t="s">
        <v>42</v>
      </c>
      <c r="D105" s="4" t="s">
        <v>24</v>
      </c>
      <c r="E105" s="4" t="s">
        <v>7</v>
      </c>
      <c r="F105" s="4">
        <v>10</v>
      </c>
      <c r="G105" s="4">
        <v>12848</v>
      </c>
      <c r="H105" s="4">
        <v>15</v>
      </c>
      <c r="I105" s="7">
        <v>46060</v>
      </c>
      <c r="J105" s="7">
        <v>46064</v>
      </c>
      <c r="K105" s="4" t="s">
        <v>49</v>
      </c>
      <c r="L105" s="4" t="str">
        <f t="shared" si="6"/>
        <v>POOJA</v>
      </c>
      <c r="M105" s="4" t="str">
        <f t="shared" si="7"/>
        <v>desk</v>
      </c>
      <c r="N105" s="4">
        <f t="shared" si="8"/>
        <v>4</v>
      </c>
    </row>
    <row r="106" spans="1:14" x14ac:dyDescent="0.3">
      <c r="A106" s="9">
        <v>1105</v>
      </c>
      <c r="B106" s="9" t="s">
        <v>56</v>
      </c>
      <c r="C106" s="4" t="s">
        <v>27</v>
      </c>
      <c r="D106" s="4" t="s">
        <v>20</v>
      </c>
      <c r="E106" s="4" t="s">
        <v>48</v>
      </c>
      <c r="F106" s="4">
        <v>2</v>
      </c>
      <c r="G106" s="4">
        <v>493</v>
      </c>
      <c r="H106" s="4">
        <v>12</v>
      </c>
      <c r="I106" s="7">
        <v>46057</v>
      </c>
      <c r="J106" s="7">
        <v>46066</v>
      </c>
      <c r="K106" s="4" t="s">
        <v>81</v>
      </c>
      <c r="L106" s="4" t="str">
        <f t="shared" si="6"/>
        <v>ANITA</v>
      </c>
      <c r="M106" s="4" t="str">
        <f t="shared" si="7"/>
        <v>marker</v>
      </c>
      <c r="N106" s="4">
        <f t="shared" si="8"/>
        <v>6</v>
      </c>
    </row>
    <row r="107" spans="1:14" x14ac:dyDescent="0.3">
      <c r="A107" s="9">
        <v>1106</v>
      </c>
      <c r="B107" s="9" t="s">
        <v>29</v>
      </c>
      <c r="C107" s="4" t="s">
        <v>42</v>
      </c>
      <c r="D107" s="4" t="s">
        <v>24</v>
      </c>
      <c r="E107" s="4" t="s">
        <v>10</v>
      </c>
      <c r="F107" s="4">
        <v>20</v>
      </c>
      <c r="G107" s="4">
        <v>2141</v>
      </c>
      <c r="H107" s="4">
        <v>2</v>
      </c>
      <c r="I107" s="7">
        <v>46091</v>
      </c>
      <c r="J107" s="7">
        <v>46097</v>
      </c>
      <c r="K107" s="4" t="s">
        <v>49</v>
      </c>
      <c r="L107" s="4" t="str">
        <f t="shared" si="6"/>
        <v>ARJUN</v>
      </c>
      <c r="M107" s="4" t="str">
        <f t="shared" si="7"/>
        <v>table</v>
      </c>
      <c r="N107" s="4">
        <f t="shared" si="8"/>
        <v>5</v>
      </c>
    </row>
    <row r="108" spans="1:14" x14ac:dyDescent="0.3">
      <c r="A108" s="9">
        <v>1107</v>
      </c>
      <c r="B108" s="9" t="s">
        <v>50</v>
      </c>
      <c r="C108" s="4" t="s">
        <v>23</v>
      </c>
      <c r="D108" s="4" t="s">
        <v>34</v>
      </c>
      <c r="E108" s="4" t="s">
        <v>9</v>
      </c>
      <c r="F108" s="4">
        <v>4</v>
      </c>
      <c r="G108" s="4">
        <v>14291</v>
      </c>
      <c r="H108" s="4">
        <v>2</v>
      </c>
      <c r="I108" s="7">
        <v>46076</v>
      </c>
      <c r="J108" s="7">
        <v>46078</v>
      </c>
      <c r="K108" s="4" t="s">
        <v>78</v>
      </c>
      <c r="L108" s="4" t="str">
        <f t="shared" si="6"/>
        <v>KOMAL</v>
      </c>
      <c r="M108" s="4" t="str">
        <f t="shared" si="7"/>
        <v>laptop</v>
      </c>
      <c r="N108" s="4">
        <f t="shared" si="8"/>
        <v>6</v>
      </c>
    </row>
    <row r="109" spans="1:14" x14ac:dyDescent="0.3">
      <c r="A109" s="9">
        <v>1108</v>
      </c>
      <c r="B109" s="9" t="s">
        <v>41</v>
      </c>
      <c r="C109" s="4" t="s">
        <v>33</v>
      </c>
      <c r="D109" s="4" t="s">
        <v>24</v>
      </c>
      <c r="E109" s="4" t="s">
        <v>8</v>
      </c>
      <c r="F109" s="4">
        <v>15</v>
      </c>
      <c r="G109" s="4">
        <v>13843</v>
      </c>
      <c r="H109" s="4">
        <v>7</v>
      </c>
      <c r="I109" s="7">
        <v>46119</v>
      </c>
      <c r="J109" s="7">
        <v>46127</v>
      </c>
      <c r="K109" s="4" t="s">
        <v>79</v>
      </c>
      <c r="L109" s="4" t="str">
        <f t="shared" si="6"/>
        <v>NISHA</v>
      </c>
      <c r="M109" s="4" t="str">
        <f t="shared" si="7"/>
        <v>chair</v>
      </c>
      <c r="N109" s="4">
        <f t="shared" si="8"/>
        <v>5</v>
      </c>
    </row>
    <row r="110" spans="1:14" x14ac:dyDescent="0.3">
      <c r="A110" s="9">
        <v>1109</v>
      </c>
      <c r="B110" s="9" t="s">
        <v>25</v>
      </c>
      <c r="C110" s="4" t="s">
        <v>31</v>
      </c>
      <c r="D110" s="4" t="s">
        <v>24</v>
      </c>
      <c r="E110" s="4" t="s">
        <v>43</v>
      </c>
      <c r="F110" s="4">
        <v>19</v>
      </c>
      <c r="G110" s="4">
        <v>6512</v>
      </c>
      <c r="H110" s="4">
        <v>10</v>
      </c>
      <c r="I110" s="7">
        <v>46033</v>
      </c>
      <c r="J110" s="7">
        <v>46037</v>
      </c>
      <c r="K110" s="4" t="s">
        <v>79</v>
      </c>
      <c r="L110" s="4" t="str">
        <f t="shared" si="6"/>
        <v>MEERA</v>
      </c>
      <c r="M110" s="4" t="str">
        <f t="shared" si="7"/>
        <v>bookshelf</v>
      </c>
      <c r="N110" s="4">
        <f t="shared" si="8"/>
        <v>9</v>
      </c>
    </row>
    <row r="111" spans="1:14" x14ac:dyDescent="0.3">
      <c r="A111" s="9">
        <v>1110</v>
      </c>
      <c r="B111" s="9" t="s">
        <v>47</v>
      </c>
      <c r="C111" s="4" t="s">
        <v>38</v>
      </c>
      <c r="D111" s="4" t="s">
        <v>24</v>
      </c>
      <c r="E111" s="4" t="s">
        <v>10</v>
      </c>
      <c r="F111" s="4">
        <v>14</v>
      </c>
      <c r="G111" s="4">
        <v>6793</v>
      </c>
      <c r="H111" s="4">
        <v>7</v>
      </c>
      <c r="I111" s="7">
        <v>46077</v>
      </c>
      <c r="J111" s="7">
        <v>46082</v>
      </c>
      <c r="K111" s="4" t="s">
        <v>49</v>
      </c>
      <c r="L111" s="4" t="str">
        <f t="shared" si="6"/>
        <v>AJAY</v>
      </c>
      <c r="M111" s="4" t="str">
        <f t="shared" si="7"/>
        <v>table</v>
      </c>
      <c r="N111" s="4">
        <f t="shared" si="8"/>
        <v>5</v>
      </c>
    </row>
    <row r="112" spans="1:14" x14ac:dyDescent="0.3">
      <c r="A112" s="9">
        <v>1111</v>
      </c>
      <c r="B112" s="9" t="s">
        <v>45</v>
      </c>
      <c r="C112" s="4" t="s">
        <v>23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7">
        <v>46133</v>
      </c>
      <c r="J112" s="7">
        <v>46141</v>
      </c>
      <c r="K112" s="4" t="s">
        <v>49</v>
      </c>
      <c r="L112" s="4" t="str">
        <f t="shared" si="6"/>
        <v>YASH</v>
      </c>
      <c r="M112" s="4" t="str">
        <f t="shared" si="7"/>
        <v>printer</v>
      </c>
      <c r="N112" s="4">
        <f t="shared" si="8"/>
        <v>7</v>
      </c>
    </row>
    <row r="113" spans="1:14" x14ac:dyDescent="0.3">
      <c r="A113" s="9">
        <v>1112</v>
      </c>
      <c r="B113" s="9" t="s">
        <v>25</v>
      </c>
      <c r="C113" s="4" t="s">
        <v>42</v>
      </c>
      <c r="D113" s="4" t="s">
        <v>24</v>
      </c>
      <c r="E113" s="4" t="s">
        <v>43</v>
      </c>
      <c r="F113" s="4">
        <v>7</v>
      </c>
      <c r="G113" s="4">
        <v>1959</v>
      </c>
      <c r="H113" s="4">
        <v>15</v>
      </c>
      <c r="I113" s="7">
        <v>46090</v>
      </c>
      <c r="J113" s="7">
        <v>46100</v>
      </c>
      <c r="K113" s="4" t="s">
        <v>78</v>
      </c>
      <c r="L113" s="4" t="str">
        <f t="shared" si="6"/>
        <v>MEERA</v>
      </c>
      <c r="M113" s="4" t="str">
        <f t="shared" si="7"/>
        <v>bookshelf</v>
      </c>
      <c r="N113" s="4">
        <f t="shared" si="8"/>
        <v>9</v>
      </c>
    </row>
    <row r="114" spans="1:14" x14ac:dyDescent="0.3">
      <c r="A114" s="9">
        <v>1113</v>
      </c>
      <c r="B114" s="9" t="s">
        <v>28</v>
      </c>
      <c r="C114" s="4" t="s">
        <v>42</v>
      </c>
      <c r="D114" s="4" t="s">
        <v>24</v>
      </c>
      <c r="E114" s="4" t="s">
        <v>11</v>
      </c>
      <c r="F114" s="4">
        <v>13</v>
      </c>
      <c r="G114" s="4">
        <v>6719</v>
      </c>
      <c r="H114" s="4">
        <v>15</v>
      </c>
      <c r="I114" s="7">
        <v>46076</v>
      </c>
      <c r="J114" s="7">
        <v>46081</v>
      </c>
      <c r="K114" s="4" t="s">
        <v>80</v>
      </c>
      <c r="L114" s="4" t="str">
        <f t="shared" si="6"/>
        <v>VIKRAM</v>
      </c>
      <c r="M114" s="4" t="str">
        <f t="shared" si="7"/>
        <v>cabinet</v>
      </c>
      <c r="N114" s="4">
        <f t="shared" si="8"/>
        <v>7</v>
      </c>
    </row>
    <row r="115" spans="1:14" x14ac:dyDescent="0.3">
      <c r="A115" s="9">
        <v>1114</v>
      </c>
      <c r="B115" s="9" t="s">
        <v>22</v>
      </c>
      <c r="C115" s="4" t="s">
        <v>27</v>
      </c>
      <c r="D115" s="4" t="s">
        <v>20</v>
      </c>
      <c r="E115" s="4" t="s">
        <v>48</v>
      </c>
      <c r="F115" s="4">
        <v>13</v>
      </c>
      <c r="G115" s="4">
        <v>32</v>
      </c>
      <c r="H115" s="4">
        <v>15</v>
      </c>
      <c r="I115" s="7">
        <v>46066</v>
      </c>
      <c r="J115" s="7">
        <v>46069</v>
      </c>
      <c r="K115" s="4" t="s">
        <v>78</v>
      </c>
      <c r="L115" s="4" t="str">
        <f t="shared" si="6"/>
        <v>POOJA</v>
      </c>
      <c r="M115" s="4" t="str">
        <f t="shared" si="7"/>
        <v>marker</v>
      </c>
      <c r="N115" s="4">
        <f t="shared" si="8"/>
        <v>6</v>
      </c>
    </row>
    <row r="116" spans="1:14" x14ac:dyDescent="0.3">
      <c r="A116" s="9">
        <v>1115</v>
      </c>
      <c r="B116" s="9" t="s">
        <v>56</v>
      </c>
      <c r="C116" s="4" t="s">
        <v>42</v>
      </c>
      <c r="D116" s="4" t="s">
        <v>20</v>
      </c>
      <c r="E116" s="4" t="s">
        <v>48</v>
      </c>
      <c r="F116" s="4">
        <v>9</v>
      </c>
      <c r="G116" s="4">
        <v>303</v>
      </c>
      <c r="H116" s="4">
        <v>10</v>
      </c>
      <c r="I116" s="7">
        <v>46149</v>
      </c>
      <c r="J116" s="7">
        <v>46157</v>
      </c>
      <c r="K116" s="4" t="s">
        <v>49</v>
      </c>
      <c r="L116" s="4" t="str">
        <f t="shared" si="6"/>
        <v>ANITA</v>
      </c>
      <c r="M116" s="4" t="str">
        <f t="shared" si="7"/>
        <v>marker</v>
      </c>
      <c r="N116" s="4">
        <f t="shared" si="8"/>
        <v>6</v>
      </c>
    </row>
    <row r="117" spans="1:14" x14ac:dyDescent="0.3">
      <c r="A117" s="9">
        <v>1116</v>
      </c>
      <c r="B117" s="9" t="s">
        <v>22</v>
      </c>
      <c r="C117" s="4" t="s">
        <v>27</v>
      </c>
      <c r="D117" s="4" t="s">
        <v>24</v>
      </c>
      <c r="E117" s="4" t="s">
        <v>11</v>
      </c>
      <c r="F117" s="4">
        <v>2</v>
      </c>
      <c r="G117" s="4">
        <v>12692</v>
      </c>
      <c r="H117" s="4">
        <v>15</v>
      </c>
      <c r="I117" s="7">
        <v>46049</v>
      </c>
      <c r="J117" s="7">
        <v>46051</v>
      </c>
      <c r="K117" s="4" t="s">
        <v>78</v>
      </c>
      <c r="L117" s="4" t="str">
        <f t="shared" si="6"/>
        <v>POOJA</v>
      </c>
      <c r="M117" s="4" t="str">
        <f t="shared" si="7"/>
        <v>cabinet</v>
      </c>
      <c r="N117" s="4">
        <f t="shared" si="8"/>
        <v>7</v>
      </c>
    </row>
    <row r="118" spans="1:14" x14ac:dyDescent="0.3">
      <c r="A118" s="9">
        <v>1117</v>
      </c>
      <c r="B118" s="9" t="s">
        <v>53</v>
      </c>
      <c r="C118" s="4" t="s">
        <v>42</v>
      </c>
      <c r="D118" s="4" t="s">
        <v>34</v>
      </c>
      <c r="E118" s="4" t="s">
        <v>5</v>
      </c>
      <c r="F118" s="4">
        <v>16</v>
      </c>
      <c r="G118" s="4">
        <v>33162</v>
      </c>
      <c r="H118" s="4">
        <v>7</v>
      </c>
      <c r="I118" s="7">
        <v>46147</v>
      </c>
      <c r="J118" s="7">
        <v>46155</v>
      </c>
      <c r="K118" s="4" t="s">
        <v>49</v>
      </c>
      <c r="L118" s="4" t="str">
        <f t="shared" si="6"/>
        <v>SNEHA</v>
      </c>
      <c r="M118" s="4" t="str">
        <f t="shared" si="7"/>
        <v>keyboard</v>
      </c>
      <c r="N118" s="4">
        <f t="shared" si="8"/>
        <v>8</v>
      </c>
    </row>
    <row r="119" spans="1:14" x14ac:dyDescent="0.3">
      <c r="A119" s="9">
        <v>1118</v>
      </c>
      <c r="B119" s="9" t="s">
        <v>25</v>
      </c>
      <c r="C119" s="4" t="s">
        <v>26</v>
      </c>
      <c r="D119" s="4" t="s">
        <v>24</v>
      </c>
      <c r="E119" s="4" t="s">
        <v>10</v>
      </c>
      <c r="F119" s="4">
        <v>18</v>
      </c>
      <c r="G119" s="4">
        <v>9118</v>
      </c>
      <c r="H119" s="4">
        <v>5</v>
      </c>
      <c r="I119" s="7">
        <v>46178</v>
      </c>
      <c r="J119" s="7">
        <v>46187</v>
      </c>
      <c r="K119" s="4" t="s">
        <v>49</v>
      </c>
      <c r="L119" s="4" t="str">
        <f t="shared" si="6"/>
        <v>MEERA</v>
      </c>
      <c r="M119" s="4" t="str">
        <f t="shared" si="7"/>
        <v>table</v>
      </c>
      <c r="N119" s="4">
        <f t="shared" si="8"/>
        <v>5</v>
      </c>
    </row>
    <row r="120" spans="1:14" x14ac:dyDescent="0.3">
      <c r="A120" s="9">
        <v>1119</v>
      </c>
      <c r="B120" s="9" t="s">
        <v>30</v>
      </c>
      <c r="C120" s="4" t="s">
        <v>42</v>
      </c>
      <c r="D120" s="4" t="s">
        <v>24</v>
      </c>
      <c r="E120" s="4" t="s">
        <v>8</v>
      </c>
      <c r="F120" s="4">
        <v>2</v>
      </c>
      <c r="G120" s="4">
        <v>3706</v>
      </c>
      <c r="H120" s="4">
        <v>5</v>
      </c>
      <c r="I120" s="7">
        <v>46184</v>
      </c>
      <c r="J120" s="7">
        <v>46192</v>
      </c>
      <c r="K120" s="4" t="s">
        <v>81</v>
      </c>
      <c r="L120" s="4" t="str">
        <f t="shared" si="6"/>
        <v>NEHA</v>
      </c>
      <c r="M120" s="4" t="str">
        <f t="shared" si="7"/>
        <v>chair</v>
      </c>
      <c r="N120" s="4">
        <f t="shared" si="8"/>
        <v>5</v>
      </c>
    </row>
    <row r="121" spans="1:14" x14ac:dyDescent="0.3">
      <c r="A121" s="9">
        <v>1120</v>
      </c>
      <c r="B121" s="9" t="s">
        <v>32</v>
      </c>
      <c r="C121" s="4" t="s">
        <v>38</v>
      </c>
      <c r="D121" s="4" t="s">
        <v>20</v>
      </c>
      <c r="E121" s="4" t="s">
        <v>36</v>
      </c>
      <c r="F121" s="4">
        <v>10</v>
      </c>
      <c r="G121" s="4">
        <v>438</v>
      </c>
      <c r="H121" s="4">
        <v>10</v>
      </c>
      <c r="I121" s="7">
        <v>46061</v>
      </c>
      <c r="J121" s="7">
        <v>46065</v>
      </c>
      <c r="K121" s="4" t="s">
        <v>81</v>
      </c>
      <c r="L121" s="4" t="str">
        <f t="shared" si="6"/>
        <v>ASHA</v>
      </c>
      <c r="M121" s="4" t="str">
        <f t="shared" si="7"/>
        <v>stapler</v>
      </c>
      <c r="N121" s="4">
        <f t="shared" si="8"/>
        <v>7</v>
      </c>
    </row>
    <row r="122" spans="1:14" x14ac:dyDescent="0.3">
      <c r="A122" s="9">
        <v>1121</v>
      </c>
      <c r="B122" s="9" t="s">
        <v>49</v>
      </c>
      <c r="C122" s="4" t="s">
        <v>19</v>
      </c>
      <c r="D122" s="4" t="s">
        <v>34</v>
      </c>
      <c r="E122" s="4" t="s">
        <v>5</v>
      </c>
      <c r="F122" s="4">
        <v>4</v>
      </c>
      <c r="G122" s="4">
        <v>55809</v>
      </c>
      <c r="H122" s="4">
        <v>2</v>
      </c>
      <c r="I122" s="7">
        <v>46103</v>
      </c>
      <c r="J122" s="7">
        <v>46108</v>
      </c>
      <c r="K122" s="4" t="s">
        <v>49</v>
      </c>
      <c r="L122" s="4" t="str">
        <f t="shared" si="6"/>
        <v>PRIYA</v>
      </c>
      <c r="M122" s="4" t="str">
        <f t="shared" si="7"/>
        <v>keyboard</v>
      </c>
      <c r="N122" s="4">
        <f t="shared" si="8"/>
        <v>8</v>
      </c>
    </row>
    <row r="123" spans="1:14" x14ac:dyDescent="0.3">
      <c r="A123" s="9">
        <v>1122</v>
      </c>
      <c r="B123" s="9" t="s">
        <v>39</v>
      </c>
      <c r="C123" s="4" t="s">
        <v>26</v>
      </c>
      <c r="D123" s="4" t="s">
        <v>34</v>
      </c>
      <c r="E123" s="4" t="s">
        <v>5</v>
      </c>
      <c r="F123" s="4">
        <v>14</v>
      </c>
      <c r="G123" s="4">
        <v>49990</v>
      </c>
      <c r="H123" s="4">
        <v>10</v>
      </c>
      <c r="I123" s="7">
        <v>46132</v>
      </c>
      <c r="J123" s="7">
        <v>46135</v>
      </c>
      <c r="K123" s="4" t="s">
        <v>49</v>
      </c>
      <c r="L123" s="4" t="str">
        <f t="shared" si="6"/>
        <v>DEEPAK</v>
      </c>
      <c r="M123" s="4" t="str">
        <f t="shared" si="7"/>
        <v>keyboard</v>
      </c>
      <c r="N123" s="4">
        <f t="shared" si="8"/>
        <v>8</v>
      </c>
    </row>
    <row r="124" spans="1:14" x14ac:dyDescent="0.3">
      <c r="A124" s="9">
        <v>1123</v>
      </c>
      <c r="B124" s="9" t="s">
        <v>32</v>
      </c>
      <c r="C124" s="4" t="s">
        <v>31</v>
      </c>
      <c r="D124" s="4" t="s">
        <v>34</v>
      </c>
      <c r="E124" s="4" t="s">
        <v>6</v>
      </c>
      <c r="F124" s="4">
        <v>16</v>
      </c>
      <c r="G124" s="4">
        <v>1332</v>
      </c>
      <c r="H124" s="4">
        <v>7</v>
      </c>
      <c r="I124" s="7">
        <v>46107</v>
      </c>
      <c r="J124" s="7">
        <v>46109</v>
      </c>
      <c r="K124" s="4" t="s">
        <v>49</v>
      </c>
      <c r="L124" s="4" t="str">
        <f t="shared" si="6"/>
        <v>ASHA</v>
      </c>
      <c r="M124" s="4" t="str">
        <f t="shared" si="7"/>
        <v>monitor</v>
      </c>
      <c r="N124" s="4">
        <f t="shared" si="8"/>
        <v>7</v>
      </c>
    </row>
    <row r="125" spans="1:14" x14ac:dyDescent="0.3">
      <c r="A125" s="9">
        <v>1124</v>
      </c>
      <c r="B125" s="9" t="s">
        <v>29</v>
      </c>
      <c r="C125" s="4" t="s">
        <v>38</v>
      </c>
      <c r="D125" s="4" t="s">
        <v>24</v>
      </c>
      <c r="E125" s="4" t="s">
        <v>11</v>
      </c>
      <c r="F125" s="4">
        <v>4</v>
      </c>
      <c r="G125" s="4">
        <v>14195</v>
      </c>
      <c r="H125" s="4">
        <v>15</v>
      </c>
      <c r="I125" s="7">
        <v>46182</v>
      </c>
      <c r="J125" s="7">
        <v>46189</v>
      </c>
      <c r="K125" s="4" t="s">
        <v>81</v>
      </c>
      <c r="L125" s="4" t="str">
        <f t="shared" si="6"/>
        <v>ARJUN</v>
      </c>
      <c r="M125" s="4" t="str">
        <f t="shared" si="7"/>
        <v>cabinet</v>
      </c>
      <c r="N125" s="4">
        <f t="shared" si="8"/>
        <v>7</v>
      </c>
    </row>
    <row r="126" spans="1:14" x14ac:dyDescent="0.3">
      <c r="A126" s="9">
        <v>1125</v>
      </c>
      <c r="B126" s="9" t="s">
        <v>47</v>
      </c>
      <c r="C126" s="4" t="s">
        <v>33</v>
      </c>
      <c r="D126" s="4" t="s">
        <v>20</v>
      </c>
      <c r="E126" s="4" t="s">
        <v>21</v>
      </c>
      <c r="F126" s="4">
        <v>6</v>
      </c>
      <c r="G126" s="4">
        <v>30</v>
      </c>
      <c r="H126" s="4">
        <v>2</v>
      </c>
      <c r="I126" s="7">
        <v>46133</v>
      </c>
      <c r="J126" s="7">
        <v>46138</v>
      </c>
      <c r="K126" s="4" t="s">
        <v>80</v>
      </c>
      <c r="L126" s="4" t="str">
        <f t="shared" si="6"/>
        <v>AJAY</v>
      </c>
      <c r="M126" s="4" t="str">
        <f t="shared" si="7"/>
        <v>notebook</v>
      </c>
      <c r="N126" s="4">
        <f t="shared" si="8"/>
        <v>8</v>
      </c>
    </row>
    <row r="127" spans="1:14" x14ac:dyDescent="0.3">
      <c r="A127" s="9">
        <v>1126</v>
      </c>
      <c r="B127" s="9" t="s">
        <v>44</v>
      </c>
      <c r="C127" s="4" t="s">
        <v>26</v>
      </c>
      <c r="D127" s="4" t="s">
        <v>34</v>
      </c>
      <c r="E127" s="4" t="s">
        <v>5</v>
      </c>
      <c r="F127" s="4">
        <v>17</v>
      </c>
      <c r="G127" s="4">
        <v>19390</v>
      </c>
      <c r="H127" s="4">
        <v>12</v>
      </c>
      <c r="I127" s="7">
        <v>46201</v>
      </c>
      <c r="J127" s="7">
        <v>46206</v>
      </c>
      <c r="K127" s="4" t="s">
        <v>49</v>
      </c>
      <c r="L127" s="4" t="str">
        <f t="shared" si="6"/>
        <v>KIRAN</v>
      </c>
      <c r="M127" s="4" t="str">
        <f t="shared" si="7"/>
        <v>keyboard</v>
      </c>
      <c r="N127" s="4">
        <f t="shared" si="8"/>
        <v>8</v>
      </c>
    </row>
    <row r="128" spans="1:14" x14ac:dyDescent="0.3">
      <c r="A128" s="9">
        <v>1127</v>
      </c>
      <c r="B128" s="9" t="s">
        <v>28</v>
      </c>
      <c r="C128" s="4" t="s">
        <v>33</v>
      </c>
      <c r="D128" s="4" t="s">
        <v>24</v>
      </c>
      <c r="E128" s="4" t="s">
        <v>8</v>
      </c>
      <c r="F128" s="4">
        <v>15</v>
      </c>
      <c r="G128" s="4">
        <v>11694</v>
      </c>
      <c r="H128" s="4">
        <v>12</v>
      </c>
      <c r="I128" s="7">
        <v>46170</v>
      </c>
      <c r="J128" s="7">
        <v>46179</v>
      </c>
      <c r="K128" s="4" t="s">
        <v>49</v>
      </c>
      <c r="L128" s="4" t="str">
        <f t="shared" si="6"/>
        <v>VIKRAM</v>
      </c>
      <c r="M128" s="4" t="str">
        <f t="shared" si="7"/>
        <v>chair</v>
      </c>
      <c r="N128" s="4">
        <f t="shared" si="8"/>
        <v>5</v>
      </c>
    </row>
    <row r="129" spans="1:14" x14ac:dyDescent="0.3">
      <c r="A129" s="9">
        <v>1128</v>
      </c>
      <c r="B129" s="9" t="s">
        <v>30</v>
      </c>
      <c r="C129" s="4" t="s">
        <v>26</v>
      </c>
      <c r="D129" s="4" t="s">
        <v>34</v>
      </c>
      <c r="E129" s="4" t="s">
        <v>12</v>
      </c>
      <c r="F129" s="4">
        <v>6</v>
      </c>
      <c r="G129" s="4">
        <v>5001</v>
      </c>
      <c r="H129" s="4">
        <v>7</v>
      </c>
      <c r="I129" s="7">
        <v>46044</v>
      </c>
      <c r="J129" s="7">
        <v>46050</v>
      </c>
      <c r="K129" s="4" t="s">
        <v>49</v>
      </c>
      <c r="L129" s="4" t="str">
        <f t="shared" si="6"/>
        <v>NEHA</v>
      </c>
      <c r="M129" s="4" t="str">
        <f t="shared" si="7"/>
        <v>mouse</v>
      </c>
      <c r="N129" s="4">
        <f t="shared" si="8"/>
        <v>5</v>
      </c>
    </row>
    <row r="130" spans="1:14" x14ac:dyDescent="0.3">
      <c r="A130" s="9">
        <v>1129</v>
      </c>
      <c r="B130" s="9" t="s">
        <v>55</v>
      </c>
      <c r="C130" s="4" t="s">
        <v>23</v>
      </c>
      <c r="D130" s="4" t="s">
        <v>20</v>
      </c>
      <c r="E130" s="4" t="s">
        <v>48</v>
      </c>
      <c r="F130" s="4">
        <v>15</v>
      </c>
      <c r="G130" s="4">
        <v>75</v>
      </c>
      <c r="H130" s="4">
        <v>7</v>
      </c>
      <c r="I130" s="7">
        <v>46160</v>
      </c>
      <c r="J130" s="7">
        <v>46164</v>
      </c>
      <c r="K130" s="4" t="s">
        <v>49</v>
      </c>
      <c r="L130" s="4" t="str">
        <f t="shared" si="6"/>
        <v>ROHAN</v>
      </c>
      <c r="M130" s="4" t="str">
        <f t="shared" si="7"/>
        <v>marker</v>
      </c>
      <c r="N130" s="4">
        <f t="shared" si="8"/>
        <v>6</v>
      </c>
    </row>
    <row r="131" spans="1:14" x14ac:dyDescent="0.3">
      <c r="A131" s="9">
        <v>1130</v>
      </c>
      <c r="B131" s="9" t="s">
        <v>46</v>
      </c>
      <c r="C131" s="4" t="s">
        <v>33</v>
      </c>
      <c r="D131" s="4" t="s">
        <v>20</v>
      </c>
      <c r="E131" s="4" t="s">
        <v>21</v>
      </c>
      <c r="F131" s="4">
        <v>12</v>
      </c>
      <c r="G131" s="4">
        <v>50</v>
      </c>
      <c r="H131" s="4">
        <v>2</v>
      </c>
      <c r="I131" s="7">
        <v>46125</v>
      </c>
      <c r="J131" s="7">
        <v>46131</v>
      </c>
      <c r="K131" s="4" t="s">
        <v>80</v>
      </c>
      <c r="L131" s="4" t="str">
        <f t="shared" si="6"/>
        <v>NITIN</v>
      </c>
      <c r="M131" s="4" t="str">
        <f t="shared" si="7"/>
        <v>notebook</v>
      </c>
      <c r="N131" s="4">
        <f t="shared" si="8"/>
        <v>8</v>
      </c>
    </row>
    <row r="132" spans="1:14" x14ac:dyDescent="0.3">
      <c r="A132" s="9">
        <v>1131</v>
      </c>
      <c r="B132" s="9" t="s">
        <v>25</v>
      </c>
      <c r="C132" s="4" t="s">
        <v>31</v>
      </c>
      <c r="D132" s="4" t="s">
        <v>24</v>
      </c>
      <c r="E132" s="4" t="s">
        <v>10</v>
      </c>
      <c r="F132" s="4">
        <v>13</v>
      </c>
      <c r="G132" s="4">
        <v>3083</v>
      </c>
      <c r="H132" s="4">
        <v>7</v>
      </c>
      <c r="I132" s="7">
        <v>46168</v>
      </c>
      <c r="J132" s="7">
        <v>46173</v>
      </c>
      <c r="K132" s="4" t="s">
        <v>81</v>
      </c>
      <c r="L132" s="4" t="str">
        <f t="shared" si="6"/>
        <v>MEERA</v>
      </c>
      <c r="M132" s="4" t="str">
        <f t="shared" si="7"/>
        <v>table</v>
      </c>
      <c r="N132" s="4">
        <f t="shared" si="8"/>
        <v>5</v>
      </c>
    </row>
    <row r="133" spans="1:14" x14ac:dyDescent="0.3">
      <c r="A133" s="9">
        <v>1132</v>
      </c>
      <c r="B133" s="9" t="s">
        <v>18</v>
      </c>
      <c r="C133" s="4" t="s">
        <v>31</v>
      </c>
      <c r="D133" s="4" t="s">
        <v>20</v>
      </c>
      <c r="E133" s="4" t="s">
        <v>48</v>
      </c>
      <c r="F133" s="4">
        <v>10</v>
      </c>
      <c r="G133" s="4">
        <v>270</v>
      </c>
      <c r="H133" s="4">
        <v>7</v>
      </c>
      <c r="I133" s="7">
        <v>46024</v>
      </c>
      <c r="J133" s="7">
        <v>46034</v>
      </c>
      <c r="K133" s="4" t="s">
        <v>80</v>
      </c>
      <c r="L133" s="4" t="str">
        <f t="shared" si="6"/>
        <v>RITESH</v>
      </c>
      <c r="M133" s="4" t="str">
        <f t="shared" si="7"/>
        <v>marker</v>
      </c>
      <c r="N133" s="4">
        <f t="shared" si="8"/>
        <v>6</v>
      </c>
    </row>
    <row r="134" spans="1:14" x14ac:dyDescent="0.3">
      <c r="A134" s="9">
        <v>1133</v>
      </c>
      <c r="B134" s="9" t="s">
        <v>18</v>
      </c>
      <c r="C134" s="4" t="s">
        <v>19</v>
      </c>
      <c r="D134" s="4" t="s">
        <v>24</v>
      </c>
      <c r="E134" s="4" t="s">
        <v>11</v>
      </c>
      <c r="F134" s="4">
        <v>6</v>
      </c>
      <c r="G134" s="4">
        <v>9037</v>
      </c>
      <c r="H134" s="4">
        <v>2</v>
      </c>
      <c r="I134" s="7">
        <v>46112</v>
      </c>
      <c r="J134" s="7">
        <v>46121</v>
      </c>
      <c r="K134" s="4" t="s">
        <v>81</v>
      </c>
      <c r="L134" s="4" t="str">
        <f t="shared" si="6"/>
        <v>RITESH</v>
      </c>
      <c r="M134" s="4" t="str">
        <f t="shared" si="7"/>
        <v>cabinet</v>
      </c>
      <c r="N134" s="4">
        <f t="shared" si="8"/>
        <v>7</v>
      </c>
    </row>
    <row r="135" spans="1:14" x14ac:dyDescent="0.3">
      <c r="A135" s="9">
        <v>1134</v>
      </c>
      <c r="B135" s="9" t="s">
        <v>54</v>
      </c>
      <c r="C135" s="4" t="s">
        <v>31</v>
      </c>
      <c r="D135" s="4" t="s">
        <v>34</v>
      </c>
      <c r="E135" s="4" t="s">
        <v>12</v>
      </c>
      <c r="F135" s="4">
        <v>10</v>
      </c>
      <c r="G135" s="4">
        <v>29217</v>
      </c>
      <c r="H135" s="4">
        <v>15</v>
      </c>
      <c r="I135" s="7">
        <v>46148</v>
      </c>
      <c r="J135" s="7">
        <v>46150</v>
      </c>
      <c r="K135" s="4" t="s">
        <v>80</v>
      </c>
      <c r="L135" s="4" t="str">
        <f t="shared" si="6"/>
        <v>SARA</v>
      </c>
      <c r="M135" s="4" t="str">
        <f t="shared" si="7"/>
        <v>mouse</v>
      </c>
      <c r="N135" s="4">
        <f t="shared" si="8"/>
        <v>5</v>
      </c>
    </row>
    <row r="136" spans="1:14" x14ac:dyDescent="0.3">
      <c r="A136" s="9">
        <v>1135</v>
      </c>
      <c r="B136" s="9" t="s">
        <v>47</v>
      </c>
      <c r="C136" s="4" t="s">
        <v>42</v>
      </c>
      <c r="D136" s="4" t="s">
        <v>34</v>
      </c>
      <c r="E136" s="4" t="s">
        <v>5</v>
      </c>
      <c r="F136" s="4">
        <v>14</v>
      </c>
      <c r="G136" s="4">
        <v>68534</v>
      </c>
      <c r="H136" s="4">
        <v>0</v>
      </c>
      <c r="I136" s="7">
        <v>46041</v>
      </c>
      <c r="J136" s="7">
        <v>46042</v>
      </c>
      <c r="K136" s="4" t="s">
        <v>78</v>
      </c>
      <c r="L136" s="4" t="str">
        <f t="shared" si="6"/>
        <v>AJAY</v>
      </c>
      <c r="M136" s="4" t="str">
        <f t="shared" si="7"/>
        <v>keyboard</v>
      </c>
      <c r="N136" s="4">
        <f t="shared" si="8"/>
        <v>8</v>
      </c>
    </row>
    <row r="137" spans="1:14" x14ac:dyDescent="0.3">
      <c r="A137" s="9">
        <v>1136</v>
      </c>
      <c r="B137" s="9" t="s">
        <v>29</v>
      </c>
      <c r="C137" s="4" t="s">
        <v>42</v>
      </c>
      <c r="D137" s="4" t="s">
        <v>24</v>
      </c>
      <c r="E137" s="4" t="s">
        <v>11</v>
      </c>
      <c r="F137" s="4">
        <v>19</v>
      </c>
      <c r="G137" s="4">
        <v>14528</v>
      </c>
      <c r="H137" s="4">
        <v>12</v>
      </c>
      <c r="I137" s="7">
        <v>46056</v>
      </c>
      <c r="J137" s="7">
        <v>46062</v>
      </c>
      <c r="K137" s="4" t="s">
        <v>80</v>
      </c>
      <c r="L137" s="4" t="str">
        <f t="shared" si="6"/>
        <v>ARJUN</v>
      </c>
      <c r="M137" s="4" t="str">
        <f t="shared" si="7"/>
        <v>cabinet</v>
      </c>
      <c r="N137" s="4">
        <f t="shared" si="8"/>
        <v>7</v>
      </c>
    </row>
    <row r="138" spans="1:14" x14ac:dyDescent="0.3">
      <c r="A138" s="9">
        <v>1137</v>
      </c>
      <c r="B138" s="9" t="s">
        <v>50</v>
      </c>
      <c r="C138" s="4" t="s">
        <v>19</v>
      </c>
      <c r="D138" s="4" t="s">
        <v>20</v>
      </c>
      <c r="E138" s="4" t="s">
        <v>37</v>
      </c>
      <c r="F138" s="4">
        <v>16</v>
      </c>
      <c r="G138" s="4">
        <v>270</v>
      </c>
      <c r="H138" s="4">
        <v>10</v>
      </c>
      <c r="I138" s="7">
        <v>46184</v>
      </c>
      <c r="J138" s="7">
        <v>46190</v>
      </c>
      <c r="K138" s="4" t="s">
        <v>49</v>
      </c>
      <c r="L138" s="4" t="str">
        <f t="shared" si="6"/>
        <v>KOMAL</v>
      </c>
      <c r="M138" s="4" t="str">
        <f t="shared" si="7"/>
        <v>pen pack</v>
      </c>
      <c r="N138" s="4">
        <f t="shared" si="8"/>
        <v>8</v>
      </c>
    </row>
    <row r="139" spans="1:14" x14ac:dyDescent="0.3">
      <c r="A139" s="9">
        <v>1138</v>
      </c>
      <c r="B139" s="9" t="s">
        <v>53</v>
      </c>
      <c r="C139" s="4" t="s">
        <v>42</v>
      </c>
      <c r="D139" s="4" t="s">
        <v>24</v>
      </c>
      <c r="E139" s="4" t="s">
        <v>7</v>
      </c>
      <c r="F139" s="4">
        <v>5</v>
      </c>
      <c r="G139" s="4">
        <v>14466</v>
      </c>
      <c r="H139" s="4">
        <v>2</v>
      </c>
      <c r="I139" s="7">
        <v>46084</v>
      </c>
      <c r="J139" s="7">
        <v>46092</v>
      </c>
      <c r="K139" s="4" t="s">
        <v>81</v>
      </c>
      <c r="L139" s="4" t="str">
        <f t="shared" si="6"/>
        <v>SNEHA</v>
      </c>
      <c r="M139" s="4" t="str">
        <f t="shared" si="7"/>
        <v>desk</v>
      </c>
      <c r="N139" s="4">
        <f t="shared" si="8"/>
        <v>4</v>
      </c>
    </row>
    <row r="140" spans="1:14" x14ac:dyDescent="0.3">
      <c r="A140" s="9">
        <v>1139</v>
      </c>
      <c r="B140" s="9" t="s">
        <v>53</v>
      </c>
      <c r="C140" s="4" t="s">
        <v>33</v>
      </c>
      <c r="D140" s="4" t="s">
        <v>34</v>
      </c>
      <c r="E140" s="4" t="s">
        <v>12</v>
      </c>
      <c r="F140" s="4">
        <v>17</v>
      </c>
      <c r="G140" s="4">
        <v>28839</v>
      </c>
      <c r="H140" s="4">
        <v>10</v>
      </c>
      <c r="I140" s="7">
        <v>46093</v>
      </c>
      <c r="J140" s="7">
        <v>46099</v>
      </c>
      <c r="K140" s="4" t="s">
        <v>78</v>
      </c>
      <c r="L140" s="4" t="str">
        <f t="shared" si="6"/>
        <v>SNEHA</v>
      </c>
      <c r="M140" s="4" t="str">
        <f t="shared" si="7"/>
        <v>mouse</v>
      </c>
      <c r="N140" s="4">
        <f t="shared" si="8"/>
        <v>5</v>
      </c>
    </row>
    <row r="141" spans="1:14" x14ac:dyDescent="0.3">
      <c r="A141" s="9">
        <v>1140</v>
      </c>
      <c r="B141" s="9" t="s">
        <v>54</v>
      </c>
      <c r="C141" s="4" t="s">
        <v>38</v>
      </c>
      <c r="D141" s="4" t="s">
        <v>34</v>
      </c>
      <c r="E141" s="4" t="s">
        <v>40</v>
      </c>
      <c r="F141" s="4">
        <v>5</v>
      </c>
      <c r="G141" s="4">
        <v>68012</v>
      </c>
      <c r="H141" s="4">
        <v>5</v>
      </c>
      <c r="I141" s="7">
        <v>46061</v>
      </c>
      <c r="J141" s="7">
        <v>46065</v>
      </c>
      <c r="K141" s="4" t="s">
        <v>78</v>
      </c>
      <c r="L141" s="4" t="str">
        <f t="shared" si="6"/>
        <v>SARA</v>
      </c>
      <c r="M141" s="4" t="str">
        <f t="shared" si="7"/>
        <v>headset</v>
      </c>
      <c r="N141" s="4">
        <f t="shared" si="8"/>
        <v>7</v>
      </c>
    </row>
    <row r="142" spans="1:14" x14ac:dyDescent="0.3">
      <c r="A142" s="9">
        <v>1141</v>
      </c>
      <c r="B142" s="9" t="s">
        <v>18</v>
      </c>
      <c r="C142" s="4" t="s">
        <v>23</v>
      </c>
      <c r="D142" s="4" t="s">
        <v>24</v>
      </c>
      <c r="E142" s="4" t="s">
        <v>43</v>
      </c>
      <c r="F142" s="4">
        <v>20</v>
      </c>
      <c r="G142" s="4">
        <v>6835</v>
      </c>
      <c r="H142" s="4">
        <v>2</v>
      </c>
      <c r="I142" s="7">
        <v>46043</v>
      </c>
      <c r="J142" s="7">
        <v>46053</v>
      </c>
      <c r="K142" s="4" t="s">
        <v>78</v>
      </c>
      <c r="L142" s="4" t="str">
        <f t="shared" si="6"/>
        <v>RITESH</v>
      </c>
      <c r="M142" s="4" t="str">
        <f t="shared" si="7"/>
        <v>bookshelf</v>
      </c>
      <c r="N142" s="4">
        <f t="shared" si="8"/>
        <v>9</v>
      </c>
    </row>
    <row r="143" spans="1:14" x14ac:dyDescent="0.3">
      <c r="A143" s="9">
        <v>1142</v>
      </c>
      <c r="B143" s="9" t="s">
        <v>39</v>
      </c>
      <c r="C143" s="4" t="s">
        <v>27</v>
      </c>
      <c r="D143" s="4" t="s">
        <v>34</v>
      </c>
      <c r="E143" s="4" t="s">
        <v>9</v>
      </c>
      <c r="F143" s="4">
        <v>9</v>
      </c>
      <c r="G143" s="4">
        <v>59788</v>
      </c>
      <c r="H143" s="4">
        <v>7</v>
      </c>
      <c r="I143" s="7">
        <v>46064</v>
      </c>
      <c r="J143" s="7">
        <v>46071</v>
      </c>
      <c r="K143" s="4" t="s">
        <v>49</v>
      </c>
      <c r="L143" s="4" t="str">
        <f t="shared" si="6"/>
        <v>DEEPAK</v>
      </c>
      <c r="M143" s="4" t="str">
        <f t="shared" si="7"/>
        <v>laptop</v>
      </c>
      <c r="N143" s="4">
        <f t="shared" si="8"/>
        <v>6</v>
      </c>
    </row>
    <row r="144" spans="1:14" x14ac:dyDescent="0.3">
      <c r="A144" s="9">
        <v>1143</v>
      </c>
      <c r="B144" s="9" t="s">
        <v>49</v>
      </c>
      <c r="C144" s="4" t="s">
        <v>23</v>
      </c>
      <c r="D144" s="4" t="s">
        <v>20</v>
      </c>
      <c r="E144" s="4" t="s">
        <v>37</v>
      </c>
      <c r="F144" s="4">
        <v>13</v>
      </c>
      <c r="G144" s="4">
        <v>456</v>
      </c>
      <c r="H144" s="4">
        <v>2</v>
      </c>
      <c r="I144" s="7">
        <v>46160</v>
      </c>
      <c r="J144" s="7">
        <v>46167</v>
      </c>
      <c r="K144" s="4" t="s">
        <v>80</v>
      </c>
      <c r="L144" s="4" t="str">
        <f t="shared" si="6"/>
        <v>PRIYA</v>
      </c>
      <c r="M144" s="4" t="str">
        <f t="shared" si="7"/>
        <v>pen pack</v>
      </c>
      <c r="N144" s="4">
        <f t="shared" si="8"/>
        <v>8</v>
      </c>
    </row>
    <row r="145" spans="1:14" x14ac:dyDescent="0.3">
      <c r="A145" s="9">
        <v>1144</v>
      </c>
      <c r="B145" s="9" t="s">
        <v>41</v>
      </c>
      <c r="C145" s="4" t="s">
        <v>27</v>
      </c>
      <c r="D145" s="4" t="s">
        <v>20</v>
      </c>
      <c r="E145" s="4" t="s">
        <v>21</v>
      </c>
      <c r="F145" s="4">
        <v>16</v>
      </c>
      <c r="G145" s="4">
        <v>219</v>
      </c>
      <c r="H145" s="4">
        <v>7</v>
      </c>
      <c r="I145" s="7">
        <v>46138</v>
      </c>
      <c r="J145" s="7">
        <v>46140</v>
      </c>
      <c r="K145" s="4" t="s">
        <v>79</v>
      </c>
      <c r="L145" s="4" t="str">
        <f t="shared" si="6"/>
        <v>NISHA</v>
      </c>
      <c r="M145" s="4" t="str">
        <f t="shared" si="7"/>
        <v>notebook</v>
      </c>
      <c r="N145" s="4">
        <f t="shared" si="8"/>
        <v>8</v>
      </c>
    </row>
    <row r="146" spans="1:14" x14ac:dyDescent="0.3">
      <c r="A146" s="9">
        <v>1145</v>
      </c>
      <c r="B146" s="9" t="s">
        <v>41</v>
      </c>
      <c r="C146" s="4" t="s">
        <v>33</v>
      </c>
      <c r="D146" s="4" t="s">
        <v>34</v>
      </c>
      <c r="E146" s="4" t="s">
        <v>5</v>
      </c>
      <c r="F146" s="4">
        <v>2</v>
      </c>
      <c r="G146" s="4">
        <v>34429</v>
      </c>
      <c r="H146" s="4">
        <v>12</v>
      </c>
      <c r="I146" s="7">
        <v>46102</v>
      </c>
      <c r="J146" s="7">
        <v>46112</v>
      </c>
      <c r="K146" s="4" t="s">
        <v>80</v>
      </c>
      <c r="L146" s="4" t="str">
        <f t="shared" si="6"/>
        <v>NISHA</v>
      </c>
      <c r="M146" s="4" t="str">
        <f t="shared" si="7"/>
        <v>keyboard</v>
      </c>
      <c r="N146" s="4">
        <f t="shared" si="8"/>
        <v>8</v>
      </c>
    </row>
    <row r="147" spans="1:14" x14ac:dyDescent="0.3">
      <c r="A147" s="9">
        <v>1146</v>
      </c>
      <c r="B147" s="9" t="s">
        <v>22</v>
      </c>
      <c r="C147" s="4" t="s">
        <v>42</v>
      </c>
      <c r="D147" s="4" t="s">
        <v>34</v>
      </c>
      <c r="E147" s="4" t="s">
        <v>6</v>
      </c>
      <c r="F147" s="4">
        <v>7</v>
      </c>
      <c r="G147" s="4">
        <v>68217</v>
      </c>
      <c r="H147" s="4">
        <v>0</v>
      </c>
      <c r="I147" s="7">
        <v>46190</v>
      </c>
      <c r="J147" s="7">
        <v>46197</v>
      </c>
      <c r="K147" s="4" t="s">
        <v>49</v>
      </c>
      <c r="L147" s="4" t="str">
        <f t="shared" si="6"/>
        <v>POOJA</v>
      </c>
      <c r="M147" s="4" t="str">
        <f t="shared" si="7"/>
        <v>monitor</v>
      </c>
      <c r="N147" s="4">
        <f t="shared" si="8"/>
        <v>7</v>
      </c>
    </row>
    <row r="148" spans="1:14" x14ac:dyDescent="0.3">
      <c r="A148" s="9">
        <v>1147</v>
      </c>
      <c r="B148" s="9" t="s">
        <v>18</v>
      </c>
      <c r="C148" s="4" t="s">
        <v>26</v>
      </c>
      <c r="D148" s="4" t="s">
        <v>24</v>
      </c>
      <c r="E148" s="4" t="s">
        <v>8</v>
      </c>
      <c r="F148" s="4">
        <v>7</v>
      </c>
      <c r="G148" s="4">
        <v>9581</v>
      </c>
      <c r="H148" s="4">
        <v>5</v>
      </c>
      <c r="I148" s="7">
        <v>46154</v>
      </c>
      <c r="J148" s="7">
        <v>46155</v>
      </c>
      <c r="K148" s="4" t="s">
        <v>79</v>
      </c>
      <c r="L148" s="4" t="str">
        <f t="shared" si="6"/>
        <v>RITESH</v>
      </c>
      <c r="M148" s="4" t="str">
        <f t="shared" si="7"/>
        <v>chair</v>
      </c>
      <c r="N148" s="4">
        <f t="shared" si="8"/>
        <v>5</v>
      </c>
    </row>
    <row r="149" spans="1:14" x14ac:dyDescent="0.3">
      <c r="A149" s="9">
        <v>1148</v>
      </c>
      <c r="B149" s="9" t="s">
        <v>56</v>
      </c>
      <c r="C149" s="4" t="s">
        <v>33</v>
      </c>
      <c r="D149" s="4" t="s">
        <v>24</v>
      </c>
      <c r="E149" s="4" t="s">
        <v>8</v>
      </c>
      <c r="F149" s="4">
        <v>11</v>
      </c>
      <c r="G149" s="4">
        <v>3023</v>
      </c>
      <c r="H149" s="4">
        <v>7</v>
      </c>
      <c r="I149" s="7">
        <v>46030</v>
      </c>
      <c r="J149" s="7">
        <v>46032</v>
      </c>
      <c r="K149" s="4" t="s">
        <v>80</v>
      </c>
      <c r="L149" s="4" t="str">
        <f t="shared" si="6"/>
        <v>ANITA</v>
      </c>
      <c r="M149" s="4" t="str">
        <f t="shared" si="7"/>
        <v>chair</v>
      </c>
      <c r="N149" s="4">
        <f t="shared" si="8"/>
        <v>5</v>
      </c>
    </row>
    <row r="150" spans="1:14" x14ac:dyDescent="0.3">
      <c r="A150" s="9">
        <v>1149</v>
      </c>
      <c r="B150" s="9" t="s">
        <v>28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7">
        <v>46053</v>
      </c>
      <c r="J150" s="7">
        <v>46054</v>
      </c>
      <c r="K150" s="4" t="s">
        <v>49</v>
      </c>
      <c r="L150" s="4" t="str">
        <f t="shared" si="6"/>
        <v>VIKRAM</v>
      </c>
      <c r="M150" s="4" t="str">
        <f t="shared" si="7"/>
        <v>printer</v>
      </c>
      <c r="N150" s="4">
        <f t="shared" si="8"/>
        <v>7</v>
      </c>
    </row>
    <row r="151" spans="1:14" x14ac:dyDescent="0.3">
      <c r="A151" s="9">
        <v>1150</v>
      </c>
      <c r="B151" s="9" t="s">
        <v>41</v>
      </c>
      <c r="C151" s="4" t="s">
        <v>19</v>
      </c>
      <c r="D151" s="4" t="s">
        <v>24</v>
      </c>
      <c r="E151" s="4" t="s">
        <v>11</v>
      </c>
      <c r="F151" s="4">
        <v>10</v>
      </c>
      <c r="G151" s="4">
        <v>5323</v>
      </c>
      <c r="H151" s="4">
        <v>7</v>
      </c>
      <c r="I151" s="7">
        <v>46143</v>
      </c>
      <c r="J151" s="7">
        <v>46153</v>
      </c>
      <c r="K151" s="4" t="s">
        <v>80</v>
      </c>
      <c r="L151" s="4" t="str">
        <f t="shared" si="6"/>
        <v>NISHA</v>
      </c>
      <c r="M151" s="4" t="str">
        <f t="shared" si="7"/>
        <v>cabinet</v>
      </c>
      <c r="N151" s="4">
        <f t="shared" si="8"/>
        <v>7</v>
      </c>
    </row>
    <row r="152" spans="1:14" x14ac:dyDescent="0.3">
      <c r="A152" s="9">
        <v>1151</v>
      </c>
      <c r="B152" s="9" t="s">
        <v>44</v>
      </c>
      <c r="C152" s="4" t="s">
        <v>42</v>
      </c>
      <c r="D152" s="4" t="s">
        <v>20</v>
      </c>
      <c r="E152" s="4" t="s">
        <v>48</v>
      </c>
      <c r="F152" s="4">
        <v>20</v>
      </c>
      <c r="G152" s="4">
        <v>272</v>
      </c>
      <c r="H152" s="4">
        <v>15</v>
      </c>
      <c r="I152" s="7">
        <v>46024</v>
      </c>
      <c r="J152" s="7">
        <v>46029</v>
      </c>
      <c r="K152" s="4" t="s">
        <v>81</v>
      </c>
      <c r="L152" s="4" t="str">
        <f t="shared" si="6"/>
        <v>KIRAN</v>
      </c>
      <c r="M152" s="4" t="str">
        <f t="shared" si="7"/>
        <v>marker</v>
      </c>
      <c r="N152" s="4">
        <f t="shared" si="8"/>
        <v>6</v>
      </c>
    </row>
    <row r="153" spans="1:14" x14ac:dyDescent="0.3">
      <c r="A153" s="9">
        <v>1152</v>
      </c>
      <c r="B153" s="9" t="s">
        <v>29</v>
      </c>
      <c r="C153" s="4" t="s">
        <v>31</v>
      </c>
      <c r="D153" s="4" t="s">
        <v>34</v>
      </c>
      <c r="E153" s="4" t="s">
        <v>12</v>
      </c>
      <c r="F153" s="4">
        <v>14</v>
      </c>
      <c r="G153" s="4">
        <v>8150</v>
      </c>
      <c r="H153" s="4">
        <v>10</v>
      </c>
      <c r="I153" s="7">
        <v>46062</v>
      </c>
      <c r="J153" s="7">
        <v>46070</v>
      </c>
      <c r="K153" s="4" t="s">
        <v>78</v>
      </c>
      <c r="L153" s="4" t="str">
        <f t="shared" si="6"/>
        <v>ARJUN</v>
      </c>
      <c r="M153" s="4" t="str">
        <f t="shared" si="7"/>
        <v>mouse</v>
      </c>
      <c r="N153" s="4">
        <f t="shared" si="8"/>
        <v>5</v>
      </c>
    </row>
    <row r="154" spans="1:14" x14ac:dyDescent="0.3">
      <c r="A154" s="9">
        <v>1153</v>
      </c>
      <c r="B154" s="9" t="s">
        <v>41</v>
      </c>
      <c r="C154" s="4" t="s">
        <v>27</v>
      </c>
      <c r="D154" s="4" t="s">
        <v>24</v>
      </c>
      <c r="E154" s="4" t="s">
        <v>10</v>
      </c>
      <c r="F154" s="4">
        <v>19</v>
      </c>
      <c r="G154" s="4">
        <v>10273</v>
      </c>
      <c r="H154" s="4">
        <v>12</v>
      </c>
      <c r="I154" s="7">
        <v>46069</v>
      </c>
      <c r="J154" s="7">
        <v>46072</v>
      </c>
      <c r="K154" s="4" t="s">
        <v>49</v>
      </c>
      <c r="L154" s="4" t="str">
        <f t="shared" si="6"/>
        <v>NISHA</v>
      </c>
      <c r="M154" s="4" t="str">
        <f t="shared" si="7"/>
        <v>table</v>
      </c>
      <c r="N154" s="4">
        <f t="shared" si="8"/>
        <v>5</v>
      </c>
    </row>
    <row r="155" spans="1:14" x14ac:dyDescent="0.3">
      <c r="A155" s="9">
        <v>1154</v>
      </c>
      <c r="B155" s="9" t="s">
        <v>32</v>
      </c>
      <c r="C155" s="4" t="s">
        <v>23</v>
      </c>
      <c r="D155" s="4" t="s">
        <v>24</v>
      </c>
      <c r="E155" s="4" t="s">
        <v>11</v>
      </c>
      <c r="F155" s="4">
        <v>15</v>
      </c>
      <c r="G155" s="4">
        <v>6101</v>
      </c>
      <c r="H155" s="4">
        <v>0</v>
      </c>
      <c r="I155" s="7">
        <v>46178</v>
      </c>
      <c r="J155" s="7">
        <v>46183</v>
      </c>
      <c r="K155" s="4" t="s">
        <v>81</v>
      </c>
      <c r="L155" s="4" t="str">
        <f t="shared" si="6"/>
        <v>ASHA</v>
      </c>
      <c r="M155" s="4" t="str">
        <f t="shared" si="7"/>
        <v>cabinet</v>
      </c>
      <c r="N155" s="4">
        <f t="shared" si="8"/>
        <v>7</v>
      </c>
    </row>
    <row r="156" spans="1:14" x14ac:dyDescent="0.3">
      <c r="A156" s="9">
        <v>1155</v>
      </c>
      <c r="B156" s="9" t="s">
        <v>18</v>
      </c>
      <c r="C156" s="4" t="s">
        <v>31</v>
      </c>
      <c r="D156" s="4" t="s">
        <v>24</v>
      </c>
      <c r="E156" s="4" t="s">
        <v>8</v>
      </c>
      <c r="F156" s="4">
        <v>13</v>
      </c>
      <c r="G156" s="4">
        <v>4341</v>
      </c>
      <c r="H156" s="4">
        <v>15</v>
      </c>
      <c r="I156" s="7">
        <v>46093</v>
      </c>
      <c r="J156" s="7">
        <v>46096</v>
      </c>
      <c r="K156" s="4" t="s">
        <v>80</v>
      </c>
      <c r="L156" s="4" t="str">
        <f t="shared" si="6"/>
        <v>RITESH</v>
      </c>
      <c r="M156" s="4" t="str">
        <f t="shared" si="7"/>
        <v>chair</v>
      </c>
      <c r="N156" s="4">
        <f t="shared" si="8"/>
        <v>5</v>
      </c>
    </row>
    <row r="157" spans="1:14" x14ac:dyDescent="0.3">
      <c r="A157" s="9">
        <v>1156</v>
      </c>
      <c r="B157" s="9" t="s">
        <v>52</v>
      </c>
      <c r="C157" s="4" t="s">
        <v>38</v>
      </c>
      <c r="D157" s="4" t="s">
        <v>20</v>
      </c>
      <c r="E157" s="4" t="s">
        <v>36</v>
      </c>
      <c r="F157" s="4">
        <v>5</v>
      </c>
      <c r="G157" s="4">
        <v>466</v>
      </c>
      <c r="H157" s="4">
        <v>15</v>
      </c>
      <c r="I157" s="7">
        <v>46025</v>
      </c>
      <c r="J157" s="7">
        <v>46029</v>
      </c>
      <c r="K157" s="4" t="s">
        <v>78</v>
      </c>
      <c r="L157" s="4" t="str">
        <f t="shared" si="6"/>
        <v>MANOJ</v>
      </c>
      <c r="M157" s="4" t="str">
        <f t="shared" si="7"/>
        <v>stapler</v>
      </c>
      <c r="N157" s="4">
        <f t="shared" si="8"/>
        <v>7</v>
      </c>
    </row>
    <row r="158" spans="1:14" x14ac:dyDescent="0.3">
      <c r="A158" s="9">
        <v>1157</v>
      </c>
      <c r="B158" s="9" t="s">
        <v>50</v>
      </c>
      <c r="C158" s="4" t="s">
        <v>33</v>
      </c>
      <c r="D158" s="4" t="s">
        <v>20</v>
      </c>
      <c r="E158" s="4" t="s">
        <v>48</v>
      </c>
      <c r="F158" s="4">
        <v>3</v>
      </c>
      <c r="G158" s="4">
        <v>203</v>
      </c>
      <c r="H158" s="4">
        <v>15</v>
      </c>
      <c r="I158" s="7">
        <v>46076</v>
      </c>
      <c r="J158" s="7">
        <v>46080</v>
      </c>
      <c r="K158" s="4" t="s">
        <v>49</v>
      </c>
      <c r="L158" s="4" t="str">
        <f t="shared" si="6"/>
        <v>KOMAL</v>
      </c>
      <c r="M158" s="4" t="str">
        <f t="shared" si="7"/>
        <v>marker</v>
      </c>
      <c r="N158" s="4">
        <f t="shared" si="8"/>
        <v>6</v>
      </c>
    </row>
    <row r="159" spans="1:14" x14ac:dyDescent="0.3">
      <c r="A159" s="9">
        <v>1158</v>
      </c>
      <c r="B159" s="9" t="s">
        <v>28</v>
      </c>
      <c r="C159" s="4" t="s">
        <v>38</v>
      </c>
      <c r="D159" s="4" t="s">
        <v>34</v>
      </c>
      <c r="E159" s="4" t="s">
        <v>40</v>
      </c>
      <c r="F159" s="4">
        <v>13</v>
      </c>
      <c r="G159" s="4">
        <v>12518</v>
      </c>
      <c r="H159" s="4">
        <v>2</v>
      </c>
      <c r="I159" s="7">
        <v>46079</v>
      </c>
      <c r="J159" s="7">
        <v>46082</v>
      </c>
      <c r="K159" s="4" t="s">
        <v>81</v>
      </c>
      <c r="L159" s="4" t="str">
        <f t="shared" si="6"/>
        <v>VIKRAM</v>
      </c>
      <c r="M159" s="4" t="str">
        <f t="shared" si="7"/>
        <v>headset</v>
      </c>
      <c r="N159" s="4">
        <f t="shared" si="8"/>
        <v>7</v>
      </c>
    </row>
    <row r="160" spans="1:14" x14ac:dyDescent="0.3">
      <c r="A160" s="9">
        <v>1159</v>
      </c>
      <c r="B160" s="9" t="s">
        <v>32</v>
      </c>
      <c r="C160" s="4" t="s">
        <v>42</v>
      </c>
      <c r="D160" s="4" t="s">
        <v>24</v>
      </c>
      <c r="E160" s="4" t="s">
        <v>8</v>
      </c>
      <c r="F160" s="4">
        <v>20</v>
      </c>
      <c r="G160" s="4">
        <v>14000</v>
      </c>
      <c r="H160" s="4">
        <v>15</v>
      </c>
      <c r="I160" s="7">
        <v>46184</v>
      </c>
      <c r="J160" s="7">
        <v>46187</v>
      </c>
      <c r="K160" s="4" t="s">
        <v>78</v>
      </c>
      <c r="L160" s="4" t="str">
        <f t="shared" si="6"/>
        <v>ASHA</v>
      </c>
      <c r="M160" s="4" t="str">
        <f t="shared" si="7"/>
        <v>chair</v>
      </c>
      <c r="N160" s="4">
        <f t="shared" si="8"/>
        <v>5</v>
      </c>
    </row>
    <row r="161" spans="1:14" x14ac:dyDescent="0.3">
      <c r="A161" s="9">
        <v>1160</v>
      </c>
      <c r="B161" s="9" t="s">
        <v>56</v>
      </c>
      <c r="C161" s="4" t="s">
        <v>26</v>
      </c>
      <c r="D161" s="4" t="s">
        <v>34</v>
      </c>
      <c r="E161" s="4" t="s">
        <v>5</v>
      </c>
      <c r="F161" s="4">
        <v>7</v>
      </c>
      <c r="G161" s="4">
        <v>53986</v>
      </c>
      <c r="H161" s="4">
        <v>10</v>
      </c>
      <c r="I161" s="7">
        <v>46142</v>
      </c>
      <c r="J161" s="7">
        <v>46147</v>
      </c>
      <c r="K161" s="4" t="s">
        <v>81</v>
      </c>
      <c r="L161" s="4" t="str">
        <f t="shared" si="6"/>
        <v>ANITA</v>
      </c>
      <c r="M161" s="4" t="str">
        <f t="shared" si="7"/>
        <v>keyboard</v>
      </c>
      <c r="N161" s="4">
        <f t="shared" si="8"/>
        <v>8</v>
      </c>
    </row>
    <row r="162" spans="1:14" x14ac:dyDescent="0.3">
      <c r="A162" s="9">
        <v>1161</v>
      </c>
      <c r="B162" s="9" t="s">
        <v>29</v>
      </c>
      <c r="C162" s="4" t="s">
        <v>27</v>
      </c>
      <c r="D162" s="4" t="s">
        <v>34</v>
      </c>
      <c r="E162" s="4" t="s">
        <v>5</v>
      </c>
      <c r="F162" s="4">
        <v>4</v>
      </c>
      <c r="G162" s="4">
        <v>54659</v>
      </c>
      <c r="H162" s="4">
        <v>7</v>
      </c>
      <c r="I162" s="7">
        <v>46105</v>
      </c>
      <c r="J162" s="7">
        <v>46109</v>
      </c>
      <c r="K162" s="4" t="s">
        <v>79</v>
      </c>
      <c r="L162" s="4" t="str">
        <f t="shared" si="6"/>
        <v>ARJUN</v>
      </c>
      <c r="M162" s="4" t="str">
        <f t="shared" si="7"/>
        <v>keyboard</v>
      </c>
      <c r="N162" s="4">
        <f t="shared" si="8"/>
        <v>8</v>
      </c>
    </row>
    <row r="163" spans="1:14" x14ac:dyDescent="0.3">
      <c r="A163" s="9">
        <v>1162</v>
      </c>
      <c r="B163" s="9" t="s">
        <v>54</v>
      </c>
      <c r="C163" s="4" t="s">
        <v>31</v>
      </c>
      <c r="D163" s="4" t="s">
        <v>34</v>
      </c>
      <c r="E163" s="4" t="s">
        <v>6</v>
      </c>
      <c r="F163" s="4">
        <v>2</v>
      </c>
      <c r="G163" s="4">
        <v>28176</v>
      </c>
      <c r="H163" s="4">
        <v>10</v>
      </c>
      <c r="I163" s="7">
        <v>46100</v>
      </c>
      <c r="J163" s="7">
        <v>46101</v>
      </c>
      <c r="K163" s="4" t="s">
        <v>79</v>
      </c>
      <c r="L163" s="4" t="str">
        <f t="shared" si="6"/>
        <v>SARA</v>
      </c>
      <c r="M163" s="4" t="str">
        <f t="shared" si="7"/>
        <v>monitor</v>
      </c>
      <c r="N163" s="4">
        <f t="shared" si="8"/>
        <v>7</v>
      </c>
    </row>
    <row r="164" spans="1:14" x14ac:dyDescent="0.3">
      <c r="A164" s="9">
        <v>1163</v>
      </c>
      <c r="B164" s="9" t="s">
        <v>49</v>
      </c>
      <c r="C164" s="4" t="s">
        <v>38</v>
      </c>
      <c r="D164" s="4" t="s">
        <v>34</v>
      </c>
      <c r="E164" s="4" t="s">
        <v>5</v>
      </c>
      <c r="F164" s="4">
        <v>9</v>
      </c>
      <c r="G164" s="4">
        <v>62440</v>
      </c>
      <c r="H164" s="4">
        <v>2</v>
      </c>
      <c r="I164" s="7">
        <v>46081</v>
      </c>
      <c r="J164" s="7">
        <v>46086</v>
      </c>
      <c r="K164" s="4" t="s">
        <v>49</v>
      </c>
      <c r="L164" s="4" t="str">
        <f t="shared" si="6"/>
        <v>PRIYA</v>
      </c>
      <c r="M164" s="4" t="str">
        <f t="shared" si="7"/>
        <v>keyboard</v>
      </c>
      <c r="N164" s="4">
        <f t="shared" si="8"/>
        <v>8</v>
      </c>
    </row>
    <row r="165" spans="1:14" x14ac:dyDescent="0.3">
      <c r="A165" s="9">
        <v>1164</v>
      </c>
      <c r="B165" s="9" t="s">
        <v>39</v>
      </c>
      <c r="C165" s="4" t="s">
        <v>42</v>
      </c>
      <c r="D165" s="4" t="s">
        <v>34</v>
      </c>
      <c r="E165" s="4" t="s">
        <v>12</v>
      </c>
      <c r="F165" s="4">
        <v>7</v>
      </c>
      <c r="G165" s="4">
        <v>24615</v>
      </c>
      <c r="H165" s="4">
        <v>12</v>
      </c>
      <c r="I165" s="7">
        <v>46196</v>
      </c>
      <c r="J165" s="7">
        <v>46203</v>
      </c>
      <c r="K165" s="4" t="s">
        <v>81</v>
      </c>
      <c r="L165" s="4" t="str">
        <f t="shared" si="6"/>
        <v>DEEPAK</v>
      </c>
      <c r="M165" s="4" t="str">
        <f t="shared" si="7"/>
        <v>mouse</v>
      </c>
      <c r="N165" s="4">
        <f t="shared" si="8"/>
        <v>5</v>
      </c>
    </row>
    <row r="166" spans="1:14" x14ac:dyDescent="0.3">
      <c r="A166" s="9">
        <v>1165</v>
      </c>
      <c r="B166" s="9" t="s">
        <v>46</v>
      </c>
      <c r="C166" s="4" t="s">
        <v>27</v>
      </c>
      <c r="D166" s="4" t="s">
        <v>20</v>
      </c>
      <c r="E166" s="4" t="s">
        <v>37</v>
      </c>
      <c r="F166" s="4">
        <v>1</v>
      </c>
      <c r="G166" s="4">
        <v>427</v>
      </c>
      <c r="H166" s="4">
        <v>0</v>
      </c>
      <c r="I166" s="7">
        <v>46042</v>
      </c>
      <c r="J166" s="7">
        <v>46050</v>
      </c>
      <c r="K166" s="4" t="s">
        <v>81</v>
      </c>
      <c r="L166" s="4" t="str">
        <f t="shared" ref="L166:L229" si="9">UPPER(B166)</f>
        <v>NITIN</v>
      </c>
      <c r="M166" s="4" t="str">
        <f t="shared" ref="M166:M229" si="10">LOWER(E166)</f>
        <v>pen pack</v>
      </c>
      <c r="N166" s="4">
        <f t="shared" ref="N166:N229" si="11">LEN(E166)</f>
        <v>8</v>
      </c>
    </row>
    <row r="167" spans="1:14" x14ac:dyDescent="0.3">
      <c r="A167" s="9">
        <v>1166</v>
      </c>
      <c r="B167" s="9" t="s">
        <v>32</v>
      </c>
      <c r="C167" s="4" t="s">
        <v>31</v>
      </c>
      <c r="D167" s="4" t="s">
        <v>20</v>
      </c>
      <c r="E167" s="4" t="s">
        <v>37</v>
      </c>
      <c r="F167" s="4">
        <v>1</v>
      </c>
      <c r="G167" s="4">
        <v>396</v>
      </c>
      <c r="H167" s="4">
        <v>5</v>
      </c>
      <c r="I167" s="7">
        <v>46092</v>
      </c>
      <c r="J167" s="7">
        <v>46093</v>
      </c>
      <c r="K167" s="4" t="s">
        <v>79</v>
      </c>
      <c r="L167" s="4" t="str">
        <f t="shared" si="9"/>
        <v>ASHA</v>
      </c>
      <c r="M167" s="4" t="str">
        <f t="shared" si="10"/>
        <v>pen pack</v>
      </c>
      <c r="N167" s="4">
        <f t="shared" si="11"/>
        <v>8</v>
      </c>
    </row>
    <row r="168" spans="1:14" x14ac:dyDescent="0.3">
      <c r="A168" s="9">
        <v>1167</v>
      </c>
      <c r="B168" s="9" t="s">
        <v>46</v>
      </c>
      <c r="C168" s="4" t="s">
        <v>23</v>
      </c>
      <c r="D168" s="4" t="s">
        <v>20</v>
      </c>
      <c r="E168" s="4" t="s">
        <v>37</v>
      </c>
      <c r="F168" s="4">
        <v>20</v>
      </c>
      <c r="G168" s="4">
        <v>251</v>
      </c>
      <c r="H168" s="4">
        <v>5</v>
      </c>
      <c r="I168" s="7">
        <v>46160</v>
      </c>
      <c r="J168" s="7">
        <v>46170</v>
      </c>
      <c r="K168" s="4" t="s">
        <v>49</v>
      </c>
      <c r="L168" s="4" t="str">
        <f t="shared" si="9"/>
        <v>NITIN</v>
      </c>
      <c r="M168" s="4" t="str">
        <f t="shared" si="10"/>
        <v>pen pack</v>
      </c>
      <c r="N168" s="4">
        <f t="shared" si="11"/>
        <v>8</v>
      </c>
    </row>
    <row r="169" spans="1:14" x14ac:dyDescent="0.3">
      <c r="A169" s="9">
        <v>1168</v>
      </c>
      <c r="B169" s="9" t="s">
        <v>52</v>
      </c>
      <c r="C169" s="4" t="s">
        <v>19</v>
      </c>
      <c r="D169" s="4" t="s">
        <v>20</v>
      </c>
      <c r="E169" s="4" t="s">
        <v>37</v>
      </c>
      <c r="F169" s="4">
        <v>18</v>
      </c>
      <c r="G169" s="4">
        <v>335</v>
      </c>
      <c r="H169" s="4">
        <v>15</v>
      </c>
      <c r="I169" s="7">
        <v>46130</v>
      </c>
      <c r="J169" s="7">
        <v>46140</v>
      </c>
      <c r="K169" s="4" t="s">
        <v>49</v>
      </c>
      <c r="L169" s="4" t="str">
        <f t="shared" si="9"/>
        <v>MANOJ</v>
      </c>
      <c r="M169" s="4" t="str">
        <f t="shared" si="10"/>
        <v>pen pack</v>
      </c>
      <c r="N169" s="4">
        <f t="shared" si="11"/>
        <v>8</v>
      </c>
    </row>
    <row r="170" spans="1:14" x14ac:dyDescent="0.3">
      <c r="A170" s="9">
        <v>1169</v>
      </c>
      <c r="B170" s="9" t="s">
        <v>45</v>
      </c>
      <c r="C170" s="4" t="s">
        <v>19</v>
      </c>
      <c r="D170" s="4" t="s">
        <v>24</v>
      </c>
      <c r="E170" s="4" t="s">
        <v>11</v>
      </c>
      <c r="F170" s="4">
        <v>12</v>
      </c>
      <c r="G170" s="4">
        <v>12104</v>
      </c>
      <c r="H170" s="4">
        <v>7</v>
      </c>
      <c r="I170" s="7">
        <v>46121</v>
      </c>
      <c r="J170" s="7">
        <v>46130</v>
      </c>
      <c r="K170" s="4" t="s">
        <v>80</v>
      </c>
      <c r="L170" s="4" t="str">
        <f t="shared" si="9"/>
        <v>YASH</v>
      </c>
      <c r="M170" s="4" t="str">
        <f t="shared" si="10"/>
        <v>cabinet</v>
      </c>
      <c r="N170" s="4">
        <f t="shared" si="11"/>
        <v>7</v>
      </c>
    </row>
    <row r="171" spans="1:14" x14ac:dyDescent="0.3">
      <c r="A171" s="9">
        <v>1170</v>
      </c>
      <c r="B171" s="9" t="s">
        <v>47</v>
      </c>
      <c r="C171" s="4" t="s">
        <v>38</v>
      </c>
      <c r="D171" s="4" t="s">
        <v>20</v>
      </c>
      <c r="E171" s="4" t="s">
        <v>21</v>
      </c>
      <c r="F171" s="4">
        <v>6</v>
      </c>
      <c r="G171" s="4">
        <v>339</v>
      </c>
      <c r="H171" s="4">
        <v>12</v>
      </c>
      <c r="I171" s="7">
        <v>46105</v>
      </c>
      <c r="J171" s="7">
        <v>46106</v>
      </c>
      <c r="K171" s="4" t="s">
        <v>80</v>
      </c>
      <c r="L171" s="4" t="str">
        <f t="shared" si="9"/>
        <v>AJAY</v>
      </c>
      <c r="M171" s="4" t="str">
        <f t="shared" si="10"/>
        <v>notebook</v>
      </c>
      <c r="N171" s="4">
        <f t="shared" si="11"/>
        <v>8</v>
      </c>
    </row>
    <row r="172" spans="1:14" x14ac:dyDescent="0.3">
      <c r="A172" s="9">
        <v>1171</v>
      </c>
      <c r="B172" s="9" t="s">
        <v>54</v>
      </c>
      <c r="C172" s="4" t="s">
        <v>27</v>
      </c>
      <c r="D172" s="4" t="s">
        <v>20</v>
      </c>
      <c r="E172" s="4" t="s">
        <v>48</v>
      </c>
      <c r="F172" s="4">
        <v>17</v>
      </c>
      <c r="G172" s="4">
        <v>147</v>
      </c>
      <c r="H172" s="4">
        <v>12</v>
      </c>
      <c r="I172" s="7">
        <v>46155</v>
      </c>
      <c r="J172" s="7">
        <v>46160</v>
      </c>
      <c r="K172" s="4" t="s">
        <v>79</v>
      </c>
      <c r="L172" s="4" t="str">
        <f t="shared" si="9"/>
        <v>SARA</v>
      </c>
      <c r="M172" s="4" t="str">
        <f t="shared" si="10"/>
        <v>marker</v>
      </c>
      <c r="N172" s="4">
        <f t="shared" si="11"/>
        <v>6</v>
      </c>
    </row>
    <row r="173" spans="1:14" x14ac:dyDescent="0.3">
      <c r="A173" s="9">
        <v>1172</v>
      </c>
      <c r="B173" s="9" t="s">
        <v>22</v>
      </c>
      <c r="C173" s="4" t="s">
        <v>19</v>
      </c>
      <c r="D173" s="4" t="s">
        <v>34</v>
      </c>
      <c r="E173" s="4" t="s">
        <v>6</v>
      </c>
      <c r="F173" s="4">
        <v>13</v>
      </c>
      <c r="G173" s="4">
        <v>43163</v>
      </c>
      <c r="H173" s="4">
        <v>12</v>
      </c>
      <c r="I173" s="7">
        <v>46120</v>
      </c>
      <c r="J173" s="7">
        <v>46129</v>
      </c>
      <c r="K173" s="4" t="s">
        <v>80</v>
      </c>
      <c r="L173" s="4" t="str">
        <f t="shared" si="9"/>
        <v>POOJA</v>
      </c>
      <c r="M173" s="4" t="str">
        <f t="shared" si="10"/>
        <v>monitor</v>
      </c>
      <c r="N173" s="4">
        <f t="shared" si="11"/>
        <v>7</v>
      </c>
    </row>
    <row r="174" spans="1:14" x14ac:dyDescent="0.3">
      <c r="A174" s="9">
        <v>1173</v>
      </c>
      <c r="B174" s="9" t="s">
        <v>39</v>
      </c>
      <c r="C174" s="4" t="s">
        <v>23</v>
      </c>
      <c r="D174" s="4" t="s">
        <v>20</v>
      </c>
      <c r="E174" s="4" t="s">
        <v>37</v>
      </c>
      <c r="F174" s="4">
        <v>15</v>
      </c>
      <c r="G174" s="4">
        <v>214</v>
      </c>
      <c r="H174" s="4">
        <v>10</v>
      </c>
      <c r="I174" s="7">
        <v>46050</v>
      </c>
      <c r="J174" s="7">
        <v>46060</v>
      </c>
      <c r="K174" s="4" t="s">
        <v>81</v>
      </c>
      <c r="L174" s="4" t="str">
        <f t="shared" si="9"/>
        <v>DEEPAK</v>
      </c>
      <c r="M174" s="4" t="str">
        <f t="shared" si="10"/>
        <v>pen pack</v>
      </c>
      <c r="N174" s="4">
        <f t="shared" si="11"/>
        <v>8</v>
      </c>
    </row>
    <row r="175" spans="1:14" x14ac:dyDescent="0.3">
      <c r="A175" s="9">
        <v>1174</v>
      </c>
      <c r="B175" s="9" t="s">
        <v>55</v>
      </c>
      <c r="C175" s="4" t="s">
        <v>38</v>
      </c>
      <c r="D175" s="4" t="s">
        <v>20</v>
      </c>
      <c r="E175" s="4" t="s">
        <v>21</v>
      </c>
      <c r="F175" s="4">
        <v>13</v>
      </c>
      <c r="G175" s="4">
        <v>155</v>
      </c>
      <c r="H175" s="4">
        <v>2</v>
      </c>
      <c r="I175" s="7">
        <v>46066</v>
      </c>
      <c r="J175" s="7">
        <v>46069</v>
      </c>
      <c r="K175" s="4" t="s">
        <v>80</v>
      </c>
      <c r="L175" s="4" t="str">
        <f t="shared" si="9"/>
        <v>ROHAN</v>
      </c>
      <c r="M175" s="4" t="str">
        <f t="shared" si="10"/>
        <v>notebook</v>
      </c>
      <c r="N175" s="4">
        <f t="shared" si="11"/>
        <v>8</v>
      </c>
    </row>
    <row r="176" spans="1:14" x14ac:dyDescent="0.3">
      <c r="A176" s="9">
        <v>1175</v>
      </c>
      <c r="B176" s="9" t="s">
        <v>28</v>
      </c>
      <c r="C176" s="4" t="s">
        <v>23</v>
      </c>
      <c r="D176" s="4" t="s">
        <v>34</v>
      </c>
      <c r="E176" s="4" t="s">
        <v>40</v>
      </c>
      <c r="F176" s="4">
        <v>10</v>
      </c>
      <c r="G176" s="4">
        <v>20339</v>
      </c>
      <c r="H176" s="4">
        <v>2</v>
      </c>
      <c r="I176" s="7">
        <v>46088</v>
      </c>
      <c r="J176" s="7">
        <v>46094</v>
      </c>
      <c r="K176" s="4" t="s">
        <v>79</v>
      </c>
      <c r="L176" s="4" t="str">
        <f t="shared" si="9"/>
        <v>VIKRAM</v>
      </c>
      <c r="M176" s="4" t="str">
        <f t="shared" si="10"/>
        <v>headset</v>
      </c>
      <c r="N176" s="4">
        <f t="shared" si="11"/>
        <v>7</v>
      </c>
    </row>
    <row r="177" spans="1:14" x14ac:dyDescent="0.3">
      <c r="A177" s="9">
        <v>1176</v>
      </c>
      <c r="B177" s="9" t="s">
        <v>55</v>
      </c>
      <c r="C177" s="4" t="s">
        <v>38</v>
      </c>
      <c r="D177" s="4" t="s">
        <v>34</v>
      </c>
      <c r="E177" s="4" t="s">
        <v>40</v>
      </c>
      <c r="F177" s="4">
        <v>17</v>
      </c>
      <c r="G177" s="4">
        <v>46937</v>
      </c>
      <c r="H177" s="4">
        <v>12</v>
      </c>
      <c r="I177" s="7">
        <v>46048</v>
      </c>
      <c r="J177" s="7">
        <v>46056</v>
      </c>
      <c r="K177" s="4" t="s">
        <v>49</v>
      </c>
      <c r="L177" s="4" t="str">
        <f t="shared" si="9"/>
        <v>ROHAN</v>
      </c>
      <c r="M177" s="4" t="str">
        <f t="shared" si="10"/>
        <v>headset</v>
      </c>
      <c r="N177" s="4">
        <f t="shared" si="11"/>
        <v>7</v>
      </c>
    </row>
    <row r="178" spans="1:14" x14ac:dyDescent="0.3">
      <c r="A178" s="9">
        <v>1177</v>
      </c>
      <c r="B178" s="9" t="s">
        <v>49</v>
      </c>
      <c r="C178" s="4" t="s">
        <v>26</v>
      </c>
      <c r="D178" s="4" t="s">
        <v>24</v>
      </c>
      <c r="E178" s="4" t="s">
        <v>7</v>
      </c>
      <c r="F178" s="4">
        <v>14</v>
      </c>
      <c r="G178" s="4">
        <v>7501</v>
      </c>
      <c r="H178" s="4">
        <v>7</v>
      </c>
      <c r="I178" s="7">
        <v>46169</v>
      </c>
      <c r="J178" s="7">
        <v>46179</v>
      </c>
      <c r="K178" s="4" t="s">
        <v>79</v>
      </c>
      <c r="L178" s="4" t="str">
        <f t="shared" si="9"/>
        <v>PRIYA</v>
      </c>
      <c r="M178" s="4" t="str">
        <f t="shared" si="10"/>
        <v>desk</v>
      </c>
      <c r="N178" s="4">
        <f t="shared" si="11"/>
        <v>4</v>
      </c>
    </row>
    <row r="179" spans="1:14" x14ac:dyDescent="0.3">
      <c r="A179" s="9">
        <v>1178</v>
      </c>
      <c r="B179" s="9" t="s">
        <v>54</v>
      </c>
      <c r="C179" s="4" t="s">
        <v>23</v>
      </c>
      <c r="D179" s="4" t="s">
        <v>20</v>
      </c>
      <c r="E179" s="4" t="s">
        <v>48</v>
      </c>
      <c r="F179" s="4">
        <v>5</v>
      </c>
      <c r="G179" s="4">
        <v>50</v>
      </c>
      <c r="H179" s="4">
        <v>0</v>
      </c>
      <c r="I179" s="7">
        <v>46111</v>
      </c>
      <c r="J179" s="7">
        <v>46117</v>
      </c>
      <c r="K179" s="4" t="s">
        <v>79</v>
      </c>
      <c r="L179" s="4" t="str">
        <f t="shared" si="9"/>
        <v>SARA</v>
      </c>
      <c r="M179" s="4" t="str">
        <f t="shared" si="10"/>
        <v>marker</v>
      </c>
      <c r="N179" s="4">
        <f t="shared" si="11"/>
        <v>6</v>
      </c>
    </row>
    <row r="180" spans="1:14" x14ac:dyDescent="0.3">
      <c r="A180" s="9">
        <v>1179</v>
      </c>
      <c r="B180" s="9" t="s">
        <v>45</v>
      </c>
      <c r="C180" s="4" t="s">
        <v>23</v>
      </c>
      <c r="D180" s="4" t="s">
        <v>34</v>
      </c>
      <c r="E180" s="4" t="s">
        <v>5</v>
      </c>
      <c r="F180" s="4">
        <v>6</v>
      </c>
      <c r="G180" s="4">
        <v>10400</v>
      </c>
      <c r="H180" s="4">
        <v>2</v>
      </c>
      <c r="I180" s="7">
        <v>46155</v>
      </c>
      <c r="J180" s="7">
        <v>46158</v>
      </c>
      <c r="K180" s="4" t="s">
        <v>78</v>
      </c>
      <c r="L180" s="4" t="str">
        <f t="shared" si="9"/>
        <v>YASH</v>
      </c>
      <c r="M180" s="4" t="str">
        <f t="shared" si="10"/>
        <v>keyboard</v>
      </c>
      <c r="N180" s="4">
        <f t="shared" si="11"/>
        <v>8</v>
      </c>
    </row>
    <row r="181" spans="1:14" x14ac:dyDescent="0.3">
      <c r="A181" s="9">
        <v>1180</v>
      </c>
      <c r="B181" s="9" t="s">
        <v>39</v>
      </c>
      <c r="C181" s="4" t="s">
        <v>31</v>
      </c>
      <c r="D181" s="4" t="s">
        <v>24</v>
      </c>
      <c r="E181" s="4" t="s">
        <v>8</v>
      </c>
      <c r="F181" s="4">
        <v>2</v>
      </c>
      <c r="G181" s="4">
        <v>2076</v>
      </c>
      <c r="H181" s="4">
        <v>2</v>
      </c>
      <c r="I181" s="7">
        <v>46111</v>
      </c>
      <c r="J181" s="7">
        <v>46121</v>
      </c>
      <c r="K181" s="4" t="s">
        <v>49</v>
      </c>
      <c r="L181" s="4" t="str">
        <f t="shared" si="9"/>
        <v>DEEPAK</v>
      </c>
      <c r="M181" s="4" t="str">
        <f t="shared" si="10"/>
        <v>chair</v>
      </c>
      <c r="N181" s="4">
        <f t="shared" si="11"/>
        <v>5</v>
      </c>
    </row>
    <row r="182" spans="1:14" x14ac:dyDescent="0.3">
      <c r="A182" s="9">
        <v>1181</v>
      </c>
      <c r="B182" s="9" t="s">
        <v>55</v>
      </c>
      <c r="C182" s="4" t="s">
        <v>33</v>
      </c>
      <c r="D182" s="4" t="s">
        <v>20</v>
      </c>
      <c r="E182" s="4" t="s">
        <v>36</v>
      </c>
      <c r="F182" s="4">
        <v>4</v>
      </c>
      <c r="G182" s="4">
        <v>357</v>
      </c>
      <c r="H182" s="4">
        <v>2</v>
      </c>
      <c r="I182" s="7">
        <v>46033</v>
      </c>
      <c r="J182" s="7">
        <v>46035</v>
      </c>
      <c r="K182" s="4" t="s">
        <v>78</v>
      </c>
      <c r="L182" s="4" t="str">
        <f t="shared" si="9"/>
        <v>ROHAN</v>
      </c>
      <c r="M182" s="4" t="str">
        <f t="shared" si="10"/>
        <v>stapler</v>
      </c>
      <c r="N182" s="4">
        <f t="shared" si="11"/>
        <v>7</v>
      </c>
    </row>
    <row r="183" spans="1:14" x14ac:dyDescent="0.3">
      <c r="A183" s="9">
        <v>1182</v>
      </c>
      <c r="B183" s="9" t="s">
        <v>41</v>
      </c>
      <c r="C183" s="4" t="s">
        <v>19</v>
      </c>
      <c r="D183" s="4" t="s">
        <v>34</v>
      </c>
      <c r="E183" s="4" t="s">
        <v>5</v>
      </c>
      <c r="F183" s="4">
        <v>8</v>
      </c>
      <c r="G183" s="4">
        <v>66022</v>
      </c>
      <c r="H183" s="4">
        <v>12</v>
      </c>
      <c r="I183" s="7">
        <v>46108</v>
      </c>
      <c r="J183" s="7">
        <v>46114</v>
      </c>
      <c r="K183" s="4" t="s">
        <v>80</v>
      </c>
      <c r="L183" s="4" t="str">
        <f t="shared" si="9"/>
        <v>NISHA</v>
      </c>
      <c r="M183" s="4" t="str">
        <f t="shared" si="10"/>
        <v>keyboard</v>
      </c>
      <c r="N183" s="4">
        <f t="shared" si="11"/>
        <v>8</v>
      </c>
    </row>
    <row r="184" spans="1:14" x14ac:dyDescent="0.3">
      <c r="A184" s="9">
        <v>1183</v>
      </c>
      <c r="B184" s="9" t="s">
        <v>50</v>
      </c>
      <c r="C184" s="4" t="s">
        <v>42</v>
      </c>
      <c r="D184" s="4" t="s">
        <v>20</v>
      </c>
      <c r="E184" s="4" t="s">
        <v>21</v>
      </c>
      <c r="F184" s="4">
        <v>2</v>
      </c>
      <c r="G184" s="4">
        <v>309</v>
      </c>
      <c r="H184" s="4">
        <v>2</v>
      </c>
      <c r="I184" s="7">
        <v>46109</v>
      </c>
      <c r="J184" s="7">
        <v>46111</v>
      </c>
      <c r="K184" s="4" t="s">
        <v>79</v>
      </c>
      <c r="L184" s="4" t="str">
        <f t="shared" si="9"/>
        <v>KOMAL</v>
      </c>
      <c r="M184" s="4" t="str">
        <f t="shared" si="10"/>
        <v>notebook</v>
      </c>
      <c r="N184" s="4">
        <f t="shared" si="11"/>
        <v>8</v>
      </c>
    </row>
    <row r="185" spans="1:14" x14ac:dyDescent="0.3">
      <c r="A185" s="9">
        <v>1184</v>
      </c>
      <c r="B185" s="9" t="s">
        <v>39</v>
      </c>
      <c r="C185" s="4" t="s">
        <v>31</v>
      </c>
      <c r="D185" s="4" t="s">
        <v>34</v>
      </c>
      <c r="E185" s="4" t="s">
        <v>5</v>
      </c>
      <c r="F185" s="4">
        <v>12</v>
      </c>
      <c r="G185" s="4">
        <v>50517</v>
      </c>
      <c r="H185" s="4">
        <v>15</v>
      </c>
      <c r="I185" s="7">
        <v>46145</v>
      </c>
      <c r="J185" s="7">
        <v>46153</v>
      </c>
      <c r="K185" s="4" t="s">
        <v>49</v>
      </c>
      <c r="L185" s="4" t="str">
        <f t="shared" si="9"/>
        <v>DEEPAK</v>
      </c>
      <c r="M185" s="4" t="str">
        <f t="shared" si="10"/>
        <v>keyboard</v>
      </c>
      <c r="N185" s="4">
        <f t="shared" si="11"/>
        <v>8</v>
      </c>
    </row>
    <row r="186" spans="1:14" x14ac:dyDescent="0.3">
      <c r="A186" s="9">
        <v>1185</v>
      </c>
      <c r="B186" s="9" t="s">
        <v>55</v>
      </c>
      <c r="C186" s="4" t="s">
        <v>26</v>
      </c>
      <c r="D186" s="4" t="s">
        <v>34</v>
      </c>
      <c r="E186" s="4" t="s">
        <v>9</v>
      </c>
      <c r="F186" s="4">
        <v>16</v>
      </c>
      <c r="G186" s="4">
        <v>15536</v>
      </c>
      <c r="H186" s="4">
        <v>2</v>
      </c>
      <c r="I186" s="7">
        <v>46153</v>
      </c>
      <c r="J186" s="7">
        <v>46156</v>
      </c>
      <c r="K186" s="4" t="s">
        <v>78</v>
      </c>
      <c r="L186" s="4" t="str">
        <f t="shared" si="9"/>
        <v>ROHAN</v>
      </c>
      <c r="M186" s="4" t="str">
        <f t="shared" si="10"/>
        <v>laptop</v>
      </c>
      <c r="N186" s="4">
        <f t="shared" si="11"/>
        <v>6</v>
      </c>
    </row>
    <row r="187" spans="1:14" x14ac:dyDescent="0.3">
      <c r="A187" s="9">
        <v>1186</v>
      </c>
      <c r="B187" s="9" t="s">
        <v>22</v>
      </c>
      <c r="C187" s="4" t="s">
        <v>27</v>
      </c>
      <c r="D187" s="4" t="s">
        <v>24</v>
      </c>
      <c r="E187" s="4" t="s">
        <v>43</v>
      </c>
      <c r="F187" s="4">
        <v>10</v>
      </c>
      <c r="G187" s="4">
        <v>14951</v>
      </c>
      <c r="H187" s="4">
        <v>2</v>
      </c>
      <c r="I187" s="7">
        <v>46188</v>
      </c>
      <c r="J187" s="7">
        <v>46196</v>
      </c>
      <c r="K187" s="4" t="s">
        <v>80</v>
      </c>
      <c r="L187" s="4" t="str">
        <f t="shared" si="9"/>
        <v>POOJA</v>
      </c>
      <c r="M187" s="4" t="str">
        <f t="shared" si="10"/>
        <v>bookshelf</v>
      </c>
      <c r="N187" s="4">
        <f t="shared" si="11"/>
        <v>9</v>
      </c>
    </row>
    <row r="188" spans="1:14" x14ac:dyDescent="0.3">
      <c r="A188" s="9">
        <v>1187</v>
      </c>
      <c r="B188" s="9" t="s">
        <v>52</v>
      </c>
      <c r="C188" s="4" t="s">
        <v>26</v>
      </c>
      <c r="D188" s="4" t="s">
        <v>34</v>
      </c>
      <c r="E188" s="4" t="s">
        <v>6</v>
      </c>
      <c r="F188" s="4">
        <v>18</v>
      </c>
      <c r="G188" s="4">
        <v>68527</v>
      </c>
      <c r="H188" s="4">
        <v>12</v>
      </c>
      <c r="I188" s="7">
        <v>46178</v>
      </c>
      <c r="J188" s="7">
        <v>46184</v>
      </c>
      <c r="K188" s="4" t="s">
        <v>81</v>
      </c>
      <c r="L188" s="4" t="str">
        <f t="shared" si="9"/>
        <v>MANOJ</v>
      </c>
      <c r="M188" s="4" t="str">
        <f t="shared" si="10"/>
        <v>monitor</v>
      </c>
      <c r="N188" s="4">
        <f t="shared" si="11"/>
        <v>7</v>
      </c>
    </row>
    <row r="189" spans="1:14" x14ac:dyDescent="0.3">
      <c r="A189" s="9">
        <v>1188</v>
      </c>
      <c r="B189" s="9" t="s">
        <v>49</v>
      </c>
      <c r="C189" s="4" t="s">
        <v>26</v>
      </c>
      <c r="D189" s="4" t="s">
        <v>24</v>
      </c>
      <c r="E189" s="4" t="s">
        <v>11</v>
      </c>
      <c r="F189" s="4">
        <v>6</v>
      </c>
      <c r="G189" s="4">
        <v>10368</v>
      </c>
      <c r="H189" s="4">
        <v>7</v>
      </c>
      <c r="I189" s="7">
        <v>46137</v>
      </c>
      <c r="J189" s="7">
        <v>46142</v>
      </c>
      <c r="K189" s="4" t="s">
        <v>78</v>
      </c>
      <c r="L189" s="4" t="str">
        <f t="shared" si="9"/>
        <v>PRIYA</v>
      </c>
      <c r="M189" s="4" t="str">
        <f t="shared" si="10"/>
        <v>cabinet</v>
      </c>
      <c r="N189" s="4">
        <f t="shared" si="11"/>
        <v>7</v>
      </c>
    </row>
    <row r="190" spans="1:14" x14ac:dyDescent="0.3">
      <c r="A190" s="9">
        <v>1189</v>
      </c>
      <c r="B190" s="9" t="s">
        <v>47</v>
      </c>
      <c r="C190" s="4" t="s">
        <v>31</v>
      </c>
      <c r="D190" s="4" t="s">
        <v>24</v>
      </c>
      <c r="E190" s="4" t="s">
        <v>11</v>
      </c>
      <c r="F190" s="4">
        <v>12</v>
      </c>
      <c r="G190" s="4">
        <v>8327</v>
      </c>
      <c r="H190" s="4">
        <v>10</v>
      </c>
      <c r="I190" s="7">
        <v>46184</v>
      </c>
      <c r="J190" s="7">
        <v>46185</v>
      </c>
      <c r="K190" s="4" t="s">
        <v>49</v>
      </c>
      <c r="L190" s="4" t="str">
        <f t="shared" si="9"/>
        <v>AJAY</v>
      </c>
      <c r="M190" s="4" t="str">
        <f t="shared" si="10"/>
        <v>cabinet</v>
      </c>
      <c r="N190" s="4">
        <f t="shared" si="11"/>
        <v>7</v>
      </c>
    </row>
    <row r="191" spans="1:14" x14ac:dyDescent="0.3">
      <c r="A191" s="9">
        <v>1190</v>
      </c>
      <c r="B191" s="9" t="s">
        <v>54</v>
      </c>
      <c r="C191" s="4" t="s">
        <v>23</v>
      </c>
      <c r="D191" s="4" t="s">
        <v>24</v>
      </c>
      <c r="E191" s="4" t="s">
        <v>8</v>
      </c>
      <c r="F191" s="4">
        <v>4</v>
      </c>
      <c r="G191" s="4">
        <v>10154</v>
      </c>
      <c r="H191" s="4">
        <v>7</v>
      </c>
      <c r="I191" s="7">
        <v>46052</v>
      </c>
      <c r="J191" s="7">
        <v>46062</v>
      </c>
      <c r="K191" s="4" t="s">
        <v>79</v>
      </c>
      <c r="L191" s="4" t="str">
        <f t="shared" si="9"/>
        <v>SARA</v>
      </c>
      <c r="M191" s="4" t="str">
        <f t="shared" si="10"/>
        <v>chair</v>
      </c>
      <c r="N191" s="4">
        <f t="shared" si="11"/>
        <v>5</v>
      </c>
    </row>
    <row r="192" spans="1:14" x14ac:dyDescent="0.3">
      <c r="A192" s="9">
        <v>1191</v>
      </c>
      <c r="B192" s="9" t="s">
        <v>50</v>
      </c>
      <c r="C192" s="4" t="s">
        <v>33</v>
      </c>
      <c r="D192" s="4" t="s">
        <v>24</v>
      </c>
      <c r="E192" s="4" t="s">
        <v>11</v>
      </c>
      <c r="F192" s="4">
        <v>9</v>
      </c>
      <c r="G192" s="4">
        <v>8631</v>
      </c>
      <c r="H192" s="4">
        <v>10</v>
      </c>
      <c r="I192" s="7">
        <v>46149</v>
      </c>
      <c r="J192" s="7">
        <v>46156</v>
      </c>
      <c r="K192" s="4" t="s">
        <v>79</v>
      </c>
      <c r="L192" s="4" t="str">
        <f t="shared" si="9"/>
        <v>KOMAL</v>
      </c>
      <c r="M192" s="4" t="str">
        <f t="shared" si="10"/>
        <v>cabinet</v>
      </c>
      <c r="N192" s="4">
        <f t="shared" si="11"/>
        <v>7</v>
      </c>
    </row>
    <row r="193" spans="1:14" x14ac:dyDescent="0.3">
      <c r="A193" s="9">
        <v>1192</v>
      </c>
      <c r="B193" s="9" t="s">
        <v>25</v>
      </c>
      <c r="C193" s="4" t="s">
        <v>33</v>
      </c>
      <c r="D193" s="4" t="s">
        <v>20</v>
      </c>
      <c r="E193" s="4" t="s">
        <v>51</v>
      </c>
      <c r="F193" s="4">
        <v>18</v>
      </c>
      <c r="G193" s="4">
        <v>49</v>
      </c>
      <c r="H193" s="4">
        <v>12</v>
      </c>
      <c r="I193" s="7">
        <v>46089</v>
      </c>
      <c r="J193" s="7">
        <v>46095</v>
      </c>
      <c r="K193" s="4" t="s">
        <v>80</v>
      </c>
      <c r="L193" s="4" t="str">
        <f t="shared" si="9"/>
        <v>MEERA</v>
      </c>
      <c r="M193" s="4" t="str">
        <f t="shared" si="10"/>
        <v>diary</v>
      </c>
      <c r="N193" s="4">
        <f t="shared" si="11"/>
        <v>5</v>
      </c>
    </row>
    <row r="194" spans="1:14" x14ac:dyDescent="0.3">
      <c r="A194" s="9">
        <v>1193</v>
      </c>
      <c r="B194" s="9" t="s">
        <v>54</v>
      </c>
      <c r="C194" s="4" t="s">
        <v>19</v>
      </c>
      <c r="D194" s="4" t="s">
        <v>24</v>
      </c>
      <c r="E194" s="4" t="s">
        <v>10</v>
      </c>
      <c r="F194" s="4">
        <v>19</v>
      </c>
      <c r="G194" s="4">
        <v>2699</v>
      </c>
      <c r="H194" s="4">
        <v>7</v>
      </c>
      <c r="I194" s="7">
        <v>46110</v>
      </c>
      <c r="J194" s="7">
        <v>46112</v>
      </c>
      <c r="K194" s="4" t="s">
        <v>49</v>
      </c>
      <c r="L194" s="4" t="str">
        <f t="shared" si="9"/>
        <v>SARA</v>
      </c>
      <c r="M194" s="4" t="str">
        <f t="shared" si="10"/>
        <v>table</v>
      </c>
      <c r="N194" s="4">
        <f t="shared" si="11"/>
        <v>5</v>
      </c>
    </row>
    <row r="195" spans="1:14" x14ac:dyDescent="0.3">
      <c r="A195" s="9">
        <v>1194</v>
      </c>
      <c r="B195" s="9" t="s">
        <v>54</v>
      </c>
      <c r="C195" s="4" t="s">
        <v>42</v>
      </c>
      <c r="D195" s="4" t="s">
        <v>24</v>
      </c>
      <c r="E195" s="4" t="s">
        <v>8</v>
      </c>
      <c r="F195" s="4">
        <v>13</v>
      </c>
      <c r="G195" s="4">
        <v>12856</v>
      </c>
      <c r="H195" s="4">
        <v>15</v>
      </c>
      <c r="I195" s="7">
        <v>46129</v>
      </c>
      <c r="J195" s="7">
        <v>46133</v>
      </c>
      <c r="K195" s="4" t="s">
        <v>81</v>
      </c>
      <c r="L195" s="4" t="str">
        <f t="shared" si="9"/>
        <v>SARA</v>
      </c>
      <c r="M195" s="4" t="str">
        <f t="shared" si="10"/>
        <v>chair</v>
      </c>
      <c r="N195" s="4">
        <f t="shared" si="11"/>
        <v>5</v>
      </c>
    </row>
    <row r="196" spans="1:14" x14ac:dyDescent="0.3">
      <c r="A196" s="9">
        <v>1195</v>
      </c>
      <c r="B196" s="9" t="s">
        <v>56</v>
      </c>
      <c r="C196" s="4" t="s">
        <v>23</v>
      </c>
      <c r="D196" s="4" t="s">
        <v>20</v>
      </c>
      <c r="E196" s="4" t="s">
        <v>48</v>
      </c>
      <c r="F196" s="4">
        <v>19</v>
      </c>
      <c r="G196" s="4">
        <v>313</v>
      </c>
      <c r="H196" s="4">
        <v>2</v>
      </c>
      <c r="I196" s="7">
        <v>46198</v>
      </c>
      <c r="J196" s="7">
        <v>46206</v>
      </c>
      <c r="K196" s="4" t="s">
        <v>81</v>
      </c>
      <c r="L196" s="4" t="str">
        <f t="shared" si="9"/>
        <v>ANITA</v>
      </c>
      <c r="M196" s="4" t="str">
        <f t="shared" si="10"/>
        <v>marker</v>
      </c>
      <c r="N196" s="4">
        <f t="shared" si="11"/>
        <v>6</v>
      </c>
    </row>
    <row r="197" spans="1:14" x14ac:dyDescent="0.3">
      <c r="A197" s="9">
        <v>1196</v>
      </c>
      <c r="B197" s="9" t="s">
        <v>46</v>
      </c>
      <c r="C197" s="4" t="s">
        <v>26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7">
        <v>46155</v>
      </c>
      <c r="J197" s="7">
        <v>46159</v>
      </c>
      <c r="K197" s="4" t="s">
        <v>79</v>
      </c>
      <c r="L197" s="4" t="str">
        <f t="shared" si="9"/>
        <v>NITIN</v>
      </c>
      <c r="M197" s="4" t="str">
        <f t="shared" si="10"/>
        <v>printer</v>
      </c>
      <c r="N197" s="4">
        <f t="shared" si="11"/>
        <v>7</v>
      </c>
    </row>
    <row r="198" spans="1:14" x14ac:dyDescent="0.3">
      <c r="A198" s="9">
        <v>1197</v>
      </c>
      <c r="B198" s="9" t="s">
        <v>50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7">
        <v>46045</v>
      </c>
      <c r="J198" s="7">
        <v>46048</v>
      </c>
      <c r="K198" s="4" t="s">
        <v>78</v>
      </c>
      <c r="L198" s="4" t="str">
        <f t="shared" si="9"/>
        <v>KOMAL</v>
      </c>
      <c r="M198" s="4" t="str">
        <f t="shared" si="10"/>
        <v>printer</v>
      </c>
      <c r="N198" s="4">
        <f t="shared" si="11"/>
        <v>7</v>
      </c>
    </row>
    <row r="199" spans="1:14" x14ac:dyDescent="0.3">
      <c r="A199" s="9">
        <v>1198</v>
      </c>
      <c r="B199" s="9" t="s">
        <v>55</v>
      </c>
      <c r="C199" s="4" t="s">
        <v>19</v>
      </c>
      <c r="D199" s="4" t="s">
        <v>20</v>
      </c>
      <c r="E199" s="4" t="s">
        <v>21</v>
      </c>
      <c r="F199" s="4">
        <v>12</v>
      </c>
      <c r="G199" s="4">
        <v>491</v>
      </c>
      <c r="H199" s="4">
        <v>2</v>
      </c>
      <c r="I199" s="7">
        <v>46106</v>
      </c>
      <c r="J199" s="7">
        <v>46109</v>
      </c>
      <c r="K199" s="4" t="s">
        <v>81</v>
      </c>
      <c r="L199" s="4" t="str">
        <f t="shared" si="9"/>
        <v>ROHAN</v>
      </c>
      <c r="M199" s="4" t="str">
        <f t="shared" si="10"/>
        <v>notebook</v>
      </c>
      <c r="N199" s="4">
        <f t="shared" si="11"/>
        <v>8</v>
      </c>
    </row>
    <row r="200" spans="1:14" x14ac:dyDescent="0.3">
      <c r="A200" s="9">
        <v>1199</v>
      </c>
      <c r="B200" s="9" t="s">
        <v>18</v>
      </c>
      <c r="C200" s="4" t="s">
        <v>27</v>
      </c>
      <c r="D200" s="4" t="s">
        <v>34</v>
      </c>
      <c r="E200" s="4" t="s">
        <v>6</v>
      </c>
      <c r="F200" s="4">
        <v>2</v>
      </c>
      <c r="G200" s="4">
        <v>4375</v>
      </c>
      <c r="H200" s="4">
        <v>7</v>
      </c>
      <c r="I200" s="7">
        <v>46178</v>
      </c>
      <c r="J200" s="7">
        <v>46180</v>
      </c>
      <c r="K200" s="4" t="s">
        <v>80</v>
      </c>
      <c r="L200" s="4" t="str">
        <f t="shared" si="9"/>
        <v>RITESH</v>
      </c>
      <c r="M200" s="4" t="str">
        <f t="shared" si="10"/>
        <v>monitor</v>
      </c>
      <c r="N200" s="4">
        <f t="shared" si="11"/>
        <v>7</v>
      </c>
    </row>
    <row r="201" spans="1:14" x14ac:dyDescent="0.3">
      <c r="A201" s="9">
        <v>1200</v>
      </c>
      <c r="B201" s="9" t="s">
        <v>49</v>
      </c>
      <c r="C201" s="4" t="s">
        <v>31</v>
      </c>
      <c r="D201" s="4" t="s">
        <v>34</v>
      </c>
      <c r="E201" s="4" t="s">
        <v>6</v>
      </c>
      <c r="F201" s="4">
        <v>13</v>
      </c>
      <c r="G201" s="4">
        <v>69422</v>
      </c>
      <c r="H201" s="4">
        <v>0</v>
      </c>
      <c r="I201" s="7">
        <v>46134</v>
      </c>
      <c r="J201" s="7">
        <v>46143</v>
      </c>
      <c r="K201" s="4" t="s">
        <v>49</v>
      </c>
      <c r="L201" s="4" t="str">
        <f t="shared" si="9"/>
        <v>PRIYA</v>
      </c>
      <c r="M201" s="4" t="str">
        <f t="shared" si="10"/>
        <v>monitor</v>
      </c>
      <c r="N201" s="4">
        <f t="shared" si="11"/>
        <v>7</v>
      </c>
    </row>
    <row r="202" spans="1:14" x14ac:dyDescent="0.3">
      <c r="A202" s="9">
        <v>1201</v>
      </c>
      <c r="B202" s="9" t="s">
        <v>52</v>
      </c>
      <c r="C202" s="4" t="s">
        <v>31</v>
      </c>
      <c r="D202" s="4" t="s">
        <v>20</v>
      </c>
      <c r="E202" s="4" t="s">
        <v>51</v>
      </c>
      <c r="F202" s="4">
        <v>18</v>
      </c>
      <c r="G202" s="4">
        <v>139</v>
      </c>
      <c r="H202" s="4">
        <v>12</v>
      </c>
      <c r="I202" s="7">
        <v>46075</v>
      </c>
      <c r="J202" s="7">
        <v>46076</v>
      </c>
      <c r="K202" s="4" t="s">
        <v>79</v>
      </c>
      <c r="L202" s="4" t="str">
        <f t="shared" si="9"/>
        <v>MANOJ</v>
      </c>
      <c r="M202" s="4" t="str">
        <f t="shared" si="10"/>
        <v>diary</v>
      </c>
      <c r="N202" s="4">
        <f t="shared" si="11"/>
        <v>5</v>
      </c>
    </row>
    <row r="203" spans="1:14" x14ac:dyDescent="0.3">
      <c r="A203" s="9">
        <v>1202</v>
      </c>
      <c r="B203" s="9" t="s">
        <v>54</v>
      </c>
      <c r="C203" s="4" t="s">
        <v>26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7">
        <v>46082</v>
      </c>
      <c r="J203" s="7">
        <v>46091</v>
      </c>
      <c r="K203" s="4" t="s">
        <v>78</v>
      </c>
      <c r="L203" s="4" t="str">
        <f t="shared" si="9"/>
        <v>SARA</v>
      </c>
      <c r="M203" s="4" t="str">
        <f t="shared" si="10"/>
        <v>printer</v>
      </c>
      <c r="N203" s="4">
        <f t="shared" si="11"/>
        <v>7</v>
      </c>
    </row>
    <row r="204" spans="1:14" x14ac:dyDescent="0.3">
      <c r="A204" s="9">
        <v>1203</v>
      </c>
      <c r="B204" s="9" t="s">
        <v>39</v>
      </c>
      <c r="C204" s="4" t="s">
        <v>26</v>
      </c>
      <c r="D204" s="4" t="s">
        <v>24</v>
      </c>
      <c r="E204" s="4" t="s">
        <v>10</v>
      </c>
      <c r="F204" s="4">
        <v>17</v>
      </c>
      <c r="G204" s="4">
        <v>6695</v>
      </c>
      <c r="H204" s="4">
        <v>2</v>
      </c>
      <c r="I204" s="7">
        <v>46119</v>
      </c>
      <c r="J204" s="7">
        <v>46122</v>
      </c>
      <c r="K204" s="4" t="s">
        <v>81</v>
      </c>
      <c r="L204" s="4" t="str">
        <f t="shared" si="9"/>
        <v>DEEPAK</v>
      </c>
      <c r="M204" s="4" t="str">
        <f t="shared" si="10"/>
        <v>table</v>
      </c>
      <c r="N204" s="4">
        <f t="shared" si="11"/>
        <v>5</v>
      </c>
    </row>
    <row r="205" spans="1:14" x14ac:dyDescent="0.3">
      <c r="A205" s="9">
        <v>1204</v>
      </c>
      <c r="B205" s="9" t="s">
        <v>22</v>
      </c>
      <c r="C205" s="4" t="s">
        <v>31</v>
      </c>
      <c r="D205" s="4" t="s">
        <v>20</v>
      </c>
      <c r="E205" s="4" t="s">
        <v>37</v>
      </c>
      <c r="F205" s="4">
        <v>13</v>
      </c>
      <c r="G205" s="4">
        <v>416</v>
      </c>
      <c r="H205" s="4">
        <v>10</v>
      </c>
      <c r="I205" s="7">
        <v>46123</v>
      </c>
      <c r="J205" s="7">
        <v>46132</v>
      </c>
      <c r="K205" s="4" t="s">
        <v>79</v>
      </c>
      <c r="L205" s="4" t="str">
        <f t="shared" si="9"/>
        <v>POOJA</v>
      </c>
      <c r="M205" s="4" t="str">
        <f t="shared" si="10"/>
        <v>pen pack</v>
      </c>
      <c r="N205" s="4">
        <f t="shared" si="11"/>
        <v>8</v>
      </c>
    </row>
    <row r="206" spans="1:14" x14ac:dyDescent="0.3">
      <c r="A206" s="9">
        <v>1205</v>
      </c>
      <c r="B206" s="9" t="s">
        <v>25</v>
      </c>
      <c r="C206" s="4" t="s">
        <v>38</v>
      </c>
      <c r="D206" s="4" t="s">
        <v>20</v>
      </c>
      <c r="E206" s="4" t="s">
        <v>36</v>
      </c>
      <c r="F206" s="4">
        <v>1</v>
      </c>
      <c r="G206" s="4">
        <v>112</v>
      </c>
      <c r="H206" s="4">
        <v>7</v>
      </c>
      <c r="I206" s="7">
        <v>46033</v>
      </c>
      <c r="J206" s="7">
        <v>46040</v>
      </c>
      <c r="K206" s="4" t="s">
        <v>81</v>
      </c>
      <c r="L206" s="4" t="str">
        <f t="shared" si="9"/>
        <v>MEERA</v>
      </c>
      <c r="M206" s="4" t="str">
        <f t="shared" si="10"/>
        <v>stapler</v>
      </c>
      <c r="N206" s="4">
        <f t="shared" si="11"/>
        <v>7</v>
      </c>
    </row>
    <row r="207" spans="1:14" x14ac:dyDescent="0.3">
      <c r="A207" s="9">
        <v>1206</v>
      </c>
      <c r="B207" s="9" t="s">
        <v>53</v>
      </c>
      <c r="C207" s="4" t="s">
        <v>33</v>
      </c>
      <c r="D207" s="4" t="s">
        <v>20</v>
      </c>
      <c r="E207" s="4" t="s">
        <v>21</v>
      </c>
      <c r="F207" s="4">
        <v>9</v>
      </c>
      <c r="G207" s="4">
        <v>60</v>
      </c>
      <c r="H207" s="4">
        <v>0</v>
      </c>
      <c r="I207" s="7">
        <v>46166</v>
      </c>
      <c r="J207" s="7">
        <v>46174</v>
      </c>
      <c r="K207" s="4" t="s">
        <v>78</v>
      </c>
      <c r="L207" s="4" t="str">
        <f t="shared" si="9"/>
        <v>SNEHA</v>
      </c>
      <c r="M207" s="4" t="str">
        <f t="shared" si="10"/>
        <v>notebook</v>
      </c>
      <c r="N207" s="4">
        <f t="shared" si="11"/>
        <v>8</v>
      </c>
    </row>
    <row r="208" spans="1:14" x14ac:dyDescent="0.3">
      <c r="A208" s="9">
        <v>1207</v>
      </c>
      <c r="B208" s="9" t="s">
        <v>53</v>
      </c>
      <c r="C208" s="4" t="s">
        <v>27</v>
      </c>
      <c r="D208" s="4" t="s">
        <v>20</v>
      </c>
      <c r="E208" s="4" t="s">
        <v>51</v>
      </c>
      <c r="F208" s="4">
        <v>7</v>
      </c>
      <c r="G208" s="4">
        <v>244</v>
      </c>
      <c r="H208" s="4">
        <v>2</v>
      </c>
      <c r="I208" s="7">
        <v>46164</v>
      </c>
      <c r="J208" s="7">
        <v>46173</v>
      </c>
      <c r="K208" s="4" t="s">
        <v>80</v>
      </c>
      <c r="L208" s="4" t="str">
        <f t="shared" si="9"/>
        <v>SNEHA</v>
      </c>
      <c r="M208" s="4" t="str">
        <f t="shared" si="10"/>
        <v>diary</v>
      </c>
      <c r="N208" s="4">
        <f t="shared" si="11"/>
        <v>5</v>
      </c>
    </row>
    <row r="209" spans="1:14" x14ac:dyDescent="0.3">
      <c r="A209" s="9">
        <v>1208</v>
      </c>
      <c r="B209" s="9" t="s">
        <v>52</v>
      </c>
      <c r="C209" s="4" t="s">
        <v>42</v>
      </c>
      <c r="D209" s="4" t="s">
        <v>24</v>
      </c>
      <c r="E209" s="4" t="s">
        <v>43</v>
      </c>
      <c r="F209" s="4">
        <v>6</v>
      </c>
      <c r="G209" s="4">
        <v>7627</v>
      </c>
      <c r="H209" s="4">
        <v>10</v>
      </c>
      <c r="I209" s="7">
        <v>46042</v>
      </c>
      <c r="J209" s="7">
        <v>46047</v>
      </c>
      <c r="K209" s="4" t="s">
        <v>79</v>
      </c>
      <c r="L209" s="4" t="str">
        <f t="shared" si="9"/>
        <v>MANOJ</v>
      </c>
      <c r="M209" s="4" t="str">
        <f t="shared" si="10"/>
        <v>bookshelf</v>
      </c>
      <c r="N209" s="4">
        <f t="shared" si="11"/>
        <v>9</v>
      </c>
    </row>
    <row r="210" spans="1:14" x14ac:dyDescent="0.3">
      <c r="A210" s="9">
        <v>1209</v>
      </c>
      <c r="B210" s="9" t="s">
        <v>46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7">
        <v>46103</v>
      </c>
      <c r="J210" s="7">
        <v>46110</v>
      </c>
      <c r="K210" s="4" t="s">
        <v>79</v>
      </c>
      <c r="L210" s="4" t="str">
        <f t="shared" si="9"/>
        <v>NITIN</v>
      </c>
      <c r="M210" s="4" t="str">
        <f t="shared" si="10"/>
        <v>printer</v>
      </c>
      <c r="N210" s="4">
        <f t="shared" si="11"/>
        <v>7</v>
      </c>
    </row>
    <row r="211" spans="1:14" x14ac:dyDescent="0.3">
      <c r="A211" s="9">
        <v>1210</v>
      </c>
      <c r="B211" s="9" t="s">
        <v>30</v>
      </c>
      <c r="C211" s="4" t="s">
        <v>31</v>
      </c>
      <c r="D211" s="4" t="s">
        <v>20</v>
      </c>
      <c r="E211" s="4" t="s">
        <v>51</v>
      </c>
      <c r="F211" s="4">
        <v>10</v>
      </c>
      <c r="G211" s="4">
        <v>349</v>
      </c>
      <c r="H211" s="4">
        <v>0</v>
      </c>
      <c r="I211" s="7">
        <v>46052</v>
      </c>
      <c r="J211" s="7">
        <v>46060</v>
      </c>
      <c r="K211" s="4" t="s">
        <v>49</v>
      </c>
      <c r="L211" s="4" t="str">
        <f t="shared" si="9"/>
        <v>NEHA</v>
      </c>
      <c r="M211" s="4" t="str">
        <f t="shared" si="10"/>
        <v>diary</v>
      </c>
      <c r="N211" s="4">
        <f t="shared" si="11"/>
        <v>5</v>
      </c>
    </row>
    <row r="212" spans="1:14" x14ac:dyDescent="0.3">
      <c r="A212" s="9">
        <v>1211</v>
      </c>
      <c r="B212" s="9" t="s">
        <v>46</v>
      </c>
      <c r="C212" s="4" t="s">
        <v>23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7">
        <v>46175</v>
      </c>
      <c r="J212" s="7">
        <v>46183</v>
      </c>
      <c r="K212" s="4" t="s">
        <v>78</v>
      </c>
      <c r="L212" s="4" t="str">
        <f t="shared" si="9"/>
        <v>NITIN</v>
      </c>
      <c r="M212" s="4" t="str">
        <f t="shared" si="10"/>
        <v>printer</v>
      </c>
      <c r="N212" s="4">
        <f t="shared" si="11"/>
        <v>7</v>
      </c>
    </row>
    <row r="213" spans="1:14" x14ac:dyDescent="0.3">
      <c r="A213" s="9">
        <v>1212</v>
      </c>
      <c r="B213" s="9" t="s">
        <v>56</v>
      </c>
      <c r="C213" s="4" t="s">
        <v>27</v>
      </c>
      <c r="D213" s="4" t="s">
        <v>34</v>
      </c>
      <c r="E213" s="4" t="s">
        <v>9</v>
      </c>
      <c r="F213" s="4">
        <v>10</v>
      </c>
      <c r="G213" s="4">
        <v>34380</v>
      </c>
      <c r="H213" s="4">
        <v>7</v>
      </c>
      <c r="I213" s="7">
        <v>46194</v>
      </c>
      <c r="J213" s="7">
        <v>46195</v>
      </c>
      <c r="K213" s="4" t="s">
        <v>49</v>
      </c>
      <c r="L213" s="4" t="str">
        <f t="shared" si="9"/>
        <v>ANITA</v>
      </c>
      <c r="M213" s="4" t="str">
        <f t="shared" si="10"/>
        <v>laptop</v>
      </c>
      <c r="N213" s="4">
        <f t="shared" si="11"/>
        <v>6</v>
      </c>
    </row>
    <row r="214" spans="1:14" x14ac:dyDescent="0.3">
      <c r="A214" s="9">
        <v>1213</v>
      </c>
      <c r="B214" s="9" t="s">
        <v>32</v>
      </c>
      <c r="C214" s="4" t="s">
        <v>38</v>
      </c>
      <c r="D214" s="4" t="s">
        <v>34</v>
      </c>
      <c r="E214" s="4" t="s">
        <v>6</v>
      </c>
      <c r="F214" s="4">
        <v>16</v>
      </c>
      <c r="G214" s="4">
        <v>27741</v>
      </c>
      <c r="H214" s="4">
        <v>12</v>
      </c>
      <c r="I214" s="7">
        <v>46116</v>
      </c>
      <c r="J214" s="7">
        <v>46119</v>
      </c>
      <c r="K214" s="4" t="s">
        <v>78</v>
      </c>
      <c r="L214" s="4" t="str">
        <f t="shared" si="9"/>
        <v>ASHA</v>
      </c>
      <c r="M214" s="4" t="str">
        <f t="shared" si="10"/>
        <v>monitor</v>
      </c>
      <c r="N214" s="4">
        <f t="shared" si="11"/>
        <v>7</v>
      </c>
    </row>
    <row r="215" spans="1:14" x14ac:dyDescent="0.3">
      <c r="A215" s="9">
        <v>1214</v>
      </c>
      <c r="B215" s="9" t="s">
        <v>41</v>
      </c>
      <c r="C215" s="4" t="s">
        <v>27</v>
      </c>
      <c r="D215" s="4" t="s">
        <v>24</v>
      </c>
      <c r="E215" s="4" t="s">
        <v>8</v>
      </c>
      <c r="F215" s="4">
        <v>19</v>
      </c>
      <c r="G215" s="4">
        <v>13832</v>
      </c>
      <c r="H215" s="4">
        <v>0</v>
      </c>
      <c r="I215" s="7">
        <v>46140</v>
      </c>
      <c r="J215" s="7">
        <v>46145</v>
      </c>
      <c r="K215" s="4" t="s">
        <v>81</v>
      </c>
      <c r="L215" s="4" t="str">
        <f t="shared" si="9"/>
        <v>NISHA</v>
      </c>
      <c r="M215" s="4" t="str">
        <f t="shared" si="10"/>
        <v>chair</v>
      </c>
      <c r="N215" s="4">
        <f t="shared" si="11"/>
        <v>5</v>
      </c>
    </row>
    <row r="216" spans="1:14" x14ac:dyDescent="0.3">
      <c r="A216" s="9">
        <v>1215</v>
      </c>
      <c r="B216" s="9" t="s">
        <v>29</v>
      </c>
      <c r="C216" s="4" t="s">
        <v>19</v>
      </c>
      <c r="D216" s="4" t="s">
        <v>24</v>
      </c>
      <c r="E216" s="4" t="s">
        <v>8</v>
      </c>
      <c r="F216" s="4">
        <v>6</v>
      </c>
      <c r="G216" s="4">
        <v>1254</v>
      </c>
      <c r="H216" s="4">
        <v>0</v>
      </c>
      <c r="I216" s="7">
        <v>46131</v>
      </c>
      <c r="J216" s="7">
        <v>46136</v>
      </c>
      <c r="K216" s="4" t="s">
        <v>49</v>
      </c>
      <c r="L216" s="4" t="str">
        <f t="shared" si="9"/>
        <v>ARJUN</v>
      </c>
      <c r="M216" s="4" t="str">
        <f t="shared" si="10"/>
        <v>chair</v>
      </c>
      <c r="N216" s="4">
        <f t="shared" si="11"/>
        <v>5</v>
      </c>
    </row>
    <row r="217" spans="1:14" x14ac:dyDescent="0.3">
      <c r="A217" s="9">
        <v>1216</v>
      </c>
      <c r="B217" s="9" t="s">
        <v>39</v>
      </c>
      <c r="C217" s="4" t="s">
        <v>26</v>
      </c>
      <c r="D217" s="4" t="s">
        <v>34</v>
      </c>
      <c r="E217" s="4" t="s">
        <v>6</v>
      </c>
      <c r="F217" s="4">
        <v>10</v>
      </c>
      <c r="G217" s="4">
        <v>56709</v>
      </c>
      <c r="H217" s="4">
        <v>15</v>
      </c>
      <c r="I217" s="7">
        <v>46135</v>
      </c>
      <c r="J217" s="7">
        <v>46139</v>
      </c>
      <c r="K217" s="4" t="s">
        <v>49</v>
      </c>
      <c r="L217" s="4" t="str">
        <f t="shared" si="9"/>
        <v>DEEPAK</v>
      </c>
      <c r="M217" s="4" t="str">
        <f t="shared" si="10"/>
        <v>monitor</v>
      </c>
      <c r="N217" s="4">
        <f t="shared" si="11"/>
        <v>7</v>
      </c>
    </row>
    <row r="218" spans="1:14" x14ac:dyDescent="0.3">
      <c r="A218" s="9">
        <v>1217</v>
      </c>
      <c r="B218" s="9" t="s">
        <v>30</v>
      </c>
      <c r="C218" s="4" t="s">
        <v>26</v>
      </c>
      <c r="D218" s="4" t="s">
        <v>20</v>
      </c>
      <c r="E218" s="4" t="s">
        <v>48</v>
      </c>
      <c r="F218" s="4">
        <v>18</v>
      </c>
      <c r="G218" s="4">
        <v>60</v>
      </c>
      <c r="H218" s="4">
        <v>0</v>
      </c>
      <c r="I218" s="7">
        <v>46171</v>
      </c>
      <c r="J218" s="7">
        <v>46172</v>
      </c>
      <c r="K218" s="4" t="s">
        <v>49</v>
      </c>
      <c r="L218" s="4" t="str">
        <f t="shared" si="9"/>
        <v>NEHA</v>
      </c>
      <c r="M218" s="4" t="str">
        <f t="shared" si="10"/>
        <v>marker</v>
      </c>
      <c r="N218" s="4">
        <f t="shared" si="11"/>
        <v>6</v>
      </c>
    </row>
    <row r="219" spans="1:14" x14ac:dyDescent="0.3">
      <c r="A219" s="9">
        <v>1218</v>
      </c>
      <c r="B219" s="9" t="s">
        <v>53</v>
      </c>
      <c r="C219" s="4" t="s">
        <v>38</v>
      </c>
      <c r="D219" s="4" t="s">
        <v>20</v>
      </c>
      <c r="E219" s="4" t="s">
        <v>21</v>
      </c>
      <c r="F219" s="4">
        <v>1</v>
      </c>
      <c r="G219" s="4">
        <v>134</v>
      </c>
      <c r="H219" s="4">
        <v>10</v>
      </c>
      <c r="I219" s="7">
        <v>46143</v>
      </c>
      <c r="J219" s="7">
        <v>46151</v>
      </c>
      <c r="K219" s="4" t="s">
        <v>81</v>
      </c>
      <c r="L219" s="4" t="str">
        <f t="shared" si="9"/>
        <v>SNEHA</v>
      </c>
      <c r="M219" s="4" t="str">
        <f t="shared" si="10"/>
        <v>notebook</v>
      </c>
      <c r="N219" s="4">
        <f t="shared" si="11"/>
        <v>8</v>
      </c>
    </row>
    <row r="220" spans="1:14" x14ac:dyDescent="0.3">
      <c r="A220" s="9">
        <v>1219</v>
      </c>
      <c r="B220" s="9" t="s">
        <v>44</v>
      </c>
      <c r="C220" s="4" t="s">
        <v>26</v>
      </c>
      <c r="D220" s="4" t="s">
        <v>20</v>
      </c>
      <c r="E220" s="4" t="s">
        <v>21</v>
      </c>
      <c r="F220" s="4">
        <v>4</v>
      </c>
      <c r="G220" s="4">
        <v>117</v>
      </c>
      <c r="H220" s="4">
        <v>15</v>
      </c>
      <c r="I220" s="7">
        <v>46202</v>
      </c>
      <c r="J220" s="7">
        <v>46206</v>
      </c>
      <c r="K220" s="4" t="s">
        <v>49</v>
      </c>
      <c r="L220" s="4" t="str">
        <f t="shared" si="9"/>
        <v>KIRAN</v>
      </c>
      <c r="M220" s="4" t="str">
        <f t="shared" si="10"/>
        <v>notebook</v>
      </c>
      <c r="N220" s="4">
        <f t="shared" si="11"/>
        <v>8</v>
      </c>
    </row>
    <row r="221" spans="1:14" x14ac:dyDescent="0.3">
      <c r="A221" s="9">
        <v>1220</v>
      </c>
      <c r="B221" s="9" t="s">
        <v>18</v>
      </c>
      <c r="C221" s="4" t="s">
        <v>27</v>
      </c>
      <c r="D221" s="4" t="s">
        <v>24</v>
      </c>
      <c r="E221" s="4" t="s">
        <v>11</v>
      </c>
      <c r="F221" s="4">
        <v>2</v>
      </c>
      <c r="G221" s="4">
        <v>8861</v>
      </c>
      <c r="H221" s="4">
        <v>2</v>
      </c>
      <c r="I221" s="7">
        <v>46170</v>
      </c>
      <c r="J221" s="7">
        <v>46174</v>
      </c>
      <c r="K221" s="4" t="s">
        <v>80</v>
      </c>
      <c r="L221" s="4" t="str">
        <f t="shared" si="9"/>
        <v>RITESH</v>
      </c>
      <c r="M221" s="4" t="str">
        <f t="shared" si="10"/>
        <v>cabinet</v>
      </c>
      <c r="N221" s="4">
        <f t="shared" si="11"/>
        <v>7</v>
      </c>
    </row>
    <row r="222" spans="1:14" x14ac:dyDescent="0.3">
      <c r="A222" s="9">
        <v>1221</v>
      </c>
      <c r="B222" s="9" t="s">
        <v>18</v>
      </c>
      <c r="C222" s="4" t="s">
        <v>31</v>
      </c>
      <c r="D222" s="4" t="s">
        <v>24</v>
      </c>
      <c r="E222" s="4" t="s">
        <v>11</v>
      </c>
      <c r="F222" s="4">
        <v>18</v>
      </c>
      <c r="G222" s="4">
        <v>2681</v>
      </c>
      <c r="H222" s="4">
        <v>10</v>
      </c>
      <c r="I222" s="7">
        <v>46122</v>
      </c>
      <c r="J222" s="7">
        <v>46125</v>
      </c>
      <c r="K222" s="4" t="s">
        <v>81</v>
      </c>
      <c r="L222" s="4" t="str">
        <f t="shared" si="9"/>
        <v>RITESH</v>
      </c>
      <c r="M222" s="4" t="str">
        <f t="shared" si="10"/>
        <v>cabinet</v>
      </c>
      <c r="N222" s="4">
        <f t="shared" si="11"/>
        <v>7</v>
      </c>
    </row>
    <row r="223" spans="1:14" x14ac:dyDescent="0.3">
      <c r="A223" s="9">
        <v>1222</v>
      </c>
      <c r="B223" s="9" t="s">
        <v>30</v>
      </c>
      <c r="C223" s="4" t="s">
        <v>33</v>
      </c>
      <c r="D223" s="4" t="s">
        <v>24</v>
      </c>
      <c r="E223" s="4" t="s">
        <v>10</v>
      </c>
      <c r="F223" s="4">
        <v>9</v>
      </c>
      <c r="G223" s="4">
        <v>2712</v>
      </c>
      <c r="H223" s="4">
        <v>12</v>
      </c>
      <c r="I223" s="7">
        <v>46154</v>
      </c>
      <c r="J223" s="7">
        <v>46163</v>
      </c>
      <c r="K223" s="4" t="s">
        <v>78</v>
      </c>
      <c r="L223" s="4" t="str">
        <f t="shared" si="9"/>
        <v>NEHA</v>
      </c>
      <c r="M223" s="4" t="str">
        <f t="shared" si="10"/>
        <v>table</v>
      </c>
      <c r="N223" s="4">
        <f t="shared" si="11"/>
        <v>5</v>
      </c>
    </row>
    <row r="224" spans="1:14" x14ac:dyDescent="0.3">
      <c r="A224" s="9">
        <v>1223</v>
      </c>
      <c r="B224" s="9" t="s">
        <v>56</v>
      </c>
      <c r="C224" s="4" t="s">
        <v>23</v>
      </c>
      <c r="D224" s="4" t="s">
        <v>24</v>
      </c>
      <c r="E224" s="4" t="s">
        <v>10</v>
      </c>
      <c r="F224" s="4">
        <v>4</v>
      </c>
      <c r="G224" s="4">
        <v>2249</v>
      </c>
      <c r="H224" s="4">
        <v>7</v>
      </c>
      <c r="I224" s="7">
        <v>46077</v>
      </c>
      <c r="J224" s="7">
        <v>46084</v>
      </c>
      <c r="K224" s="4" t="s">
        <v>78</v>
      </c>
      <c r="L224" s="4" t="str">
        <f t="shared" si="9"/>
        <v>ANITA</v>
      </c>
      <c r="M224" s="4" t="str">
        <f t="shared" si="10"/>
        <v>table</v>
      </c>
      <c r="N224" s="4">
        <f t="shared" si="11"/>
        <v>5</v>
      </c>
    </row>
    <row r="225" spans="1:14" x14ac:dyDescent="0.3">
      <c r="A225" s="9">
        <v>1224</v>
      </c>
      <c r="B225" s="9" t="s">
        <v>30</v>
      </c>
      <c r="C225" s="4" t="s">
        <v>38</v>
      </c>
      <c r="D225" s="4" t="s">
        <v>34</v>
      </c>
      <c r="E225" s="4" t="s">
        <v>6</v>
      </c>
      <c r="F225" s="4">
        <v>16</v>
      </c>
      <c r="G225" s="4">
        <v>18378</v>
      </c>
      <c r="H225" s="4">
        <v>10</v>
      </c>
      <c r="I225" s="7">
        <v>46045</v>
      </c>
      <c r="J225" s="7">
        <v>46052</v>
      </c>
      <c r="K225" s="4" t="s">
        <v>80</v>
      </c>
      <c r="L225" s="4" t="str">
        <f t="shared" si="9"/>
        <v>NEHA</v>
      </c>
      <c r="M225" s="4" t="str">
        <f t="shared" si="10"/>
        <v>monitor</v>
      </c>
      <c r="N225" s="4">
        <f t="shared" si="11"/>
        <v>7</v>
      </c>
    </row>
    <row r="226" spans="1:14" x14ac:dyDescent="0.3">
      <c r="A226" s="9">
        <v>1225</v>
      </c>
      <c r="B226" s="9" t="s">
        <v>41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7">
        <v>46125</v>
      </c>
      <c r="J226" s="7">
        <v>46126</v>
      </c>
      <c r="K226" s="4" t="s">
        <v>79</v>
      </c>
      <c r="L226" s="4" t="str">
        <f t="shared" si="9"/>
        <v>NISHA</v>
      </c>
      <c r="M226" s="4" t="str">
        <f t="shared" si="10"/>
        <v>printer</v>
      </c>
      <c r="N226" s="4">
        <f t="shared" si="11"/>
        <v>7</v>
      </c>
    </row>
    <row r="227" spans="1:14" x14ac:dyDescent="0.3">
      <c r="A227" s="9">
        <v>1226</v>
      </c>
      <c r="B227" s="9" t="s">
        <v>49</v>
      </c>
      <c r="C227" s="4" t="s">
        <v>31</v>
      </c>
      <c r="D227" s="4" t="s">
        <v>34</v>
      </c>
      <c r="E227" s="4" t="s">
        <v>40</v>
      </c>
      <c r="F227" s="4">
        <v>13</v>
      </c>
      <c r="G227" s="4">
        <v>21332</v>
      </c>
      <c r="H227" s="4">
        <v>0</v>
      </c>
      <c r="I227" s="7">
        <v>46044</v>
      </c>
      <c r="J227" s="7">
        <v>46048</v>
      </c>
      <c r="K227" s="4" t="s">
        <v>49</v>
      </c>
      <c r="L227" s="4" t="str">
        <f t="shared" si="9"/>
        <v>PRIYA</v>
      </c>
      <c r="M227" s="4" t="str">
        <f t="shared" si="10"/>
        <v>headset</v>
      </c>
      <c r="N227" s="4">
        <f t="shared" si="11"/>
        <v>7</v>
      </c>
    </row>
    <row r="228" spans="1:14" x14ac:dyDescent="0.3">
      <c r="A228" s="9">
        <v>1227</v>
      </c>
      <c r="B228" s="9" t="s">
        <v>55</v>
      </c>
      <c r="C228" s="4" t="s">
        <v>26</v>
      </c>
      <c r="D228" s="4" t="s">
        <v>34</v>
      </c>
      <c r="E228" s="4" t="s">
        <v>6</v>
      </c>
      <c r="F228" s="4">
        <v>16</v>
      </c>
      <c r="G228" s="4">
        <v>1321</v>
      </c>
      <c r="H228" s="4">
        <v>12</v>
      </c>
      <c r="I228" s="7">
        <v>46113</v>
      </c>
      <c r="J228" s="7">
        <v>46116</v>
      </c>
      <c r="K228" s="4" t="s">
        <v>78</v>
      </c>
      <c r="L228" s="4" t="str">
        <f t="shared" si="9"/>
        <v>ROHAN</v>
      </c>
      <c r="M228" s="4" t="str">
        <f t="shared" si="10"/>
        <v>monitor</v>
      </c>
      <c r="N228" s="4">
        <f t="shared" si="11"/>
        <v>7</v>
      </c>
    </row>
    <row r="229" spans="1:14" x14ac:dyDescent="0.3">
      <c r="A229" s="9">
        <v>1228</v>
      </c>
      <c r="B229" s="9" t="s">
        <v>49</v>
      </c>
      <c r="C229" s="4" t="s">
        <v>27</v>
      </c>
      <c r="D229" s="4" t="s">
        <v>34</v>
      </c>
      <c r="E229" s="4" t="s">
        <v>6</v>
      </c>
      <c r="F229" s="4">
        <v>16</v>
      </c>
      <c r="G229" s="4">
        <v>17477</v>
      </c>
      <c r="H229" s="4">
        <v>10</v>
      </c>
      <c r="I229" s="7">
        <v>46041</v>
      </c>
      <c r="J229" s="7">
        <v>46043</v>
      </c>
      <c r="K229" s="4" t="s">
        <v>80</v>
      </c>
      <c r="L229" s="4" t="str">
        <f t="shared" si="9"/>
        <v>PRIYA</v>
      </c>
      <c r="M229" s="4" t="str">
        <f t="shared" si="10"/>
        <v>monitor</v>
      </c>
      <c r="N229" s="4">
        <f t="shared" si="11"/>
        <v>7</v>
      </c>
    </row>
    <row r="230" spans="1:14" x14ac:dyDescent="0.3">
      <c r="A230" s="9">
        <v>1229</v>
      </c>
      <c r="B230" s="9" t="s">
        <v>54</v>
      </c>
      <c r="C230" s="4" t="s">
        <v>19</v>
      </c>
      <c r="D230" s="4" t="s">
        <v>24</v>
      </c>
      <c r="E230" s="4" t="s">
        <v>11</v>
      </c>
      <c r="F230" s="4">
        <v>14</v>
      </c>
      <c r="G230" s="4">
        <v>5859</v>
      </c>
      <c r="H230" s="4">
        <v>12</v>
      </c>
      <c r="I230" s="7">
        <v>46027</v>
      </c>
      <c r="J230" s="7">
        <v>46036</v>
      </c>
      <c r="K230" s="4" t="s">
        <v>79</v>
      </c>
      <c r="L230" s="4" t="str">
        <f t="shared" ref="L230:L293" si="12">UPPER(B230)</f>
        <v>SARA</v>
      </c>
      <c r="M230" s="4" t="str">
        <f t="shared" ref="M230:M293" si="13">LOWER(E230)</f>
        <v>cabinet</v>
      </c>
      <c r="N230" s="4">
        <f t="shared" ref="N230:N293" si="14">LEN(E230)</f>
        <v>7</v>
      </c>
    </row>
    <row r="231" spans="1:14" x14ac:dyDescent="0.3">
      <c r="A231" s="9">
        <v>1230</v>
      </c>
      <c r="B231" s="9" t="s">
        <v>56</v>
      </c>
      <c r="C231" s="4" t="s">
        <v>33</v>
      </c>
      <c r="D231" s="4" t="s">
        <v>34</v>
      </c>
      <c r="E231" s="4" t="s">
        <v>9</v>
      </c>
      <c r="F231" s="4">
        <v>7</v>
      </c>
      <c r="G231" s="4">
        <v>2932</v>
      </c>
      <c r="H231" s="4">
        <v>7</v>
      </c>
      <c r="I231" s="7">
        <v>46050</v>
      </c>
      <c r="J231" s="7">
        <v>46059</v>
      </c>
      <c r="K231" s="4" t="s">
        <v>80</v>
      </c>
      <c r="L231" s="4" t="str">
        <f t="shared" si="12"/>
        <v>ANITA</v>
      </c>
      <c r="M231" s="4" t="str">
        <f t="shared" si="13"/>
        <v>laptop</v>
      </c>
      <c r="N231" s="4">
        <f t="shared" si="14"/>
        <v>6</v>
      </c>
    </row>
    <row r="232" spans="1:14" x14ac:dyDescent="0.3">
      <c r="A232" s="9">
        <v>1231</v>
      </c>
      <c r="B232" s="9" t="s">
        <v>46</v>
      </c>
      <c r="C232" s="4" t="s">
        <v>38</v>
      </c>
      <c r="D232" s="4" t="s">
        <v>24</v>
      </c>
      <c r="E232" s="4" t="s">
        <v>7</v>
      </c>
      <c r="F232" s="4">
        <v>13</v>
      </c>
      <c r="G232" s="4">
        <v>10297</v>
      </c>
      <c r="H232" s="4">
        <v>12</v>
      </c>
      <c r="I232" s="7">
        <v>46178</v>
      </c>
      <c r="J232" s="7">
        <v>46186</v>
      </c>
      <c r="K232" s="4" t="s">
        <v>79</v>
      </c>
      <c r="L232" s="4" t="str">
        <f t="shared" si="12"/>
        <v>NITIN</v>
      </c>
      <c r="M232" s="4" t="str">
        <f t="shared" si="13"/>
        <v>desk</v>
      </c>
      <c r="N232" s="4">
        <f t="shared" si="14"/>
        <v>4</v>
      </c>
    </row>
    <row r="233" spans="1:14" x14ac:dyDescent="0.3">
      <c r="A233" s="9">
        <v>1232</v>
      </c>
      <c r="B233" s="9" t="s">
        <v>25</v>
      </c>
      <c r="C233" s="4" t="s">
        <v>19</v>
      </c>
      <c r="D233" s="4" t="s">
        <v>34</v>
      </c>
      <c r="E233" s="4" t="s">
        <v>9</v>
      </c>
      <c r="F233" s="4">
        <v>3</v>
      </c>
      <c r="G233" s="4">
        <v>13272</v>
      </c>
      <c r="H233" s="4">
        <v>2</v>
      </c>
      <c r="I233" s="7">
        <v>46060</v>
      </c>
      <c r="J233" s="7">
        <v>46065</v>
      </c>
      <c r="K233" s="4" t="s">
        <v>78</v>
      </c>
      <c r="L233" s="4" t="str">
        <f t="shared" si="12"/>
        <v>MEERA</v>
      </c>
      <c r="M233" s="4" t="str">
        <f t="shared" si="13"/>
        <v>laptop</v>
      </c>
      <c r="N233" s="4">
        <f t="shared" si="14"/>
        <v>6</v>
      </c>
    </row>
    <row r="234" spans="1:14" x14ac:dyDescent="0.3">
      <c r="A234" s="9">
        <v>1233</v>
      </c>
      <c r="B234" s="9" t="s">
        <v>55</v>
      </c>
      <c r="C234" s="4" t="s">
        <v>26</v>
      </c>
      <c r="D234" s="4" t="s">
        <v>24</v>
      </c>
      <c r="E234" s="4" t="s">
        <v>7</v>
      </c>
      <c r="F234" s="4">
        <v>20</v>
      </c>
      <c r="G234" s="4">
        <v>13941</v>
      </c>
      <c r="H234" s="4">
        <v>15</v>
      </c>
      <c r="I234" s="7">
        <v>46198</v>
      </c>
      <c r="J234" s="7">
        <v>46202</v>
      </c>
      <c r="K234" s="4" t="s">
        <v>80</v>
      </c>
      <c r="L234" s="4" t="str">
        <f t="shared" si="12"/>
        <v>ROHAN</v>
      </c>
      <c r="M234" s="4" t="str">
        <f t="shared" si="13"/>
        <v>desk</v>
      </c>
      <c r="N234" s="4">
        <f t="shared" si="14"/>
        <v>4</v>
      </c>
    </row>
    <row r="235" spans="1:14" x14ac:dyDescent="0.3">
      <c r="A235" s="9">
        <v>1234</v>
      </c>
      <c r="B235" s="9" t="s">
        <v>18</v>
      </c>
      <c r="C235" s="4" t="s">
        <v>27</v>
      </c>
      <c r="D235" s="4" t="s">
        <v>24</v>
      </c>
      <c r="E235" s="4" t="s">
        <v>8</v>
      </c>
      <c r="F235" s="4">
        <v>1</v>
      </c>
      <c r="G235" s="4">
        <v>14320</v>
      </c>
      <c r="H235" s="4">
        <v>12</v>
      </c>
      <c r="I235" s="7">
        <v>46114</v>
      </c>
      <c r="J235" s="7">
        <v>46121</v>
      </c>
      <c r="K235" s="4" t="s">
        <v>81</v>
      </c>
      <c r="L235" s="4" t="str">
        <f t="shared" si="12"/>
        <v>RITESH</v>
      </c>
      <c r="M235" s="4" t="str">
        <f t="shared" si="13"/>
        <v>chair</v>
      </c>
      <c r="N235" s="4">
        <f t="shared" si="14"/>
        <v>5</v>
      </c>
    </row>
    <row r="236" spans="1:14" x14ac:dyDescent="0.3">
      <c r="A236" s="9">
        <v>1235</v>
      </c>
      <c r="B236" s="9" t="s">
        <v>54</v>
      </c>
      <c r="C236" s="4" t="s">
        <v>27</v>
      </c>
      <c r="D236" s="4" t="s">
        <v>20</v>
      </c>
      <c r="E236" s="4" t="s">
        <v>48</v>
      </c>
      <c r="F236" s="4">
        <v>15</v>
      </c>
      <c r="G236" s="4">
        <v>267</v>
      </c>
      <c r="H236" s="4">
        <v>15</v>
      </c>
      <c r="I236" s="7">
        <v>46172</v>
      </c>
      <c r="J236" s="7">
        <v>46177</v>
      </c>
      <c r="K236" s="4" t="s">
        <v>49</v>
      </c>
      <c r="L236" s="4" t="str">
        <f t="shared" si="12"/>
        <v>SARA</v>
      </c>
      <c r="M236" s="4" t="str">
        <f t="shared" si="13"/>
        <v>marker</v>
      </c>
      <c r="N236" s="4">
        <f t="shared" si="14"/>
        <v>6</v>
      </c>
    </row>
    <row r="237" spans="1:14" x14ac:dyDescent="0.3">
      <c r="A237" s="9">
        <v>1236</v>
      </c>
      <c r="B237" s="9" t="s">
        <v>52</v>
      </c>
      <c r="C237" s="4" t="s">
        <v>42</v>
      </c>
      <c r="D237" s="4" t="s">
        <v>20</v>
      </c>
      <c r="E237" s="4" t="s">
        <v>37</v>
      </c>
      <c r="F237" s="4">
        <v>12</v>
      </c>
      <c r="G237" s="4">
        <v>189</v>
      </c>
      <c r="H237" s="4">
        <v>7</v>
      </c>
      <c r="I237" s="7">
        <v>46164</v>
      </c>
      <c r="J237" s="7">
        <v>46169</v>
      </c>
      <c r="K237" s="4" t="s">
        <v>49</v>
      </c>
      <c r="L237" s="4" t="str">
        <f t="shared" si="12"/>
        <v>MANOJ</v>
      </c>
      <c r="M237" s="4" t="str">
        <f t="shared" si="13"/>
        <v>pen pack</v>
      </c>
      <c r="N237" s="4">
        <f t="shared" si="14"/>
        <v>8</v>
      </c>
    </row>
    <row r="238" spans="1:14" x14ac:dyDescent="0.3">
      <c r="A238" s="9">
        <v>1237</v>
      </c>
      <c r="B238" s="9" t="s">
        <v>44</v>
      </c>
      <c r="C238" s="4" t="s">
        <v>38</v>
      </c>
      <c r="D238" s="4" t="s">
        <v>24</v>
      </c>
      <c r="E238" s="4" t="s">
        <v>11</v>
      </c>
      <c r="F238" s="4">
        <v>8</v>
      </c>
      <c r="G238" s="4">
        <v>12123</v>
      </c>
      <c r="H238" s="4">
        <v>2</v>
      </c>
      <c r="I238" s="7">
        <v>46137</v>
      </c>
      <c r="J238" s="7">
        <v>46145</v>
      </c>
      <c r="K238" s="4" t="s">
        <v>78</v>
      </c>
      <c r="L238" s="4" t="str">
        <f t="shared" si="12"/>
        <v>KIRAN</v>
      </c>
      <c r="M238" s="4" t="str">
        <f t="shared" si="13"/>
        <v>cabinet</v>
      </c>
      <c r="N238" s="4">
        <f t="shared" si="14"/>
        <v>7</v>
      </c>
    </row>
    <row r="239" spans="1:14" x14ac:dyDescent="0.3">
      <c r="A239" s="9">
        <v>1238</v>
      </c>
      <c r="B239" s="9" t="s">
        <v>30</v>
      </c>
      <c r="C239" s="4" t="s">
        <v>31</v>
      </c>
      <c r="D239" s="4" t="s">
        <v>20</v>
      </c>
      <c r="E239" s="4" t="s">
        <v>21</v>
      </c>
      <c r="F239" s="4">
        <v>6</v>
      </c>
      <c r="G239" s="4">
        <v>180</v>
      </c>
      <c r="H239" s="4">
        <v>12</v>
      </c>
      <c r="I239" s="7">
        <v>46096</v>
      </c>
      <c r="J239" s="7">
        <v>46097</v>
      </c>
      <c r="K239" s="4" t="s">
        <v>81</v>
      </c>
      <c r="L239" s="4" t="str">
        <f t="shared" si="12"/>
        <v>NEHA</v>
      </c>
      <c r="M239" s="4" t="str">
        <f t="shared" si="13"/>
        <v>notebook</v>
      </c>
      <c r="N239" s="4">
        <f t="shared" si="14"/>
        <v>8</v>
      </c>
    </row>
    <row r="240" spans="1:14" x14ac:dyDescent="0.3">
      <c r="A240" s="9">
        <v>1239</v>
      </c>
      <c r="B240" s="9" t="s">
        <v>46</v>
      </c>
      <c r="C240" s="4" t="s">
        <v>23</v>
      </c>
      <c r="D240" s="4" t="s">
        <v>24</v>
      </c>
      <c r="E240" s="4" t="s">
        <v>11</v>
      </c>
      <c r="F240" s="4">
        <v>2</v>
      </c>
      <c r="G240" s="4">
        <v>12330</v>
      </c>
      <c r="H240" s="4">
        <v>12</v>
      </c>
      <c r="I240" s="7">
        <v>46122</v>
      </c>
      <c r="J240" s="7">
        <v>46125</v>
      </c>
      <c r="K240" s="4" t="s">
        <v>78</v>
      </c>
      <c r="L240" s="4" t="str">
        <f t="shared" si="12"/>
        <v>NITIN</v>
      </c>
      <c r="M240" s="4" t="str">
        <f t="shared" si="13"/>
        <v>cabinet</v>
      </c>
      <c r="N240" s="4">
        <f t="shared" si="14"/>
        <v>7</v>
      </c>
    </row>
    <row r="241" spans="1:14" x14ac:dyDescent="0.3">
      <c r="A241" s="9">
        <v>1240</v>
      </c>
      <c r="B241" s="9" t="s">
        <v>53</v>
      </c>
      <c r="C241" s="4" t="s">
        <v>33</v>
      </c>
      <c r="D241" s="4" t="s">
        <v>24</v>
      </c>
      <c r="E241" s="4" t="s">
        <v>10</v>
      </c>
      <c r="F241" s="4">
        <v>2</v>
      </c>
      <c r="G241" s="4">
        <v>5475</v>
      </c>
      <c r="H241" s="4">
        <v>2</v>
      </c>
      <c r="I241" s="7">
        <v>46142</v>
      </c>
      <c r="J241" s="7">
        <v>46146</v>
      </c>
      <c r="K241" s="4" t="s">
        <v>49</v>
      </c>
      <c r="L241" s="4" t="str">
        <f t="shared" si="12"/>
        <v>SNEHA</v>
      </c>
      <c r="M241" s="4" t="str">
        <f t="shared" si="13"/>
        <v>table</v>
      </c>
      <c r="N241" s="4">
        <f t="shared" si="14"/>
        <v>5</v>
      </c>
    </row>
    <row r="242" spans="1:14" x14ac:dyDescent="0.3">
      <c r="A242" s="9">
        <v>1241</v>
      </c>
      <c r="B242" s="9" t="s">
        <v>44</v>
      </c>
      <c r="C242" s="4" t="s">
        <v>31</v>
      </c>
      <c r="D242" s="4" t="s">
        <v>24</v>
      </c>
      <c r="E242" s="4" t="s">
        <v>43</v>
      </c>
      <c r="F242" s="4">
        <v>1</v>
      </c>
      <c r="G242" s="4">
        <v>12537</v>
      </c>
      <c r="H242" s="4">
        <v>0</v>
      </c>
      <c r="I242" s="7">
        <v>46119</v>
      </c>
      <c r="J242" s="7">
        <v>46122</v>
      </c>
      <c r="K242" s="4" t="s">
        <v>78</v>
      </c>
      <c r="L242" s="4" t="str">
        <f t="shared" si="12"/>
        <v>KIRAN</v>
      </c>
      <c r="M242" s="4" t="str">
        <f t="shared" si="13"/>
        <v>bookshelf</v>
      </c>
      <c r="N242" s="4">
        <f t="shared" si="14"/>
        <v>9</v>
      </c>
    </row>
    <row r="243" spans="1:14" x14ac:dyDescent="0.3">
      <c r="A243" s="9">
        <v>1242</v>
      </c>
      <c r="B243" s="9" t="s">
        <v>52</v>
      </c>
      <c r="C243" s="4" t="s">
        <v>38</v>
      </c>
      <c r="D243" s="4" t="s">
        <v>20</v>
      </c>
      <c r="E243" s="4" t="s">
        <v>48</v>
      </c>
      <c r="F243" s="4">
        <v>7</v>
      </c>
      <c r="G243" s="4">
        <v>168</v>
      </c>
      <c r="H243" s="4">
        <v>10</v>
      </c>
      <c r="I243" s="7">
        <v>46191</v>
      </c>
      <c r="J243" s="7">
        <v>46196</v>
      </c>
      <c r="K243" s="4" t="s">
        <v>81</v>
      </c>
      <c r="L243" s="4" t="str">
        <f t="shared" si="12"/>
        <v>MANOJ</v>
      </c>
      <c r="M243" s="4" t="str">
        <f t="shared" si="13"/>
        <v>marker</v>
      </c>
      <c r="N243" s="4">
        <f t="shared" si="14"/>
        <v>6</v>
      </c>
    </row>
    <row r="244" spans="1:14" x14ac:dyDescent="0.3">
      <c r="A244" s="9">
        <v>1243</v>
      </c>
      <c r="B244" s="9" t="s">
        <v>30</v>
      </c>
      <c r="C244" s="4" t="s">
        <v>31</v>
      </c>
      <c r="D244" s="4" t="s">
        <v>34</v>
      </c>
      <c r="E244" s="4" t="s">
        <v>40</v>
      </c>
      <c r="F244" s="4">
        <v>5</v>
      </c>
      <c r="G244" s="4">
        <v>11570</v>
      </c>
      <c r="H244" s="4">
        <v>15</v>
      </c>
      <c r="I244" s="7">
        <v>46069</v>
      </c>
      <c r="J244" s="7">
        <v>46077</v>
      </c>
      <c r="K244" s="4" t="s">
        <v>80</v>
      </c>
      <c r="L244" s="4" t="str">
        <f t="shared" si="12"/>
        <v>NEHA</v>
      </c>
      <c r="M244" s="4" t="str">
        <f t="shared" si="13"/>
        <v>headset</v>
      </c>
      <c r="N244" s="4">
        <f t="shared" si="14"/>
        <v>7</v>
      </c>
    </row>
    <row r="245" spans="1:14" x14ac:dyDescent="0.3">
      <c r="A245" s="9">
        <v>1244</v>
      </c>
      <c r="B245" s="9" t="s">
        <v>54</v>
      </c>
      <c r="C245" s="4" t="s">
        <v>38</v>
      </c>
      <c r="D245" s="4" t="s">
        <v>24</v>
      </c>
      <c r="E245" s="4" t="s">
        <v>8</v>
      </c>
      <c r="F245" s="4">
        <v>10</v>
      </c>
      <c r="G245" s="4">
        <v>6339</v>
      </c>
      <c r="H245" s="4">
        <v>12</v>
      </c>
      <c r="I245" s="7">
        <v>46200</v>
      </c>
      <c r="J245" s="7">
        <v>46205</v>
      </c>
      <c r="K245" s="4" t="s">
        <v>78</v>
      </c>
      <c r="L245" s="4" t="str">
        <f t="shared" si="12"/>
        <v>SARA</v>
      </c>
      <c r="M245" s="4" t="str">
        <f t="shared" si="13"/>
        <v>chair</v>
      </c>
      <c r="N245" s="4">
        <f t="shared" si="14"/>
        <v>5</v>
      </c>
    </row>
    <row r="246" spans="1:14" x14ac:dyDescent="0.3">
      <c r="A246" s="9">
        <v>1245</v>
      </c>
      <c r="B246" s="9" t="s">
        <v>53</v>
      </c>
      <c r="C246" s="4" t="s">
        <v>42</v>
      </c>
      <c r="D246" s="4" t="s">
        <v>34</v>
      </c>
      <c r="E246" s="4" t="s">
        <v>40</v>
      </c>
      <c r="F246" s="4">
        <v>19</v>
      </c>
      <c r="G246" s="4">
        <v>69029</v>
      </c>
      <c r="H246" s="4">
        <v>7</v>
      </c>
      <c r="I246" s="7">
        <v>46176</v>
      </c>
      <c r="J246" s="7">
        <v>46179</v>
      </c>
      <c r="K246" s="4" t="s">
        <v>49</v>
      </c>
      <c r="L246" s="4" t="str">
        <f t="shared" si="12"/>
        <v>SNEHA</v>
      </c>
      <c r="M246" s="4" t="str">
        <f t="shared" si="13"/>
        <v>headset</v>
      </c>
      <c r="N246" s="4">
        <f t="shared" si="14"/>
        <v>7</v>
      </c>
    </row>
    <row r="247" spans="1:14" x14ac:dyDescent="0.3">
      <c r="A247" s="9">
        <v>1246</v>
      </c>
      <c r="B247" s="9" t="s">
        <v>53</v>
      </c>
      <c r="C247" s="4" t="s">
        <v>26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7">
        <v>46039</v>
      </c>
      <c r="J247" s="7">
        <v>46045</v>
      </c>
      <c r="K247" s="4" t="s">
        <v>81</v>
      </c>
      <c r="L247" s="4" t="str">
        <f t="shared" si="12"/>
        <v>SNEHA</v>
      </c>
      <c r="M247" s="4" t="str">
        <f t="shared" si="13"/>
        <v>printer</v>
      </c>
      <c r="N247" s="4">
        <f t="shared" si="14"/>
        <v>7</v>
      </c>
    </row>
    <row r="248" spans="1:14" x14ac:dyDescent="0.3">
      <c r="A248" s="9">
        <v>1247</v>
      </c>
      <c r="B248" s="9" t="s">
        <v>28</v>
      </c>
      <c r="C248" s="4" t="s">
        <v>19</v>
      </c>
      <c r="D248" s="4" t="s">
        <v>20</v>
      </c>
      <c r="E248" s="4" t="s">
        <v>48</v>
      </c>
      <c r="F248" s="4">
        <v>10</v>
      </c>
      <c r="G248" s="4">
        <v>336</v>
      </c>
      <c r="H248" s="4">
        <v>7</v>
      </c>
      <c r="I248" s="7">
        <v>46173</v>
      </c>
      <c r="J248" s="7">
        <v>46175</v>
      </c>
      <c r="K248" s="4" t="s">
        <v>79</v>
      </c>
      <c r="L248" s="4" t="str">
        <f t="shared" si="12"/>
        <v>VIKRAM</v>
      </c>
      <c r="M248" s="4" t="str">
        <f t="shared" si="13"/>
        <v>marker</v>
      </c>
      <c r="N248" s="4">
        <f t="shared" si="14"/>
        <v>6</v>
      </c>
    </row>
    <row r="249" spans="1:14" x14ac:dyDescent="0.3">
      <c r="A249" s="9">
        <v>1248</v>
      </c>
      <c r="B249" s="9" t="s">
        <v>29</v>
      </c>
      <c r="C249" s="4" t="s">
        <v>42</v>
      </c>
      <c r="D249" s="4" t="s">
        <v>20</v>
      </c>
      <c r="E249" s="4" t="s">
        <v>37</v>
      </c>
      <c r="F249" s="4">
        <v>5</v>
      </c>
      <c r="G249" s="4">
        <v>398</v>
      </c>
      <c r="H249" s="4">
        <v>7</v>
      </c>
      <c r="I249" s="7">
        <v>46161</v>
      </c>
      <c r="J249" s="7">
        <v>46171</v>
      </c>
      <c r="K249" s="4" t="s">
        <v>49</v>
      </c>
      <c r="L249" s="4" t="str">
        <f t="shared" si="12"/>
        <v>ARJUN</v>
      </c>
      <c r="M249" s="4" t="str">
        <f t="shared" si="13"/>
        <v>pen pack</v>
      </c>
      <c r="N249" s="4">
        <f t="shared" si="14"/>
        <v>8</v>
      </c>
    </row>
    <row r="250" spans="1:14" x14ac:dyDescent="0.3">
      <c r="A250" s="9">
        <v>1249</v>
      </c>
      <c r="B250" s="9" t="s">
        <v>22</v>
      </c>
      <c r="C250" s="4" t="s">
        <v>27</v>
      </c>
      <c r="D250" s="4" t="s">
        <v>34</v>
      </c>
      <c r="E250" s="4" t="s">
        <v>40</v>
      </c>
      <c r="F250" s="4">
        <v>18</v>
      </c>
      <c r="G250" s="4">
        <v>6360</v>
      </c>
      <c r="H250" s="4">
        <v>12</v>
      </c>
      <c r="I250" s="7">
        <v>46163</v>
      </c>
      <c r="J250" s="7">
        <v>46165</v>
      </c>
      <c r="K250" s="4" t="s">
        <v>79</v>
      </c>
      <c r="L250" s="4" t="str">
        <f t="shared" si="12"/>
        <v>POOJA</v>
      </c>
      <c r="M250" s="4" t="str">
        <f t="shared" si="13"/>
        <v>headset</v>
      </c>
      <c r="N250" s="4">
        <f t="shared" si="14"/>
        <v>7</v>
      </c>
    </row>
    <row r="251" spans="1:14" x14ac:dyDescent="0.3">
      <c r="A251" s="9">
        <v>1250</v>
      </c>
      <c r="B251" s="9" t="s">
        <v>18</v>
      </c>
      <c r="C251" s="4" t="s">
        <v>23</v>
      </c>
      <c r="D251" s="4" t="s">
        <v>34</v>
      </c>
      <c r="E251" s="4" t="s">
        <v>6</v>
      </c>
      <c r="F251" s="4">
        <v>2</v>
      </c>
      <c r="G251" s="4">
        <v>65953</v>
      </c>
      <c r="H251" s="4">
        <v>7</v>
      </c>
      <c r="I251" s="7">
        <v>46051</v>
      </c>
      <c r="J251" s="7">
        <v>46053</v>
      </c>
      <c r="K251" s="4" t="s">
        <v>49</v>
      </c>
      <c r="L251" s="4" t="str">
        <f t="shared" si="12"/>
        <v>RITESH</v>
      </c>
      <c r="M251" s="4" t="str">
        <f t="shared" si="13"/>
        <v>monitor</v>
      </c>
      <c r="N251" s="4">
        <f t="shared" si="14"/>
        <v>7</v>
      </c>
    </row>
    <row r="252" spans="1:14" x14ac:dyDescent="0.3">
      <c r="A252" s="9">
        <v>1251</v>
      </c>
      <c r="B252" s="9" t="s">
        <v>53</v>
      </c>
      <c r="C252" s="4" t="s">
        <v>38</v>
      </c>
      <c r="D252" s="4" t="s">
        <v>34</v>
      </c>
      <c r="E252" s="4" t="s">
        <v>12</v>
      </c>
      <c r="F252" s="4">
        <v>19</v>
      </c>
      <c r="G252" s="4">
        <v>48548</v>
      </c>
      <c r="H252" s="4">
        <v>0</v>
      </c>
      <c r="I252" s="7">
        <v>46112</v>
      </c>
      <c r="J252" s="7">
        <v>46121</v>
      </c>
      <c r="K252" s="4" t="s">
        <v>81</v>
      </c>
      <c r="L252" s="4" t="str">
        <f t="shared" si="12"/>
        <v>SNEHA</v>
      </c>
      <c r="M252" s="4" t="str">
        <f t="shared" si="13"/>
        <v>mouse</v>
      </c>
      <c r="N252" s="4">
        <f t="shared" si="14"/>
        <v>5</v>
      </c>
    </row>
    <row r="253" spans="1:14" x14ac:dyDescent="0.3">
      <c r="A253" s="9">
        <v>1252</v>
      </c>
      <c r="B253" s="9" t="s">
        <v>45</v>
      </c>
      <c r="C253" s="4" t="s">
        <v>27</v>
      </c>
      <c r="D253" s="4" t="s">
        <v>20</v>
      </c>
      <c r="E253" s="4" t="s">
        <v>36</v>
      </c>
      <c r="F253" s="4">
        <v>15</v>
      </c>
      <c r="G253" s="4">
        <v>257</v>
      </c>
      <c r="H253" s="4">
        <v>5</v>
      </c>
      <c r="I253" s="7">
        <v>46166</v>
      </c>
      <c r="J253" s="7">
        <v>46173</v>
      </c>
      <c r="K253" s="4" t="s">
        <v>79</v>
      </c>
      <c r="L253" s="4" t="str">
        <f t="shared" si="12"/>
        <v>YASH</v>
      </c>
      <c r="M253" s="4" t="str">
        <f t="shared" si="13"/>
        <v>stapler</v>
      </c>
      <c r="N253" s="4">
        <f t="shared" si="14"/>
        <v>7</v>
      </c>
    </row>
    <row r="254" spans="1:14" x14ac:dyDescent="0.3">
      <c r="A254" s="9">
        <v>1253</v>
      </c>
      <c r="B254" s="9" t="s">
        <v>25</v>
      </c>
      <c r="C254" s="4" t="s">
        <v>31</v>
      </c>
      <c r="D254" s="4" t="s">
        <v>34</v>
      </c>
      <c r="E254" s="4" t="s">
        <v>6</v>
      </c>
      <c r="F254" s="4">
        <v>20</v>
      </c>
      <c r="G254" s="4">
        <v>47880</v>
      </c>
      <c r="H254" s="4">
        <v>7</v>
      </c>
      <c r="I254" s="7">
        <v>46074</v>
      </c>
      <c r="J254" s="7">
        <v>46075</v>
      </c>
      <c r="K254" s="4" t="s">
        <v>49</v>
      </c>
      <c r="L254" s="4" t="str">
        <f t="shared" si="12"/>
        <v>MEERA</v>
      </c>
      <c r="M254" s="4" t="str">
        <f t="shared" si="13"/>
        <v>monitor</v>
      </c>
      <c r="N254" s="4">
        <f t="shared" si="14"/>
        <v>7</v>
      </c>
    </row>
    <row r="255" spans="1:14" x14ac:dyDescent="0.3">
      <c r="A255" s="9">
        <v>1254</v>
      </c>
      <c r="B255" s="9" t="s">
        <v>50</v>
      </c>
      <c r="C255" s="4" t="s">
        <v>26</v>
      </c>
      <c r="D255" s="4" t="s">
        <v>20</v>
      </c>
      <c r="E255" s="4" t="s">
        <v>48</v>
      </c>
      <c r="F255" s="4">
        <v>18</v>
      </c>
      <c r="G255" s="4">
        <v>447</v>
      </c>
      <c r="H255" s="4">
        <v>15</v>
      </c>
      <c r="I255" s="7">
        <v>46141</v>
      </c>
      <c r="J255" s="7">
        <v>46149</v>
      </c>
      <c r="K255" s="4" t="s">
        <v>80</v>
      </c>
      <c r="L255" s="4" t="str">
        <f t="shared" si="12"/>
        <v>KOMAL</v>
      </c>
      <c r="M255" s="4" t="str">
        <f t="shared" si="13"/>
        <v>marker</v>
      </c>
      <c r="N255" s="4">
        <f t="shared" si="14"/>
        <v>6</v>
      </c>
    </row>
    <row r="256" spans="1:14" x14ac:dyDescent="0.3">
      <c r="A256" s="9">
        <v>1255</v>
      </c>
      <c r="B256" s="9" t="s">
        <v>32</v>
      </c>
      <c r="C256" s="4" t="s">
        <v>23</v>
      </c>
      <c r="D256" s="4" t="s">
        <v>24</v>
      </c>
      <c r="E256" s="4" t="s">
        <v>7</v>
      </c>
      <c r="F256" s="4">
        <v>1</v>
      </c>
      <c r="G256" s="4">
        <v>2240</v>
      </c>
      <c r="H256" s="4">
        <v>5</v>
      </c>
      <c r="I256" s="7">
        <v>46091</v>
      </c>
      <c r="J256" s="7">
        <v>46095</v>
      </c>
      <c r="K256" s="4" t="s">
        <v>79</v>
      </c>
      <c r="L256" s="4" t="str">
        <f t="shared" si="12"/>
        <v>ASHA</v>
      </c>
      <c r="M256" s="4" t="str">
        <f t="shared" si="13"/>
        <v>desk</v>
      </c>
      <c r="N256" s="4">
        <f t="shared" si="14"/>
        <v>4</v>
      </c>
    </row>
    <row r="257" spans="1:14" x14ac:dyDescent="0.3">
      <c r="A257" s="9">
        <v>1256</v>
      </c>
      <c r="B257" s="9" t="s">
        <v>46</v>
      </c>
      <c r="C257" s="4" t="s">
        <v>31</v>
      </c>
      <c r="D257" s="4" t="s">
        <v>20</v>
      </c>
      <c r="E257" s="4" t="s">
        <v>48</v>
      </c>
      <c r="F257" s="4">
        <v>19</v>
      </c>
      <c r="G257" s="4">
        <v>406</v>
      </c>
      <c r="H257" s="4">
        <v>7</v>
      </c>
      <c r="I257" s="7">
        <v>46057</v>
      </c>
      <c r="J257" s="7">
        <v>46061</v>
      </c>
      <c r="K257" s="4" t="s">
        <v>78</v>
      </c>
      <c r="L257" s="4" t="str">
        <f t="shared" si="12"/>
        <v>NITIN</v>
      </c>
      <c r="M257" s="4" t="str">
        <f t="shared" si="13"/>
        <v>marker</v>
      </c>
      <c r="N257" s="4">
        <f t="shared" si="14"/>
        <v>6</v>
      </c>
    </row>
    <row r="258" spans="1:14" x14ac:dyDescent="0.3">
      <c r="A258" s="9">
        <v>1257</v>
      </c>
      <c r="B258" s="9" t="s">
        <v>52</v>
      </c>
      <c r="C258" s="4" t="s">
        <v>27</v>
      </c>
      <c r="D258" s="4" t="s">
        <v>34</v>
      </c>
      <c r="E258" s="4" t="s">
        <v>12</v>
      </c>
      <c r="F258" s="4">
        <v>7</v>
      </c>
      <c r="G258" s="4">
        <v>53243</v>
      </c>
      <c r="H258" s="4">
        <v>12</v>
      </c>
      <c r="I258" s="7">
        <v>46161</v>
      </c>
      <c r="J258" s="7">
        <v>46171</v>
      </c>
      <c r="K258" s="4" t="s">
        <v>78</v>
      </c>
      <c r="L258" s="4" t="str">
        <f t="shared" si="12"/>
        <v>MANOJ</v>
      </c>
      <c r="M258" s="4" t="str">
        <f t="shared" si="13"/>
        <v>mouse</v>
      </c>
      <c r="N258" s="4">
        <f t="shared" si="14"/>
        <v>5</v>
      </c>
    </row>
    <row r="259" spans="1:14" x14ac:dyDescent="0.3">
      <c r="A259" s="9">
        <v>1258</v>
      </c>
      <c r="B259" s="9" t="s">
        <v>32</v>
      </c>
      <c r="C259" s="4" t="s">
        <v>31</v>
      </c>
      <c r="D259" s="4" t="s">
        <v>34</v>
      </c>
      <c r="E259" s="4" t="s">
        <v>9</v>
      </c>
      <c r="F259" s="4">
        <v>1</v>
      </c>
      <c r="G259" s="4">
        <v>10600</v>
      </c>
      <c r="H259" s="4">
        <v>5</v>
      </c>
      <c r="I259" s="7">
        <v>46137</v>
      </c>
      <c r="J259" s="7">
        <v>46138</v>
      </c>
      <c r="K259" s="4" t="s">
        <v>49</v>
      </c>
      <c r="L259" s="4" t="str">
        <f t="shared" si="12"/>
        <v>ASHA</v>
      </c>
      <c r="M259" s="4" t="str">
        <f t="shared" si="13"/>
        <v>laptop</v>
      </c>
      <c r="N259" s="4">
        <f t="shared" si="14"/>
        <v>6</v>
      </c>
    </row>
    <row r="260" spans="1:14" x14ac:dyDescent="0.3">
      <c r="A260" s="9">
        <v>1259</v>
      </c>
      <c r="B260" s="9" t="s">
        <v>41</v>
      </c>
      <c r="C260" s="4" t="s">
        <v>26</v>
      </c>
      <c r="D260" s="4" t="s">
        <v>34</v>
      </c>
      <c r="E260" s="4" t="s">
        <v>6</v>
      </c>
      <c r="F260" s="4">
        <v>10</v>
      </c>
      <c r="G260" s="4">
        <v>38771</v>
      </c>
      <c r="H260" s="4">
        <v>15</v>
      </c>
      <c r="I260" s="7">
        <v>46172</v>
      </c>
      <c r="J260" s="7">
        <v>46182</v>
      </c>
      <c r="K260" s="4" t="s">
        <v>78</v>
      </c>
      <c r="L260" s="4" t="str">
        <f t="shared" si="12"/>
        <v>NISHA</v>
      </c>
      <c r="M260" s="4" t="str">
        <f t="shared" si="13"/>
        <v>monitor</v>
      </c>
      <c r="N260" s="4">
        <f t="shared" si="14"/>
        <v>7</v>
      </c>
    </row>
    <row r="261" spans="1:14" x14ac:dyDescent="0.3">
      <c r="A261" s="9">
        <v>1260</v>
      </c>
      <c r="B261" s="9" t="s">
        <v>52</v>
      </c>
      <c r="C261" s="4" t="s">
        <v>38</v>
      </c>
      <c r="D261" s="4" t="s">
        <v>34</v>
      </c>
      <c r="E261" s="4" t="s">
        <v>40</v>
      </c>
      <c r="F261" s="4">
        <v>19</v>
      </c>
      <c r="G261" s="4">
        <v>54981</v>
      </c>
      <c r="H261" s="4">
        <v>10</v>
      </c>
      <c r="I261" s="7">
        <v>46040</v>
      </c>
      <c r="J261" s="7">
        <v>46045</v>
      </c>
      <c r="K261" s="4" t="s">
        <v>49</v>
      </c>
      <c r="L261" s="4" t="str">
        <f t="shared" si="12"/>
        <v>MANOJ</v>
      </c>
      <c r="M261" s="4" t="str">
        <f t="shared" si="13"/>
        <v>headset</v>
      </c>
      <c r="N261" s="4">
        <f t="shared" si="14"/>
        <v>7</v>
      </c>
    </row>
    <row r="262" spans="1:14" x14ac:dyDescent="0.3">
      <c r="A262" s="9">
        <v>1261</v>
      </c>
      <c r="B262" s="9" t="s">
        <v>39</v>
      </c>
      <c r="C262" s="4" t="s">
        <v>23</v>
      </c>
      <c r="D262" s="4" t="s">
        <v>20</v>
      </c>
      <c r="E262" s="4" t="s">
        <v>48</v>
      </c>
      <c r="F262" s="4">
        <v>20</v>
      </c>
      <c r="G262" s="4">
        <v>162</v>
      </c>
      <c r="H262" s="4">
        <v>7</v>
      </c>
      <c r="I262" s="7">
        <v>46119</v>
      </c>
      <c r="J262" s="7">
        <v>46120</v>
      </c>
      <c r="K262" s="4" t="s">
        <v>81</v>
      </c>
      <c r="L262" s="4" t="str">
        <f t="shared" si="12"/>
        <v>DEEPAK</v>
      </c>
      <c r="M262" s="4" t="str">
        <f t="shared" si="13"/>
        <v>marker</v>
      </c>
      <c r="N262" s="4">
        <f t="shared" si="14"/>
        <v>6</v>
      </c>
    </row>
    <row r="263" spans="1:14" x14ac:dyDescent="0.3">
      <c r="A263" s="9">
        <v>1262</v>
      </c>
      <c r="B263" s="9" t="s">
        <v>22</v>
      </c>
      <c r="C263" s="4" t="s">
        <v>26</v>
      </c>
      <c r="D263" s="4" t="s">
        <v>24</v>
      </c>
      <c r="E263" s="4" t="s">
        <v>8</v>
      </c>
      <c r="F263" s="4">
        <v>9</v>
      </c>
      <c r="G263" s="4">
        <v>2231</v>
      </c>
      <c r="H263" s="4">
        <v>15</v>
      </c>
      <c r="I263" s="7">
        <v>46174</v>
      </c>
      <c r="J263" s="7">
        <v>46183</v>
      </c>
      <c r="K263" s="4" t="s">
        <v>78</v>
      </c>
      <c r="L263" s="4" t="str">
        <f t="shared" si="12"/>
        <v>POOJA</v>
      </c>
      <c r="M263" s="4" t="str">
        <f t="shared" si="13"/>
        <v>chair</v>
      </c>
      <c r="N263" s="4">
        <f t="shared" si="14"/>
        <v>5</v>
      </c>
    </row>
    <row r="264" spans="1:14" x14ac:dyDescent="0.3">
      <c r="A264" s="9">
        <v>1263</v>
      </c>
      <c r="B264" s="9" t="s">
        <v>49</v>
      </c>
      <c r="C264" s="4" t="s">
        <v>38</v>
      </c>
      <c r="D264" s="4" t="s">
        <v>24</v>
      </c>
      <c r="E264" s="4" t="s">
        <v>8</v>
      </c>
      <c r="F264" s="4">
        <v>10</v>
      </c>
      <c r="G264" s="4">
        <v>1505</v>
      </c>
      <c r="H264" s="4">
        <v>0</v>
      </c>
      <c r="I264" s="7">
        <v>46130</v>
      </c>
      <c r="J264" s="7">
        <v>46138</v>
      </c>
      <c r="K264" s="4" t="s">
        <v>81</v>
      </c>
      <c r="L264" s="4" t="str">
        <f t="shared" si="12"/>
        <v>PRIYA</v>
      </c>
      <c r="M264" s="4" t="str">
        <f t="shared" si="13"/>
        <v>chair</v>
      </c>
      <c r="N264" s="4">
        <f t="shared" si="14"/>
        <v>5</v>
      </c>
    </row>
    <row r="265" spans="1:14" x14ac:dyDescent="0.3">
      <c r="A265" s="9">
        <v>1264</v>
      </c>
      <c r="B265" s="9" t="s">
        <v>18</v>
      </c>
      <c r="C265" s="4" t="s">
        <v>26</v>
      </c>
      <c r="D265" s="4" t="s">
        <v>24</v>
      </c>
      <c r="E265" s="4" t="s">
        <v>8</v>
      </c>
      <c r="F265" s="4">
        <v>15</v>
      </c>
      <c r="G265" s="4">
        <v>6365</v>
      </c>
      <c r="H265" s="4">
        <v>10</v>
      </c>
      <c r="I265" s="7">
        <v>46200</v>
      </c>
      <c r="J265" s="7">
        <v>46206</v>
      </c>
      <c r="K265" s="4" t="s">
        <v>79</v>
      </c>
      <c r="L265" s="4" t="str">
        <f t="shared" si="12"/>
        <v>RITESH</v>
      </c>
      <c r="M265" s="4" t="str">
        <f t="shared" si="13"/>
        <v>chair</v>
      </c>
      <c r="N265" s="4">
        <f t="shared" si="14"/>
        <v>5</v>
      </c>
    </row>
    <row r="266" spans="1:14" x14ac:dyDescent="0.3">
      <c r="A266" s="9">
        <v>1265</v>
      </c>
      <c r="B266" s="9" t="s">
        <v>55</v>
      </c>
      <c r="C266" s="4" t="s">
        <v>26</v>
      </c>
      <c r="D266" s="4" t="s">
        <v>24</v>
      </c>
      <c r="E266" s="4" t="s">
        <v>7</v>
      </c>
      <c r="F266" s="4">
        <v>1</v>
      </c>
      <c r="G266" s="4">
        <v>1052</v>
      </c>
      <c r="H266" s="4">
        <v>7</v>
      </c>
      <c r="I266" s="7">
        <v>46117</v>
      </c>
      <c r="J266" s="7">
        <v>46127</v>
      </c>
      <c r="K266" s="4" t="s">
        <v>81</v>
      </c>
      <c r="L266" s="4" t="str">
        <f t="shared" si="12"/>
        <v>ROHAN</v>
      </c>
      <c r="M266" s="4" t="str">
        <f t="shared" si="13"/>
        <v>desk</v>
      </c>
      <c r="N266" s="4">
        <f t="shared" si="14"/>
        <v>4</v>
      </c>
    </row>
    <row r="267" spans="1:14" x14ac:dyDescent="0.3">
      <c r="A267" s="9">
        <v>1266</v>
      </c>
      <c r="B267" s="9" t="s">
        <v>49</v>
      </c>
      <c r="C267" s="4" t="s">
        <v>33</v>
      </c>
      <c r="D267" s="4" t="s">
        <v>20</v>
      </c>
      <c r="E267" s="4" t="s">
        <v>21</v>
      </c>
      <c r="F267" s="4">
        <v>17</v>
      </c>
      <c r="G267" s="4">
        <v>365</v>
      </c>
      <c r="H267" s="4">
        <v>2</v>
      </c>
      <c r="I267" s="7">
        <v>46096</v>
      </c>
      <c r="J267" s="7">
        <v>46104</v>
      </c>
      <c r="K267" s="4" t="s">
        <v>81</v>
      </c>
      <c r="L267" s="4" t="str">
        <f t="shared" si="12"/>
        <v>PRIYA</v>
      </c>
      <c r="M267" s="4" t="str">
        <f t="shared" si="13"/>
        <v>notebook</v>
      </c>
      <c r="N267" s="4">
        <f t="shared" si="14"/>
        <v>8</v>
      </c>
    </row>
    <row r="268" spans="1:14" x14ac:dyDescent="0.3">
      <c r="A268" s="9">
        <v>1267</v>
      </c>
      <c r="B268" s="9" t="s">
        <v>29</v>
      </c>
      <c r="C268" s="4" t="s">
        <v>38</v>
      </c>
      <c r="D268" s="4" t="s">
        <v>20</v>
      </c>
      <c r="E268" s="4" t="s">
        <v>48</v>
      </c>
      <c r="F268" s="4">
        <v>1</v>
      </c>
      <c r="G268" s="4">
        <v>50</v>
      </c>
      <c r="H268" s="4">
        <v>0</v>
      </c>
      <c r="I268" s="7">
        <v>46129</v>
      </c>
      <c r="J268" s="7">
        <v>46138</v>
      </c>
      <c r="K268" s="4" t="s">
        <v>79</v>
      </c>
      <c r="L268" s="4" t="str">
        <f t="shared" si="12"/>
        <v>ARJUN</v>
      </c>
      <c r="M268" s="4" t="str">
        <f t="shared" si="13"/>
        <v>marker</v>
      </c>
      <c r="N268" s="4">
        <f t="shared" si="14"/>
        <v>6</v>
      </c>
    </row>
    <row r="269" spans="1:14" x14ac:dyDescent="0.3">
      <c r="A269" s="9">
        <v>1268</v>
      </c>
      <c r="B269" s="9" t="s">
        <v>41</v>
      </c>
      <c r="C269" s="4" t="s">
        <v>38</v>
      </c>
      <c r="D269" s="4" t="s">
        <v>34</v>
      </c>
      <c r="E269" s="4" t="s">
        <v>6</v>
      </c>
      <c r="F269" s="4">
        <v>10</v>
      </c>
      <c r="G269" s="4">
        <v>46291</v>
      </c>
      <c r="H269" s="4">
        <v>12</v>
      </c>
      <c r="I269" s="7">
        <v>46199</v>
      </c>
      <c r="J269" s="7">
        <v>46202</v>
      </c>
      <c r="K269" s="4" t="s">
        <v>79</v>
      </c>
      <c r="L269" s="4" t="str">
        <f t="shared" si="12"/>
        <v>NISHA</v>
      </c>
      <c r="M269" s="4" t="str">
        <f t="shared" si="13"/>
        <v>monitor</v>
      </c>
      <c r="N269" s="4">
        <f t="shared" si="14"/>
        <v>7</v>
      </c>
    </row>
    <row r="270" spans="1:14" x14ac:dyDescent="0.3">
      <c r="A270" s="9">
        <v>1269</v>
      </c>
      <c r="B270" s="9" t="s">
        <v>50</v>
      </c>
      <c r="C270" s="4" t="s">
        <v>42</v>
      </c>
      <c r="D270" s="4" t="s">
        <v>24</v>
      </c>
      <c r="E270" s="4" t="s">
        <v>7</v>
      </c>
      <c r="F270" s="4">
        <v>14</v>
      </c>
      <c r="G270" s="4">
        <v>5704</v>
      </c>
      <c r="H270" s="4">
        <v>2</v>
      </c>
      <c r="I270" s="7">
        <v>46129</v>
      </c>
      <c r="J270" s="7">
        <v>46131</v>
      </c>
      <c r="K270" s="4" t="s">
        <v>78</v>
      </c>
      <c r="L270" s="4" t="str">
        <f t="shared" si="12"/>
        <v>KOMAL</v>
      </c>
      <c r="M270" s="4" t="str">
        <f t="shared" si="13"/>
        <v>desk</v>
      </c>
      <c r="N270" s="4">
        <f t="shared" si="14"/>
        <v>4</v>
      </c>
    </row>
    <row r="271" spans="1:14" x14ac:dyDescent="0.3">
      <c r="A271" s="9">
        <v>1270</v>
      </c>
      <c r="B271" s="9" t="s">
        <v>47</v>
      </c>
      <c r="C271" s="4" t="s">
        <v>42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7">
        <v>46135</v>
      </c>
      <c r="J271" s="7">
        <v>46141</v>
      </c>
      <c r="K271" s="4" t="s">
        <v>81</v>
      </c>
      <c r="L271" s="4" t="str">
        <f t="shared" si="12"/>
        <v>AJAY</v>
      </c>
      <c r="M271" s="4" t="str">
        <f t="shared" si="13"/>
        <v>printer</v>
      </c>
      <c r="N271" s="4">
        <f t="shared" si="14"/>
        <v>7</v>
      </c>
    </row>
    <row r="272" spans="1:14" x14ac:dyDescent="0.3">
      <c r="A272" s="9">
        <v>1271</v>
      </c>
      <c r="B272" s="9" t="s">
        <v>39</v>
      </c>
      <c r="C272" s="4" t="s">
        <v>33</v>
      </c>
      <c r="D272" s="4" t="s">
        <v>34</v>
      </c>
      <c r="E272" s="4" t="s">
        <v>9</v>
      </c>
      <c r="F272" s="4">
        <v>20</v>
      </c>
      <c r="G272" s="4">
        <v>36941</v>
      </c>
      <c r="H272" s="4">
        <v>15</v>
      </c>
      <c r="I272" s="7">
        <v>46083</v>
      </c>
      <c r="J272" s="7">
        <v>46085</v>
      </c>
      <c r="K272" s="4" t="s">
        <v>49</v>
      </c>
      <c r="L272" s="4" t="str">
        <f t="shared" si="12"/>
        <v>DEEPAK</v>
      </c>
      <c r="M272" s="4" t="str">
        <f t="shared" si="13"/>
        <v>laptop</v>
      </c>
      <c r="N272" s="4">
        <f t="shared" si="14"/>
        <v>6</v>
      </c>
    </row>
    <row r="273" spans="1:14" x14ac:dyDescent="0.3">
      <c r="A273" s="9">
        <v>1272</v>
      </c>
      <c r="B273" s="9" t="s">
        <v>50</v>
      </c>
      <c r="C273" s="4" t="s">
        <v>38</v>
      </c>
      <c r="D273" s="4" t="s">
        <v>34</v>
      </c>
      <c r="E273" s="4" t="s">
        <v>40</v>
      </c>
      <c r="F273" s="4">
        <v>13</v>
      </c>
      <c r="G273" s="4">
        <v>42179</v>
      </c>
      <c r="H273" s="4">
        <v>0</v>
      </c>
      <c r="I273" s="7">
        <v>46078</v>
      </c>
      <c r="J273" s="7">
        <v>46084</v>
      </c>
      <c r="K273" s="4" t="s">
        <v>79</v>
      </c>
      <c r="L273" s="4" t="str">
        <f t="shared" si="12"/>
        <v>KOMAL</v>
      </c>
      <c r="M273" s="4" t="str">
        <f t="shared" si="13"/>
        <v>headset</v>
      </c>
      <c r="N273" s="4">
        <f t="shared" si="14"/>
        <v>7</v>
      </c>
    </row>
    <row r="274" spans="1:14" x14ac:dyDescent="0.3">
      <c r="A274" s="9">
        <v>1273</v>
      </c>
      <c r="B274" s="9" t="s">
        <v>44</v>
      </c>
      <c r="C274" s="4" t="s">
        <v>27</v>
      </c>
      <c r="D274" s="4" t="s">
        <v>34</v>
      </c>
      <c r="E274" s="4" t="s">
        <v>5</v>
      </c>
      <c r="F274" s="4">
        <v>12</v>
      </c>
      <c r="G274" s="4">
        <v>20618</v>
      </c>
      <c r="H274" s="4">
        <v>12</v>
      </c>
      <c r="I274" s="7">
        <v>46172</v>
      </c>
      <c r="J274" s="7">
        <v>46174</v>
      </c>
      <c r="K274" s="4" t="s">
        <v>79</v>
      </c>
      <c r="L274" s="4" t="str">
        <f t="shared" si="12"/>
        <v>KIRAN</v>
      </c>
      <c r="M274" s="4" t="str">
        <f t="shared" si="13"/>
        <v>keyboard</v>
      </c>
      <c r="N274" s="4">
        <f t="shared" si="14"/>
        <v>8</v>
      </c>
    </row>
    <row r="275" spans="1:14" x14ac:dyDescent="0.3">
      <c r="A275" s="9">
        <v>1274</v>
      </c>
      <c r="B275" s="9" t="s">
        <v>28</v>
      </c>
      <c r="C275" s="4" t="s">
        <v>27</v>
      </c>
      <c r="D275" s="4" t="s">
        <v>34</v>
      </c>
      <c r="E275" s="4" t="s">
        <v>40</v>
      </c>
      <c r="F275" s="4">
        <v>13</v>
      </c>
      <c r="G275" s="4">
        <v>36652</v>
      </c>
      <c r="H275" s="4">
        <v>12</v>
      </c>
      <c r="I275" s="7">
        <v>46179</v>
      </c>
      <c r="J275" s="7">
        <v>46186</v>
      </c>
      <c r="K275" s="4" t="s">
        <v>79</v>
      </c>
      <c r="L275" s="4" t="str">
        <f t="shared" si="12"/>
        <v>VIKRAM</v>
      </c>
      <c r="M275" s="4" t="str">
        <f t="shared" si="13"/>
        <v>headset</v>
      </c>
      <c r="N275" s="4">
        <f t="shared" si="14"/>
        <v>7</v>
      </c>
    </row>
    <row r="276" spans="1:14" x14ac:dyDescent="0.3">
      <c r="A276" s="9">
        <v>1275</v>
      </c>
      <c r="B276" s="9" t="s">
        <v>22</v>
      </c>
      <c r="C276" s="4" t="s">
        <v>31</v>
      </c>
      <c r="D276" s="4" t="s">
        <v>20</v>
      </c>
      <c r="E276" s="4" t="s">
        <v>48</v>
      </c>
      <c r="F276" s="4">
        <v>20</v>
      </c>
      <c r="G276" s="4">
        <v>451</v>
      </c>
      <c r="H276" s="4">
        <v>15</v>
      </c>
      <c r="I276" s="7">
        <v>46092</v>
      </c>
      <c r="J276" s="7">
        <v>46094</v>
      </c>
      <c r="K276" s="4" t="s">
        <v>79</v>
      </c>
      <c r="L276" s="4" t="str">
        <f t="shared" si="12"/>
        <v>POOJA</v>
      </c>
      <c r="M276" s="4" t="str">
        <f t="shared" si="13"/>
        <v>marker</v>
      </c>
      <c r="N276" s="4">
        <f t="shared" si="14"/>
        <v>6</v>
      </c>
    </row>
    <row r="277" spans="1:14" x14ac:dyDescent="0.3">
      <c r="A277" s="9">
        <v>1276</v>
      </c>
      <c r="B277" s="9" t="s">
        <v>39</v>
      </c>
      <c r="C277" s="4" t="s">
        <v>19</v>
      </c>
      <c r="D277" s="4" t="s">
        <v>24</v>
      </c>
      <c r="E277" s="4" t="s">
        <v>7</v>
      </c>
      <c r="F277" s="4">
        <v>1</v>
      </c>
      <c r="G277" s="4">
        <v>13437</v>
      </c>
      <c r="H277" s="4">
        <v>15</v>
      </c>
      <c r="I277" s="7">
        <v>46097</v>
      </c>
      <c r="J277" s="7">
        <v>46099</v>
      </c>
      <c r="K277" s="4" t="s">
        <v>80</v>
      </c>
      <c r="L277" s="4" t="str">
        <f t="shared" si="12"/>
        <v>DEEPAK</v>
      </c>
      <c r="M277" s="4" t="str">
        <f t="shared" si="13"/>
        <v>desk</v>
      </c>
      <c r="N277" s="4">
        <f t="shared" si="14"/>
        <v>4</v>
      </c>
    </row>
    <row r="278" spans="1:14" x14ac:dyDescent="0.3">
      <c r="A278" s="9">
        <v>1277</v>
      </c>
      <c r="B278" s="9" t="s">
        <v>56</v>
      </c>
      <c r="C278" s="4" t="s">
        <v>23</v>
      </c>
      <c r="D278" s="4" t="s">
        <v>20</v>
      </c>
      <c r="E278" s="4" t="s">
        <v>36</v>
      </c>
      <c r="F278" s="4">
        <v>14</v>
      </c>
      <c r="G278" s="4">
        <v>276</v>
      </c>
      <c r="H278" s="4">
        <v>0</v>
      </c>
      <c r="I278" s="7">
        <v>46086</v>
      </c>
      <c r="J278" s="7">
        <v>46089</v>
      </c>
      <c r="K278" s="4" t="s">
        <v>78</v>
      </c>
      <c r="L278" s="4" t="str">
        <f t="shared" si="12"/>
        <v>ANITA</v>
      </c>
      <c r="M278" s="4" t="str">
        <f t="shared" si="13"/>
        <v>stapler</v>
      </c>
      <c r="N278" s="4">
        <f t="shared" si="14"/>
        <v>7</v>
      </c>
    </row>
    <row r="279" spans="1:14" x14ac:dyDescent="0.3">
      <c r="A279" s="9">
        <v>1278</v>
      </c>
      <c r="B279" s="9" t="s">
        <v>45</v>
      </c>
      <c r="C279" s="4" t="s">
        <v>26</v>
      </c>
      <c r="D279" s="4" t="s">
        <v>34</v>
      </c>
      <c r="E279" s="4" t="s">
        <v>12</v>
      </c>
      <c r="F279" s="4">
        <v>4</v>
      </c>
      <c r="G279" s="4">
        <v>20639</v>
      </c>
      <c r="H279" s="4">
        <v>7</v>
      </c>
      <c r="I279" s="7">
        <v>46180</v>
      </c>
      <c r="J279" s="7">
        <v>46186</v>
      </c>
      <c r="K279" s="4" t="s">
        <v>79</v>
      </c>
      <c r="L279" s="4" t="str">
        <f t="shared" si="12"/>
        <v>YASH</v>
      </c>
      <c r="M279" s="4" t="str">
        <f t="shared" si="13"/>
        <v>mouse</v>
      </c>
      <c r="N279" s="4">
        <f t="shared" si="14"/>
        <v>5</v>
      </c>
    </row>
    <row r="280" spans="1:14" x14ac:dyDescent="0.3">
      <c r="A280" s="9">
        <v>1279</v>
      </c>
      <c r="B280" s="9" t="s">
        <v>53</v>
      </c>
      <c r="C280" s="4" t="s">
        <v>33</v>
      </c>
      <c r="D280" s="4" t="s">
        <v>34</v>
      </c>
      <c r="E280" s="4" t="s">
        <v>6</v>
      </c>
      <c r="F280" s="4">
        <v>20</v>
      </c>
      <c r="G280" s="4">
        <v>49042</v>
      </c>
      <c r="H280" s="4">
        <v>2</v>
      </c>
      <c r="I280" s="7">
        <v>46124</v>
      </c>
      <c r="J280" s="7">
        <v>46126</v>
      </c>
      <c r="K280" s="4" t="s">
        <v>78</v>
      </c>
      <c r="L280" s="4" t="str">
        <f t="shared" si="12"/>
        <v>SNEHA</v>
      </c>
      <c r="M280" s="4" t="str">
        <f t="shared" si="13"/>
        <v>monitor</v>
      </c>
      <c r="N280" s="4">
        <f t="shared" si="14"/>
        <v>7</v>
      </c>
    </row>
    <row r="281" spans="1:14" x14ac:dyDescent="0.3">
      <c r="A281" s="9">
        <v>1280</v>
      </c>
      <c r="B281" s="9" t="s">
        <v>56</v>
      </c>
      <c r="C281" s="4" t="s">
        <v>38</v>
      </c>
      <c r="D281" s="4" t="s">
        <v>20</v>
      </c>
      <c r="E281" s="4" t="s">
        <v>51</v>
      </c>
      <c r="F281" s="4">
        <v>9</v>
      </c>
      <c r="G281" s="4">
        <v>50</v>
      </c>
      <c r="H281" s="4">
        <v>7</v>
      </c>
      <c r="I281" s="7">
        <v>46085</v>
      </c>
      <c r="J281" s="7">
        <v>46095</v>
      </c>
      <c r="K281" s="4" t="s">
        <v>81</v>
      </c>
      <c r="L281" s="4" t="str">
        <f t="shared" si="12"/>
        <v>ANITA</v>
      </c>
      <c r="M281" s="4" t="str">
        <f t="shared" si="13"/>
        <v>diary</v>
      </c>
      <c r="N281" s="4">
        <f t="shared" si="14"/>
        <v>5</v>
      </c>
    </row>
    <row r="282" spans="1:14" x14ac:dyDescent="0.3">
      <c r="A282" s="9">
        <v>1281</v>
      </c>
      <c r="B282" s="9" t="s">
        <v>53</v>
      </c>
      <c r="C282" s="4" t="s">
        <v>23</v>
      </c>
      <c r="D282" s="4" t="s">
        <v>20</v>
      </c>
      <c r="E282" s="4" t="s">
        <v>48</v>
      </c>
      <c r="F282" s="4">
        <v>6</v>
      </c>
      <c r="G282" s="4">
        <v>253</v>
      </c>
      <c r="H282" s="4">
        <v>0</v>
      </c>
      <c r="I282" s="7">
        <v>46055</v>
      </c>
      <c r="J282" s="7">
        <v>46063</v>
      </c>
      <c r="K282" s="4" t="s">
        <v>80</v>
      </c>
      <c r="L282" s="4" t="str">
        <f t="shared" si="12"/>
        <v>SNEHA</v>
      </c>
      <c r="M282" s="4" t="str">
        <f t="shared" si="13"/>
        <v>marker</v>
      </c>
      <c r="N282" s="4">
        <f t="shared" si="14"/>
        <v>6</v>
      </c>
    </row>
    <row r="283" spans="1:14" x14ac:dyDescent="0.3">
      <c r="A283" s="9">
        <v>1282</v>
      </c>
      <c r="B283" s="9" t="s">
        <v>54</v>
      </c>
      <c r="C283" s="4" t="s">
        <v>42</v>
      </c>
      <c r="D283" s="4" t="s">
        <v>24</v>
      </c>
      <c r="E283" s="4" t="s">
        <v>43</v>
      </c>
      <c r="F283" s="4">
        <v>12</v>
      </c>
      <c r="G283" s="4">
        <v>3178</v>
      </c>
      <c r="H283" s="4">
        <v>10</v>
      </c>
      <c r="I283" s="7">
        <v>46176</v>
      </c>
      <c r="J283" s="7">
        <v>46177</v>
      </c>
      <c r="K283" s="4" t="s">
        <v>49</v>
      </c>
      <c r="L283" s="4" t="str">
        <f t="shared" si="12"/>
        <v>SARA</v>
      </c>
      <c r="M283" s="4" t="str">
        <f t="shared" si="13"/>
        <v>bookshelf</v>
      </c>
      <c r="N283" s="4">
        <f t="shared" si="14"/>
        <v>9</v>
      </c>
    </row>
    <row r="284" spans="1:14" x14ac:dyDescent="0.3">
      <c r="A284" s="9">
        <v>1283</v>
      </c>
      <c r="B284" s="9" t="s">
        <v>39</v>
      </c>
      <c r="C284" s="4" t="s">
        <v>19</v>
      </c>
      <c r="D284" s="4" t="s">
        <v>24</v>
      </c>
      <c r="E284" s="4" t="s">
        <v>10</v>
      </c>
      <c r="F284" s="4">
        <v>6</v>
      </c>
      <c r="G284" s="4">
        <v>1167</v>
      </c>
      <c r="H284" s="4">
        <v>2</v>
      </c>
      <c r="I284" s="7">
        <v>46100</v>
      </c>
      <c r="J284" s="7">
        <v>46106</v>
      </c>
      <c r="K284" s="4" t="s">
        <v>78</v>
      </c>
      <c r="L284" s="4" t="str">
        <f t="shared" si="12"/>
        <v>DEEPAK</v>
      </c>
      <c r="M284" s="4" t="str">
        <f t="shared" si="13"/>
        <v>table</v>
      </c>
      <c r="N284" s="4">
        <f t="shared" si="14"/>
        <v>5</v>
      </c>
    </row>
    <row r="285" spans="1:14" x14ac:dyDescent="0.3">
      <c r="A285" s="9">
        <v>1284</v>
      </c>
      <c r="B285" s="9" t="s">
        <v>39</v>
      </c>
      <c r="C285" s="4" t="s">
        <v>27</v>
      </c>
      <c r="D285" s="4" t="s">
        <v>20</v>
      </c>
      <c r="E285" s="4" t="s">
        <v>37</v>
      </c>
      <c r="F285" s="4">
        <v>16</v>
      </c>
      <c r="G285" s="4">
        <v>419</v>
      </c>
      <c r="H285" s="4">
        <v>2</v>
      </c>
      <c r="I285" s="7">
        <v>46082</v>
      </c>
      <c r="J285" s="7">
        <v>46090</v>
      </c>
      <c r="K285" s="4" t="s">
        <v>78</v>
      </c>
      <c r="L285" s="4" t="str">
        <f t="shared" si="12"/>
        <v>DEEPAK</v>
      </c>
      <c r="M285" s="4" t="str">
        <f t="shared" si="13"/>
        <v>pen pack</v>
      </c>
      <c r="N285" s="4">
        <f t="shared" si="14"/>
        <v>8</v>
      </c>
    </row>
    <row r="286" spans="1:14" x14ac:dyDescent="0.3">
      <c r="A286" s="9">
        <v>1285</v>
      </c>
      <c r="B286" s="9" t="s">
        <v>32</v>
      </c>
      <c r="C286" s="4" t="s">
        <v>38</v>
      </c>
      <c r="D286" s="4" t="s">
        <v>20</v>
      </c>
      <c r="E286" s="4" t="s">
        <v>36</v>
      </c>
      <c r="F286" s="4">
        <v>7</v>
      </c>
      <c r="G286" s="4">
        <v>439</v>
      </c>
      <c r="H286" s="4">
        <v>15</v>
      </c>
      <c r="I286" s="7">
        <v>46055</v>
      </c>
      <c r="J286" s="7">
        <v>46058</v>
      </c>
      <c r="K286" s="4" t="s">
        <v>79</v>
      </c>
      <c r="L286" s="4" t="str">
        <f t="shared" si="12"/>
        <v>ASHA</v>
      </c>
      <c r="M286" s="4" t="str">
        <f t="shared" si="13"/>
        <v>stapler</v>
      </c>
      <c r="N286" s="4">
        <f t="shared" si="14"/>
        <v>7</v>
      </c>
    </row>
    <row r="287" spans="1:14" x14ac:dyDescent="0.3">
      <c r="A287" s="9">
        <v>1286</v>
      </c>
      <c r="B287" s="9" t="s">
        <v>44</v>
      </c>
      <c r="C287" s="4" t="s">
        <v>23</v>
      </c>
      <c r="D287" s="4" t="s">
        <v>24</v>
      </c>
      <c r="E287" s="4" t="s">
        <v>11</v>
      </c>
      <c r="F287" s="4">
        <v>9</v>
      </c>
      <c r="G287" s="4">
        <v>1340</v>
      </c>
      <c r="H287" s="4">
        <v>2</v>
      </c>
      <c r="I287" s="7">
        <v>46168</v>
      </c>
      <c r="J287" s="7">
        <v>46173</v>
      </c>
      <c r="K287" s="4" t="s">
        <v>78</v>
      </c>
      <c r="L287" s="4" t="str">
        <f t="shared" si="12"/>
        <v>KIRAN</v>
      </c>
      <c r="M287" s="4" t="str">
        <f t="shared" si="13"/>
        <v>cabinet</v>
      </c>
      <c r="N287" s="4">
        <f t="shared" si="14"/>
        <v>7</v>
      </c>
    </row>
    <row r="288" spans="1:14" x14ac:dyDescent="0.3">
      <c r="A288" s="9">
        <v>1287</v>
      </c>
      <c r="B288" s="9" t="s">
        <v>56</v>
      </c>
      <c r="C288" s="4" t="s">
        <v>31</v>
      </c>
      <c r="D288" s="4" t="s">
        <v>20</v>
      </c>
      <c r="E288" s="4" t="s">
        <v>21</v>
      </c>
      <c r="F288" s="4">
        <v>15</v>
      </c>
      <c r="G288" s="4">
        <v>251</v>
      </c>
      <c r="H288" s="4">
        <v>2</v>
      </c>
      <c r="I288" s="7">
        <v>46116</v>
      </c>
      <c r="J288" s="7">
        <v>46122</v>
      </c>
      <c r="K288" s="4" t="s">
        <v>81</v>
      </c>
      <c r="L288" s="4" t="str">
        <f t="shared" si="12"/>
        <v>ANITA</v>
      </c>
      <c r="M288" s="4" t="str">
        <f t="shared" si="13"/>
        <v>notebook</v>
      </c>
      <c r="N288" s="4">
        <f t="shared" si="14"/>
        <v>8</v>
      </c>
    </row>
    <row r="289" spans="1:14" x14ac:dyDescent="0.3">
      <c r="A289" s="9">
        <v>1288</v>
      </c>
      <c r="B289" s="9" t="s">
        <v>52</v>
      </c>
      <c r="C289" s="4" t="s">
        <v>26</v>
      </c>
      <c r="D289" s="4" t="s">
        <v>34</v>
      </c>
      <c r="E289" s="4" t="s">
        <v>9</v>
      </c>
      <c r="F289" s="4">
        <v>14</v>
      </c>
      <c r="G289" s="4">
        <v>35601</v>
      </c>
      <c r="H289" s="4">
        <v>10</v>
      </c>
      <c r="I289" s="7">
        <v>46179</v>
      </c>
      <c r="J289" s="7">
        <v>46187</v>
      </c>
      <c r="K289" s="4" t="s">
        <v>49</v>
      </c>
      <c r="L289" s="4" t="str">
        <f t="shared" si="12"/>
        <v>MANOJ</v>
      </c>
      <c r="M289" s="4" t="str">
        <f t="shared" si="13"/>
        <v>laptop</v>
      </c>
      <c r="N289" s="4">
        <f t="shared" si="14"/>
        <v>6</v>
      </c>
    </row>
    <row r="290" spans="1:14" x14ac:dyDescent="0.3">
      <c r="A290" s="9">
        <v>1289</v>
      </c>
      <c r="B290" s="9" t="s">
        <v>28</v>
      </c>
      <c r="C290" s="4" t="s">
        <v>26</v>
      </c>
      <c r="D290" s="4" t="s">
        <v>34</v>
      </c>
      <c r="E290" s="4" t="s">
        <v>6</v>
      </c>
      <c r="F290" s="4">
        <v>19</v>
      </c>
      <c r="G290" s="4">
        <v>25336</v>
      </c>
      <c r="H290" s="4">
        <v>2</v>
      </c>
      <c r="I290" s="7">
        <v>46122</v>
      </c>
      <c r="J290" s="7">
        <v>46130</v>
      </c>
      <c r="K290" s="4" t="s">
        <v>80</v>
      </c>
      <c r="L290" s="4" t="str">
        <f t="shared" si="12"/>
        <v>VIKRAM</v>
      </c>
      <c r="M290" s="4" t="str">
        <f t="shared" si="13"/>
        <v>monitor</v>
      </c>
      <c r="N290" s="4">
        <f t="shared" si="14"/>
        <v>7</v>
      </c>
    </row>
    <row r="291" spans="1:14" x14ac:dyDescent="0.3">
      <c r="A291" s="9">
        <v>1290</v>
      </c>
      <c r="B291" s="9" t="s">
        <v>28</v>
      </c>
      <c r="C291" s="4" t="s">
        <v>26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7">
        <v>46110</v>
      </c>
      <c r="J291" s="7">
        <v>46111</v>
      </c>
      <c r="K291" s="4" t="s">
        <v>49</v>
      </c>
      <c r="L291" s="4" t="str">
        <f t="shared" si="12"/>
        <v>VIKRAM</v>
      </c>
      <c r="M291" s="4" t="str">
        <f t="shared" si="13"/>
        <v>printer</v>
      </c>
      <c r="N291" s="4">
        <f t="shared" si="14"/>
        <v>7</v>
      </c>
    </row>
    <row r="292" spans="1:14" x14ac:dyDescent="0.3">
      <c r="A292" s="9">
        <v>1291</v>
      </c>
      <c r="B292" s="9" t="s">
        <v>25</v>
      </c>
      <c r="C292" s="4" t="s">
        <v>23</v>
      </c>
      <c r="D292" s="4" t="s">
        <v>20</v>
      </c>
      <c r="E292" s="4" t="s">
        <v>36</v>
      </c>
      <c r="F292" s="4">
        <v>17</v>
      </c>
      <c r="G292" s="4">
        <v>415</v>
      </c>
      <c r="H292" s="4">
        <v>5</v>
      </c>
      <c r="I292" s="7">
        <v>46137</v>
      </c>
      <c r="J292" s="7">
        <v>46141</v>
      </c>
      <c r="K292" s="4" t="s">
        <v>79</v>
      </c>
      <c r="L292" s="4" t="str">
        <f t="shared" si="12"/>
        <v>MEERA</v>
      </c>
      <c r="M292" s="4" t="str">
        <f t="shared" si="13"/>
        <v>stapler</v>
      </c>
      <c r="N292" s="4">
        <f t="shared" si="14"/>
        <v>7</v>
      </c>
    </row>
    <row r="293" spans="1:14" x14ac:dyDescent="0.3">
      <c r="A293" s="9">
        <v>1292</v>
      </c>
      <c r="B293" s="9" t="s">
        <v>52</v>
      </c>
      <c r="C293" s="4" t="s">
        <v>33</v>
      </c>
      <c r="D293" s="4" t="s">
        <v>34</v>
      </c>
      <c r="E293" s="4" t="s">
        <v>12</v>
      </c>
      <c r="F293" s="4">
        <v>11</v>
      </c>
      <c r="G293" s="4">
        <v>25158</v>
      </c>
      <c r="H293" s="4">
        <v>5</v>
      </c>
      <c r="I293" s="7">
        <v>46186</v>
      </c>
      <c r="J293" s="7">
        <v>46193</v>
      </c>
      <c r="K293" s="4" t="s">
        <v>79</v>
      </c>
      <c r="L293" s="4" t="str">
        <f t="shared" si="12"/>
        <v>MANOJ</v>
      </c>
      <c r="M293" s="4" t="str">
        <f t="shared" si="13"/>
        <v>mouse</v>
      </c>
      <c r="N293" s="4">
        <f t="shared" si="14"/>
        <v>5</v>
      </c>
    </row>
    <row r="294" spans="1:14" x14ac:dyDescent="0.3">
      <c r="A294" s="9">
        <v>1293</v>
      </c>
      <c r="B294" s="9" t="s">
        <v>47</v>
      </c>
      <c r="C294" s="4" t="s">
        <v>42</v>
      </c>
      <c r="D294" s="4" t="s">
        <v>24</v>
      </c>
      <c r="E294" s="4" t="s">
        <v>10</v>
      </c>
      <c r="F294" s="4">
        <v>7</v>
      </c>
      <c r="G294" s="4">
        <v>11481</v>
      </c>
      <c r="H294" s="4">
        <v>15</v>
      </c>
      <c r="I294" s="7">
        <v>46045</v>
      </c>
      <c r="J294" s="7">
        <v>46050</v>
      </c>
      <c r="K294" s="4" t="s">
        <v>79</v>
      </c>
      <c r="L294" s="4" t="str">
        <f t="shared" ref="L294:L357" si="15">UPPER(B294)</f>
        <v>AJAY</v>
      </c>
      <c r="M294" s="4" t="str">
        <f t="shared" ref="M294:M357" si="16">LOWER(E294)</f>
        <v>table</v>
      </c>
      <c r="N294" s="4">
        <f t="shared" ref="N294:N357" si="17">LEN(E294)</f>
        <v>5</v>
      </c>
    </row>
    <row r="295" spans="1:14" x14ac:dyDescent="0.3">
      <c r="A295" s="9">
        <v>1294</v>
      </c>
      <c r="B295" s="9" t="s">
        <v>25</v>
      </c>
      <c r="C295" s="4" t="s">
        <v>19</v>
      </c>
      <c r="D295" s="4" t="s">
        <v>24</v>
      </c>
      <c r="E295" s="4" t="s">
        <v>7</v>
      </c>
      <c r="F295" s="4">
        <v>8</v>
      </c>
      <c r="G295" s="4">
        <v>14448</v>
      </c>
      <c r="H295" s="4">
        <v>10</v>
      </c>
      <c r="I295" s="7">
        <v>46181</v>
      </c>
      <c r="J295" s="7">
        <v>46189</v>
      </c>
      <c r="K295" s="4" t="s">
        <v>78</v>
      </c>
      <c r="L295" s="4" t="str">
        <f t="shared" si="15"/>
        <v>MEERA</v>
      </c>
      <c r="M295" s="4" t="str">
        <f t="shared" si="16"/>
        <v>desk</v>
      </c>
      <c r="N295" s="4">
        <f t="shared" si="17"/>
        <v>4</v>
      </c>
    </row>
    <row r="296" spans="1:14" x14ac:dyDescent="0.3">
      <c r="A296" s="9">
        <v>1295</v>
      </c>
      <c r="B296" s="9" t="s">
        <v>50</v>
      </c>
      <c r="C296" s="4" t="s">
        <v>38</v>
      </c>
      <c r="D296" s="4" t="s">
        <v>24</v>
      </c>
      <c r="E296" s="4" t="s">
        <v>8</v>
      </c>
      <c r="F296" s="4">
        <v>16</v>
      </c>
      <c r="G296" s="4">
        <v>11935</v>
      </c>
      <c r="H296" s="4">
        <v>12</v>
      </c>
      <c r="I296" s="7">
        <v>46157</v>
      </c>
      <c r="J296" s="7">
        <v>46162</v>
      </c>
      <c r="K296" s="4" t="s">
        <v>78</v>
      </c>
      <c r="L296" s="4" t="str">
        <f t="shared" si="15"/>
        <v>KOMAL</v>
      </c>
      <c r="M296" s="4" t="str">
        <f t="shared" si="16"/>
        <v>chair</v>
      </c>
      <c r="N296" s="4">
        <f t="shared" si="17"/>
        <v>5</v>
      </c>
    </row>
    <row r="297" spans="1:14" x14ac:dyDescent="0.3">
      <c r="A297" s="9">
        <v>1296</v>
      </c>
      <c r="B297" s="9" t="s">
        <v>28</v>
      </c>
      <c r="C297" s="4" t="s">
        <v>38</v>
      </c>
      <c r="D297" s="4" t="s">
        <v>20</v>
      </c>
      <c r="E297" s="4" t="s">
        <v>48</v>
      </c>
      <c r="F297" s="4">
        <v>6</v>
      </c>
      <c r="G297" s="4">
        <v>201</v>
      </c>
      <c r="H297" s="4">
        <v>0</v>
      </c>
      <c r="I297" s="7">
        <v>46063</v>
      </c>
      <c r="J297" s="7">
        <v>46072</v>
      </c>
      <c r="K297" s="4" t="s">
        <v>81</v>
      </c>
      <c r="L297" s="4" t="str">
        <f t="shared" si="15"/>
        <v>VIKRAM</v>
      </c>
      <c r="M297" s="4" t="str">
        <f t="shared" si="16"/>
        <v>marker</v>
      </c>
      <c r="N297" s="4">
        <f t="shared" si="17"/>
        <v>6</v>
      </c>
    </row>
    <row r="298" spans="1:14" x14ac:dyDescent="0.3">
      <c r="A298" s="9">
        <v>1297</v>
      </c>
      <c r="B298" s="9" t="s">
        <v>52</v>
      </c>
      <c r="C298" s="4" t="s">
        <v>27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7">
        <v>46178</v>
      </c>
      <c r="J298" s="7">
        <v>46187</v>
      </c>
      <c r="K298" s="4" t="s">
        <v>49</v>
      </c>
      <c r="L298" s="4" t="str">
        <f t="shared" si="15"/>
        <v>MANOJ</v>
      </c>
      <c r="M298" s="4" t="str">
        <f t="shared" si="16"/>
        <v>printer</v>
      </c>
      <c r="N298" s="4">
        <f t="shared" si="17"/>
        <v>7</v>
      </c>
    </row>
    <row r="299" spans="1:14" x14ac:dyDescent="0.3">
      <c r="A299" s="9">
        <v>1298</v>
      </c>
      <c r="B299" s="9" t="s">
        <v>25</v>
      </c>
      <c r="C299" s="4" t="s">
        <v>19</v>
      </c>
      <c r="D299" s="4" t="s">
        <v>34</v>
      </c>
      <c r="E299" s="4" t="s">
        <v>12</v>
      </c>
      <c r="F299" s="4">
        <v>19</v>
      </c>
      <c r="G299" s="4">
        <v>20745</v>
      </c>
      <c r="H299" s="4">
        <v>2</v>
      </c>
      <c r="I299" s="7">
        <v>46083</v>
      </c>
      <c r="J299" s="7">
        <v>46093</v>
      </c>
      <c r="K299" s="4" t="s">
        <v>80</v>
      </c>
      <c r="L299" s="4" t="str">
        <f t="shared" si="15"/>
        <v>MEERA</v>
      </c>
      <c r="M299" s="4" t="str">
        <f t="shared" si="16"/>
        <v>mouse</v>
      </c>
      <c r="N299" s="4">
        <f t="shared" si="17"/>
        <v>5</v>
      </c>
    </row>
    <row r="300" spans="1:14" x14ac:dyDescent="0.3">
      <c r="A300" s="9">
        <v>1299</v>
      </c>
      <c r="B300" s="9" t="s">
        <v>28</v>
      </c>
      <c r="C300" s="4" t="s">
        <v>23</v>
      </c>
      <c r="D300" s="4" t="s">
        <v>24</v>
      </c>
      <c r="E300" s="4" t="s">
        <v>11</v>
      </c>
      <c r="F300" s="4">
        <v>8</v>
      </c>
      <c r="G300" s="4">
        <v>8783</v>
      </c>
      <c r="H300" s="4">
        <v>2</v>
      </c>
      <c r="I300" s="7">
        <v>46123</v>
      </c>
      <c r="J300" s="7">
        <v>46132</v>
      </c>
      <c r="K300" s="4" t="s">
        <v>78</v>
      </c>
      <c r="L300" s="4" t="str">
        <f t="shared" si="15"/>
        <v>VIKRAM</v>
      </c>
      <c r="M300" s="4" t="str">
        <f t="shared" si="16"/>
        <v>cabinet</v>
      </c>
      <c r="N300" s="4">
        <f t="shared" si="17"/>
        <v>7</v>
      </c>
    </row>
    <row r="301" spans="1:14" x14ac:dyDescent="0.3">
      <c r="A301" s="9">
        <v>1300</v>
      </c>
      <c r="B301" s="9" t="s">
        <v>45</v>
      </c>
      <c r="C301" s="4" t="s">
        <v>33</v>
      </c>
      <c r="D301" s="4" t="s">
        <v>34</v>
      </c>
      <c r="E301" s="4" t="s">
        <v>6</v>
      </c>
      <c r="F301" s="4">
        <v>20</v>
      </c>
      <c r="G301" s="4">
        <v>1392</v>
      </c>
      <c r="H301" s="4">
        <v>2</v>
      </c>
      <c r="I301" s="7">
        <v>46110</v>
      </c>
      <c r="J301" s="7">
        <v>46117</v>
      </c>
      <c r="K301" s="4" t="s">
        <v>80</v>
      </c>
      <c r="L301" s="4" t="str">
        <f t="shared" si="15"/>
        <v>YASH</v>
      </c>
      <c r="M301" s="4" t="str">
        <f t="shared" si="16"/>
        <v>monitor</v>
      </c>
      <c r="N301" s="4">
        <f t="shared" si="17"/>
        <v>7</v>
      </c>
    </row>
    <row r="302" spans="1:14" x14ac:dyDescent="0.3">
      <c r="A302" s="9">
        <v>1301</v>
      </c>
      <c r="B302" s="9" t="s">
        <v>52</v>
      </c>
      <c r="C302" s="4" t="s">
        <v>23</v>
      </c>
      <c r="D302" s="4" t="s">
        <v>24</v>
      </c>
      <c r="E302" s="4" t="s">
        <v>8</v>
      </c>
      <c r="F302" s="4">
        <v>3</v>
      </c>
      <c r="G302" s="4">
        <v>7020</v>
      </c>
      <c r="H302" s="4">
        <v>10</v>
      </c>
      <c r="I302" s="7">
        <v>46028</v>
      </c>
      <c r="J302" s="7">
        <v>46038</v>
      </c>
      <c r="K302" s="4" t="s">
        <v>80</v>
      </c>
      <c r="L302" s="4" t="str">
        <f t="shared" si="15"/>
        <v>MANOJ</v>
      </c>
      <c r="M302" s="4" t="str">
        <f t="shared" si="16"/>
        <v>chair</v>
      </c>
      <c r="N302" s="4">
        <f t="shared" si="17"/>
        <v>5</v>
      </c>
    </row>
    <row r="303" spans="1:14" x14ac:dyDescent="0.3">
      <c r="A303" s="9">
        <v>1302</v>
      </c>
      <c r="B303" s="9" t="s">
        <v>54</v>
      </c>
      <c r="C303" s="4" t="s">
        <v>19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7">
        <v>46163</v>
      </c>
      <c r="J303" s="7">
        <v>46172</v>
      </c>
      <c r="K303" s="4" t="s">
        <v>80</v>
      </c>
      <c r="L303" s="4" t="str">
        <f t="shared" si="15"/>
        <v>SARA</v>
      </c>
      <c r="M303" s="4" t="str">
        <f t="shared" si="16"/>
        <v>printer</v>
      </c>
      <c r="N303" s="4">
        <f t="shared" si="17"/>
        <v>7</v>
      </c>
    </row>
    <row r="304" spans="1:14" x14ac:dyDescent="0.3">
      <c r="A304" s="9">
        <v>1303</v>
      </c>
      <c r="B304" s="9" t="s">
        <v>54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7">
        <v>46124</v>
      </c>
      <c r="J304" s="7">
        <v>46127</v>
      </c>
      <c r="K304" s="4" t="s">
        <v>78</v>
      </c>
      <c r="L304" s="4" t="str">
        <f t="shared" si="15"/>
        <v>SARA</v>
      </c>
      <c r="M304" s="4" t="str">
        <f t="shared" si="16"/>
        <v>printer</v>
      </c>
      <c r="N304" s="4">
        <f t="shared" si="17"/>
        <v>7</v>
      </c>
    </row>
    <row r="305" spans="1:14" x14ac:dyDescent="0.3">
      <c r="A305" s="9">
        <v>1304</v>
      </c>
      <c r="B305" s="9" t="s">
        <v>56</v>
      </c>
      <c r="C305" s="4" t="s">
        <v>27</v>
      </c>
      <c r="D305" s="4" t="s">
        <v>20</v>
      </c>
      <c r="E305" s="4" t="s">
        <v>36</v>
      </c>
      <c r="F305" s="4">
        <v>20</v>
      </c>
      <c r="G305" s="4">
        <v>368</v>
      </c>
      <c r="H305" s="4">
        <v>7</v>
      </c>
      <c r="I305" s="7">
        <v>46042</v>
      </c>
      <c r="J305" s="7">
        <v>46051</v>
      </c>
      <c r="K305" s="4" t="s">
        <v>81</v>
      </c>
      <c r="L305" s="4" t="str">
        <f t="shared" si="15"/>
        <v>ANITA</v>
      </c>
      <c r="M305" s="4" t="str">
        <f t="shared" si="16"/>
        <v>stapler</v>
      </c>
      <c r="N305" s="4">
        <f t="shared" si="17"/>
        <v>7</v>
      </c>
    </row>
    <row r="306" spans="1:14" x14ac:dyDescent="0.3">
      <c r="A306" s="9">
        <v>1305</v>
      </c>
      <c r="B306" s="9" t="s">
        <v>55</v>
      </c>
      <c r="C306" s="4" t="s">
        <v>31</v>
      </c>
      <c r="D306" s="4" t="s">
        <v>34</v>
      </c>
      <c r="E306" s="4" t="s">
        <v>9</v>
      </c>
      <c r="F306" s="4">
        <v>20</v>
      </c>
      <c r="G306" s="4">
        <v>31406</v>
      </c>
      <c r="H306" s="4">
        <v>15</v>
      </c>
      <c r="I306" s="7">
        <v>46146</v>
      </c>
      <c r="J306" s="7">
        <v>46154</v>
      </c>
      <c r="K306" s="4" t="s">
        <v>81</v>
      </c>
      <c r="L306" s="4" t="str">
        <f t="shared" si="15"/>
        <v>ROHAN</v>
      </c>
      <c r="M306" s="4" t="str">
        <f t="shared" si="16"/>
        <v>laptop</v>
      </c>
      <c r="N306" s="4">
        <f t="shared" si="17"/>
        <v>6</v>
      </c>
    </row>
    <row r="307" spans="1:14" x14ac:dyDescent="0.3">
      <c r="A307" s="9">
        <v>1306</v>
      </c>
      <c r="B307" s="9" t="s">
        <v>52</v>
      </c>
      <c r="C307" s="4" t="s">
        <v>42</v>
      </c>
      <c r="D307" s="4" t="s">
        <v>20</v>
      </c>
      <c r="E307" s="4" t="s">
        <v>36</v>
      </c>
      <c r="F307" s="4">
        <v>1</v>
      </c>
      <c r="G307" s="4">
        <v>332</v>
      </c>
      <c r="H307" s="4">
        <v>0</v>
      </c>
      <c r="I307" s="7">
        <v>46191</v>
      </c>
      <c r="J307" s="7">
        <v>46194</v>
      </c>
      <c r="K307" s="4" t="s">
        <v>79</v>
      </c>
      <c r="L307" s="4" t="str">
        <f t="shared" si="15"/>
        <v>MANOJ</v>
      </c>
      <c r="M307" s="4" t="str">
        <f t="shared" si="16"/>
        <v>stapler</v>
      </c>
      <c r="N307" s="4">
        <f t="shared" si="17"/>
        <v>7</v>
      </c>
    </row>
    <row r="308" spans="1:14" x14ac:dyDescent="0.3">
      <c r="A308" s="9">
        <v>1307</v>
      </c>
      <c r="B308" s="9" t="s">
        <v>54</v>
      </c>
      <c r="C308" s="4" t="s">
        <v>42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7">
        <v>46048</v>
      </c>
      <c r="J308" s="7">
        <v>46051</v>
      </c>
      <c r="K308" s="4" t="s">
        <v>81</v>
      </c>
      <c r="L308" s="4" t="str">
        <f t="shared" si="15"/>
        <v>SARA</v>
      </c>
      <c r="M308" s="4" t="str">
        <f t="shared" si="16"/>
        <v>printer</v>
      </c>
      <c r="N308" s="4">
        <f t="shared" si="17"/>
        <v>7</v>
      </c>
    </row>
    <row r="309" spans="1:14" x14ac:dyDescent="0.3">
      <c r="A309" s="9">
        <v>1308</v>
      </c>
      <c r="B309" s="9" t="s">
        <v>30</v>
      </c>
      <c r="C309" s="4" t="s">
        <v>26</v>
      </c>
      <c r="D309" s="4" t="s">
        <v>34</v>
      </c>
      <c r="E309" s="4" t="s">
        <v>40</v>
      </c>
      <c r="F309" s="4">
        <v>12</v>
      </c>
      <c r="G309" s="4">
        <v>66075</v>
      </c>
      <c r="H309" s="4">
        <v>5</v>
      </c>
      <c r="I309" s="7">
        <v>46129</v>
      </c>
      <c r="J309" s="7">
        <v>46135</v>
      </c>
      <c r="K309" s="4" t="s">
        <v>79</v>
      </c>
      <c r="L309" s="4" t="str">
        <f t="shared" si="15"/>
        <v>NEHA</v>
      </c>
      <c r="M309" s="4" t="str">
        <f t="shared" si="16"/>
        <v>headset</v>
      </c>
      <c r="N309" s="4">
        <f t="shared" si="17"/>
        <v>7</v>
      </c>
    </row>
    <row r="310" spans="1:14" x14ac:dyDescent="0.3">
      <c r="A310" s="9">
        <v>1309</v>
      </c>
      <c r="B310" s="9" t="s">
        <v>49</v>
      </c>
      <c r="C310" s="4" t="s">
        <v>31</v>
      </c>
      <c r="D310" s="4" t="s">
        <v>20</v>
      </c>
      <c r="E310" s="4" t="s">
        <v>48</v>
      </c>
      <c r="F310" s="4">
        <v>2</v>
      </c>
      <c r="G310" s="4">
        <v>35</v>
      </c>
      <c r="H310" s="4">
        <v>5</v>
      </c>
      <c r="I310" s="7">
        <v>46197</v>
      </c>
      <c r="J310" s="7">
        <v>46198</v>
      </c>
      <c r="K310" s="4" t="s">
        <v>80</v>
      </c>
      <c r="L310" s="4" t="str">
        <f t="shared" si="15"/>
        <v>PRIYA</v>
      </c>
      <c r="M310" s="4" t="str">
        <f t="shared" si="16"/>
        <v>marker</v>
      </c>
      <c r="N310" s="4">
        <f t="shared" si="17"/>
        <v>6</v>
      </c>
    </row>
    <row r="311" spans="1:14" x14ac:dyDescent="0.3">
      <c r="A311" s="9">
        <v>1310</v>
      </c>
      <c r="B311" s="9" t="s">
        <v>47</v>
      </c>
      <c r="C311" s="4" t="s">
        <v>23</v>
      </c>
      <c r="D311" s="4" t="s">
        <v>24</v>
      </c>
      <c r="E311" s="4" t="s">
        <v>11</v>
      </c>
      <c r="F311" s="4">
        <v>19</v>
      </c>
      <c r="G311" s="4">
        <v>12691</v>
      </c>
      <c r="H311" s="4">
        <v>0</v>
      </c>
      <c r="I311" s="7">
        <v>46181</v>
      </c>
      <c r="J311" s="7">
        <v>46189</v>
      </c>
      <c r="K311" s="4" t="s">
        <v>49</v>
      </c>
      <c r="L311" s="4" t="str">
        <f t="shared" si="15"/>
        <v>AJAY</v>
      </c>
      <c r="M311" s="4" t="str">
        <f t="shared" si="16"/>
        <v>cabinet</v>
      </c>
      <c r="N311" s="4">
        <f t="shared" si="17"/>
        <v>7</v>
      </c>
    </row>
    <row r="312" spans="1:14" x14ac:dyDescent="0.3">
      <c r="A312" s="9">
        <v>1311</v>
      </c>
      <c r="B312" s="9" t="s">
        <v>53</v>
      </c>
      <c r="C312" s="4" t="s">
        <v>19</v>
      </c>
      <c r="D312" s="4" t="s">
        <v>20</v>
      </c>
      <c r="E312" s="4" t="s">
        <v>21</v>
      </c>
      <c r="F312" s="4">
        <v>2</v>
      </c>
      <c r="G312" s="4">
        <v>209</v>
      </c>
      <c r="H312" s="4">
        <v>0</v>
      </c>
      <c r="I312" s="7">
        <v>46173</v>
      </c>
      <c r="J312" s="7">
        <v>46176</v>
      </c>
      <c r="K312" s="4" t="s">
        <v>79</v>
      </c>
      <c r="L312" s="4" t="str">
        <f t="shared" si="15"/>
        <v>SNEHA</v>
      </c>
      <c r="M312" s="4" t="str">
        <f t="shared" si="16"/>
        <v>notebook</v>
      </c>
      <c r="N312" s="4">
        <f t="shared" si="17"/>
        <v>8</v>
      </c>
    </row>
    <row r="313" spans="1:14" x14ac:dyDescent="0.3">
      <c r="A313" s="9">
        <v>1312</v>
      </c>
      <c r="B313" s="9" t="s">
        <v>54</v>
      </c>
      <c r="C313" s="4" t="s">
        <v>26</v>
      </c>
      <c r="D313" s="4" t="s">
        <v>24</v>
      </c>
      <c r="E313" s="4" t="s">
        <v>11</v>
      </c>
      <c r="F313" s="4">
        <v>20</v>
      </c>
      <c r="G313" s="4">
        <v>3274</v>
      </c>
      <c r="H313" s="4">
        <v>2</v>
      </c>
      <c r="I313" s="7">
        <v>46148</v>
      </c>
      <c r="J313" s="7">
        <v>46156</v>
      </c>
      <c r="K313" s="4" t="s">
        <v>80</v>
      </c>
      <c r="L313" s="4" t="str">
        <f t="shared" si="15"/>
        <v>SARA</v>
      </c>
      <c r="M313" s="4" t="str">
        <f t="shared" si="16"/>
        <v>cabinet</v>
      </c>
      <c r="N313" s="4">
        <f t="shared" si="17"/>
        <v>7</v>
      </c>
    </row>
    <row r="314" spans="1:14" x14ac:dyDescent="0.3">
      <c r="A314" s="9">
        <v>1313</v>
      </c>
      <c r="B314" s="9" t="s">
        <v>56</v>
      </c>
      <c r="C314" s="4" t="s">
        <v>26</v>
      </c>
      <c r="D314" s="4" t="s">
        <v>24</v>
      </c>
      <c r="E314" s="4" t="s">
        <v>11</v>
      </c>
      <c r="F314" s="4">
        <v>6</v>
      </c>
      <c r="G314" s="4">
        <v>10864</v>
      </c>
      <c r="H314" s="4">
        <v>10</v>
      </c>
      <c r="I314" s="7">
        <v>46041</v>
      </c>
      <c r="J314" s="7">
        <v>46049</v>
      </c>
      <c r="K314" s="4" t="s">
        <v>78</v>
      </c>
      <c r="L314" s="4" t="str">
        <f t="shared" si="15"/>
        <v>ANITA</v>
      </c>
      <c r="M314" s="4" t="str">
        <f t="shared" si="16"/>
        <v>cabinet</v>
      </c>
      <c r="N314" s="4">
        <f t="shared" si="17"/>
        <v>7</v>
      </c>
    </row>
    <row r="315" spans="1:14" x14ac:dyDescent="0.3">
      <c r="A315" s="9">
        <v>1314</v>
      </c>
      <c r="B315" s="9" t="s">
        <v>50</v>
      </c>
      <c r="C315" s="4" t="s">
        <v>33</v>
      </c>
      <c r="D315" s="4" t="s">
        <v>24</v>
      </c>
      <c r="E315" s="4" t="s">
        <v>7</v>
      </c>
      <c r="F315" s="4">
        <v>10</v>
      </c>
      <c r="G315" s="4">
        <v>6328</v>
      </c>
      <c r="H315" s="4">
        <v>2</v>
      </c>
      <c r="I315" s="7">
        <v>46196</v>
      </c>
      <c r="J315" s="7">
        <v>46197</v>
      </c>
      <c r="K315" s="4" t="s">
        <v>49</v>
      </c>
      <c r="L315" s="4" t="str">
        <f t="shared" si="15"/>
        <v>KOMAL</v>
      </c>
      <c r="M315" s="4" t="str">
        <f t="shared" si="16"/>
        <v>desk</v>
      </c>
      <c r="N315" s="4">
        <f t="shared" si="17"/>
        <v>4</v>
      </c>
    </row>
    <row r="316" spans="1:14" x14ac:dyDescent="0.3">
      <c r="A316" s="9">
        <v>1315</v>
      </c>
      <c r="B316" s="9" t="s">
        <v>47</v>
      </c>
      <c r="C316" s="4" t="s">
        <v>31</v>
      </c>
      <c r="D316" s="4" t="s">
        <v>34</v>
      </c>
      <c r="E316" s="4" t="s">
        <v>40</v>
      </c>
      <c r="F316" s="4">
        <v>14</v>
      </c>
      <c r="G316" s="4">
        <v>57670</v>
      </c>
      <c r="H316" s="4">
        <v>2</v>
      </c>
      <c r="I316" s="7">
        <v>46186</v>
      </c>
      <c r="J316" s="7">
        <v>46196</v>
      </c>
      <c r="K316" s="4" t="s">
        <v>78</v>
      </c>
      <c r="L316" s="4" t="str">
        <f t="shared" si="15"/>
        <v>AJAY</v>
      </c>
      <c r="M316" s="4" t="str">
        <f t="shared" si="16"/>
        <v>headset</v>
      </c>
      <c r="N316" s="4">
        <f t="shared" si="17"/>
        <v>7</v>
      </c>
    </row>
    <row r="317" spans="1:14" x14ac:dyDescent="0.3">
      <c r="A317" s="9">
        <v>1316</v>
      </c>
      <c r="B317" s="9" t="s">
        <v>44</v>
      </c>
      <c r="C317" s="4" t="s">
        <v>19</v>
      </c>
      <c r="D317" s="4" t="s">
        <v>24</v>
      </c>
      <c r="E317" s="4" t="s">
        <v>8</v>
      </c>
      <c r="F317" s="4">
        <v>7</v>
      </c>
      <c r="G317" s="4">
        <v>9838</v>
      </c>
      <c r="H317" s="4">
        <v>7</v>
      </c>
      <c r="I317" s="7">
        <v>46078</v>
      </c>
      <c r="J317" s="7">
        <v>46085</v>
      </c>
      <c r="K317" s="4" t="s">
        <v>79</v>
      </c>
      <c r="L317" s="4" t="str">
        <f t="shared" si="15"/>
        <v>KIRAN</v>
      </c>
      <c r="M317" s="4" t="str">
        <f t="shared" si="16"/>
        <v>chair</v>
      </c>
      <c r="N317" s="4">
        <f t="shared" si="17"/>
        <v>5</v>
      </c>
    </row>
    <row r="318" spans="1:14" x14ac:dyDescent="0.3">
      <c r="A318" s="9">
        <v>1317</v>
      </c>
      <c r="B318" s="9" t="s">
        <v>56</v>
      </c>
      <c r="C318" s="4" t="s">
        <v>33</v>
      </c>
      <c r="D318" s="4" t="s">
        <v>34</v>
      </c>
      <c r="E318" s="4" t="s">
        <v>40</v>
      </c>
      <c r="F318" s="4">
        <v>7</v>
      </c>
      <c r="G318" s="4">
        <v>67339</v>
      </c>
      <c r="H318" s="4">
        <v>5</v>
      </c>
      <c r="I318" s="7">
        <v>46159</v>
      </c>
      <c r="J318" s="7">
        <v>46169</v>
      </c>
      <c r="K318" s="4" t="s">
        <v>81</v>
      </c>
      <c r="L318" s="4" t="str">
        <f t="shared" si="15"/>
        <v>ANITA</v>
      </c>
      <c r="M318" s="4" t="str">
        <f t="shared" si="16"/>
        <v>headset</v>
      </c>
      <c r="N318" s="4">
        <f t="shared" si="17"/>
        <v>7</v>
      </c>
    </row>
    <row r="319" spans="1:14" x14ac:dyDescent="0.3">
      <c r="A319" s="9">
        <v>1318</v>
      </c>
      <c r="B319" s="9" t="s">
        <v>18</v>
      </c>
      <c r="C319" s="4" t="s">
        <v>42</v>
      </c>
      <c r="D319" s="4" t="s">
        <v>20</v>
      </c>
      <c r="E319" s="4" t="s">
        <v>48</v>
      </c>
      <c r="F319" s="4">
        <v>4</v>
      </c>
      <c r="G319" s="4">
        <v>38</v>
      </c>
      <c r="H319" s="4">
        <v>12</v>
      </c>
      <c r="I319" s="7">
        <v>46169</v>
      </c>
      <c r="J319" s="7">
        <v>46175</v>
      </c>
      <c r="K319" s="4" t="s">
        <v>49</v>
      </c>
      <c r="L319" s="4" t="str">
        <f t="shared" si="15"/>
        <v>RITESH</v>
      </c>
      <c r="M319" s="4" t="str">
        <f t="shared" si="16"/>
        <v>marker</v>
      </c>
      <c r="N319" s="4">
        <f t="shared" si="17"/>
        <v>6</v>
      </c>
    </row>
    <row r="320" spans="1:14" x14ac:dyDescent="0.3">
      <c r="A320" s="9">
        <v>1319</v>
      </c>
      <c r="B320" s="9" t="s">
        <v>25</v>
      </c>
      <c r="C320" s="4" t="s">
        <v>23</v>
      </c>
      <c r="D320" s="4" t="s">
        <v>34</v>
      </c>
      <c r="E320" s="4" t="s">
        <v>12</v>
      </c>
      <c r="F320" s="4">
        <v>17</v>
      </c>
      <c r="G320" s="4">
        <v>58407</v>
      </c>
      <c r="H320" s="4">
        <v>7</v>
      </c>
      <c r="I320" s="7">
        <v>46094</v>
      </c>
      <c r="J320" s="7">
        <v>46102</v>
      </c>
      <c r="K320" s="4" t="s">
        <v>78</v>
      </c>
      <c r="L320" s="4" t="str">
        <f t="shared" si="15"/>
        <v>MEERA</v>
      </c>
      <c r="M320" s="4" t="str">
        <f t="shared" si="16"/>
        <v>mouse</v>
      </c>
      <c r="N320" s="4">
        <f t="shared" si="17"/>
        <v>5</v>
      </c>
    </row>
    <row r="321" spans="1:14" x14ac:dyDescent="0.3">
      <c r="A321" s="9">
        <v>1320</v>
      </c>
      <c r="B321" s="9" t="s">
        <v>45</v>
      </c>
      <c r="C321" s="4" t="s">
        <v>38</v>
      </c>
      <c r="D321" s="4" t="s">
        <v>20</v>
      </c>
      <c r="E321" s="4" t="s">
        <v>36</v>
      </c>
      <c r="F321" s="4">
        <v>20</v>
      </c>
      <c r="G321" s="4">
        <v>55</v>
      </c>
      <c r="H321" s="4">
        <v>7</v>
      </c>
      <c r="I321" s="7">
        <v>46183</v>
      </c>
      <c r="J321" s="7">
        <v>46186</v>
      </c>
      <c r="K321" s="4" t="s">
        <v>79</v>
      </c>
      <c r="L321" s="4" t="str">
        <f t="shared" si="15"/>
        <v>YASH</v>
      </c>
      <c r="M321" s="4" t="str">
        <f t="shared" si="16"/>
        <v>stapler</v>
      </c>
      <c r="N321" s="4">
        <f t="shared" si="17"/>
        <v>7</v>
      </c>
    </row>
    <row r="322" spans="1:14" x14ac:dyDescent="0.3">
      <c r="A322" s="9">
        <v>1321</v>
      </c>
      <c r="B322" s="9" t="s">
        <v>32</v>
      </c>
      <c r="C322" s="4" t="s">
        <v>26</v>
      </c>
      <c r="D322" s="4" t="s">
        <v>24</v>
      </c>
      <c r="E322" s="4" t="s">
        <v>7</v>
      </c>
      <c r="F322" s="4">
        <v>8</v>
      </c>
      <c r="G322" s="4">
        <v>5619</v>
      </c>
      <c r="H322" s="4">
        <v>7</v>
      </c>
      <c r="I322" s="7">
        <v>46107</v>
      </c>
      <c r="J322" s="7">
        <v>46109</v>
      </c>
      <c r="K322" s="4" t="s">
        <v>81</v>
      </c>
      <c r="L322" s="4" t="str">
        <f t="shared" si="15"/>
        <v>ASHA</v>
      </c>
      <c r="M322" s="4" t="str">
        <f t="shared" si="16"/>
        <v>desk</v>
      </c>
      <c r="N322" s="4">
        <f t="shared" si="17"/>
        <v>4</v>
      </c>
    </row>
    <row r="323" spans="1:14" x14ac:dyDescent="0.3">
      <c r="A323" s="9">
        <v>1322</v>
      </c>
      <c r="B323" s="9" t="s">
        <v>29</v>
      </c>
      <c r="C323" s="4" t="s">
        <v>19</v>
      </c>
      <c r="D323" s="4" t="s">
        <v>24</v>
      </c>
      <c r="E323" s="4" t="s">
        <v>10</v>
      </c>
      <c r="F323" s="4">
        <v>14</v>
      </c>
      <c r="G323" s="4">
        <v>9081</v>
      </c>
      <c r="H323" s="4">
        <v>15</v>
      </c>
      <c r="I323" s="7">
        <v>46141</v>
      </c>
      <c r="J323" s="7">
        <v>46146</v>
      </c>
      <c r="K323" s="4" t="s">
        <v>78</v>
      </c>
      <c r="L323" s="4" t="str">
        <f t="shared" si="15"/>
        <v>ARJUN</v>
      </c>
      <c r="M323" s="4" t="str">
        <f t="shared" si="16"/>
        <v>table</v>
      </c>
      <c r="N323" s="4">
        <f t="shared" si="17"/>
        <v>5</v>
      </c>
    </row>
    <row r="324" spans="1:14" x14ac:dyDescent="0.3">
      <c r="A324" s="9">
        <v>1323</v>
      </c>
      <c r="B324" s="9" t="s">
        <v>54</v>
      </c>
      <c r="C324" s="4" t="s">
        <v>38</v>
      </c>
      <c r="D324" s="4" t="s">
        <v>34</v>
      </c>
      <c r="E324" s="4" t="s">
        <v>12</v>
      </c>
      <c r="F324" s="4">
        <v>2</v>
      </c>
      <c r="G324" s="4">
        <v>32074</v>
      </c>
      <c r="H324" s="4">
        <v>10</v>
      </c>
      <c r="I324" s="7">
        <v>46073</v>
      </c>
      <c r="J324" s="7">
        <v>46078</v>
      </c>
      <c r="K324" s="4" t="s">
        <v>78</v>
      </c>
      <c r="L324" s="4" t="str">
        <f t="shared" si="15"/>
        <v>SARA</v>
      </c>
      <c r="M324" s="4" t="str">
        <f t="shared" si="16"/>
        <v>mouse</v>
      </c>
      <c r="N324" s="4">
        <f t="shared" si="17"/>
        <v>5</v>
      </c>
    </row>
    <row r="325" spans="1:14" x14ac:dyDescent="0.3">
      <c r="A325" s="9">
        <v>1324</v>
      </c>
      <c r="B325" s="9" t="s">
        <v>32</v>
      </c>
      <c r="C325" s="4" t="s">
        <v>26</v>
      </c>
      <c r="D325" s="4" t="s">
        <v>24</v>
      </c>
      <c r="E325" s="4" t="s">
        <v>7</v>
      </c>
      <c r="F325" s="4">
        <v>1</v>
      </c>
      <c r="G325" s="4">
        <v>4286</v>
      </c>
      <c r="H325" s="4">
        <v>15</v>
      </c>
      <c r="I325" s="7">
        <v>46053</v>
      </c>
      <c r="J325" s="7">
        <v>46056</v>
      </c>
      <c r="K325" s="4" t="s">
        <v>79</v>
      </c>
      <c r="L325" s="4" t="str">
        <f t="shared" si="15"/>
        <v>ASHA</v>
      </c>
      <c r="M325" s="4" t="str">
        <f t="shared" si="16"/>
        <v>desk</v>
      </c>
      <c r="N325" s="4">
        <f t="shared" si="17"/>
        <v>4</v>
      </c>
    </row>
    <row r="326" spans="1:14" x14ac:dyDescent="0.3">
      <c r="A326" s="9">
        <v>1325</v>
      </c>
      <c r="B326" s="9" t="s">
        <v>46</v>
      </c>
      <c r="C326" s="4" t="s">
        <v>42</v>
      </c>
      <c r="D326" s="4" t="s">
        <v>34</v>
      </c>
      <c r="E326" s="4" t="s">
        <v>5</v>
      </c>
      <c r="F326" s="4">
        <v>9</v>
      </c>
      <c r="G326" s="4">
        <v>58442</v>
      </c>
      <c r="H326" s="4">
        <v>12</v>
      </c>
      <c r="I326" s="7">
        <v>46076</v>
      </c>
      <c r="J326" s="7">
        <v>46085</v>
      </c>
      <c r="K326" s="4" t="s">
        <v>79</v>
      </c>
      <c r="L326" s="4" t="str">
        <f t="shared" si="15"/>
        <v>NITIN</v>
      </c>
      <c r="M326" s="4" t="str">
        <f t="shared" si="16"/>
        <v>keyboard</v>
      </c>
      <c r="N326" s="4">
        <f t="shared" si="17"/>
        <v>8</v>
      </c>
    </row>
    <row r="327" spans="1:14" x14ac:dyDescent="0.3">
      <c r="A327" s="9">
        <v>1326</v>
      </c>
      <c r="B327" s="9" t="s">
        <v>28</v>
      </c>
      <c r="C327" s="4" t="s">
        <v>23</v>
      </c>
      <c r="D327" s="4" t="s">
        <v>24</v>
      </c>
      <c r="E327" s="4" t="s">
        <v>43</v>
      </c>
      <c r="F327" s="4">
        <v>18</v>
      </c>
      <c r="G327" s="4">
        <v>1830</v>
      </c>
      <c r="H327" s="4">
        <v>10</v>
      </c>
      <c r="I327" s="7">
        <v>46165</v>
      </c>
      <c r="J327" s="7">
        <v>46172</v>
      </c>
      <c r="K327" s="4" t="s">
        <v>78</v>
      </c>
      <c r="L327" s="4" t="str">
        <f t="shared" si="15"/>
        <v>VIKRAM</v>
      </c>
      <c r="M327" s="4" t="str">
        <f t="shared" si="16"/>
        <v>bookshelf</v>
      </c>
      <c r="N327" s="4">
        <f t="shared" si="17"/>
        <v>9</v>
      </c>
    </row>
    <row r="328" spans="1:14" x14ac:dyDescent="0.3">
      <c r="A328" s="9">
        <v>1327</v>
      </c>
      <c r="B328" s="9" t="s">
        <v>46</v>
      </c>
      <c r="C328" s="4" t="s">
        <v>19</v>
      </c>
      <c r="D328" s="4" t="s">
        <v>20</v>
      </c>
      <c r="E328" s="4" t="s">
        <v>51</v>
      </c>
      <c r="F328" s="4">
        <v>15</v>
      </c>
      <c r="G328" s="4">
        <v>449</v>
      </c>
      <c r="H328" s="4">
        <v>5</v>
      </c>
      <c r="I328" s="7">
        <v>46152</v>
      </c>
      <c r="J328" s="7">
        <v>46153</v>
      </c>
      <c r="K328" s="4" t="s">
        <v>78</v>
      </c>
      <c r="L328" s="4" t="str">
        <f t="shared" si="15"/>
        <v>NITIN</v>
      </c>
      <c r="M328" s="4" t="str">
        <f t="shared" si="16"/>
        <v>diary</v>
      </c>
      <c r="N328" s="4">
        <f t="shared" si="17"/>
        <v>5</v>
      </c>
    </row>
    <row r="329" spans="1:14" x14ac:dyDescent="0.3">
      <c r="A329" s="9">
        <v>1328</v>
      </c>
      <c r="B329" s="9" t="s">
        <v>22</v>
      </c>
      <c r="C329" s="4" t="s">
        <v>38</v>
      </c>
      <c r="D329" s="4" t="s">
        <v>20</v>
      </c>
      <c r="E329" s="4" t="s">
        <v>36</v>
      </c>
      <c r="F329" s="4">
        <v>4</v>
      </c>
      <c r="G329" s="4">
        <v>132</v>
      </c>
      <c r="H329" s="4">
        <v>0</v>
      </c>
      <c r="I329" s="7">
        <v>46109</v>
      </c>
      <c r="J329" s="7">
        <v>46114</v>
      </c>
      <c r="K329" s="4" t="s">
        <v>49</v>
      </c>
      <c r="L329" s="4" t="str">
        <f t="shared" si="15"/>
        <v>POOJA</v>
      </c>
      <c r="M329" s="4" t="str">
        <f t="shared" si="16"/>
        <v>stapler</v>
      </c>
      <c r="N329" s="4">
        <f t="shared" si="17"/>
        <v>7</v>
      </c>
    </row>
    <row r="330" spans="1:14" x14ac:dyDescent="0.3">
      <c r="A330" s="9">
        <v>1329</v>
      </c>
      <c r="B330" s="9" t="s">
        <v>30</v>
      </c>
      <c r="C330" s="4" t="s">
        <v>42</v>
      </c>
      <c r="D330" s="4" t="s">
        <v>20</v>
      </c>
      <c r="E330" s="4" t="s">
        <v>51</v>
      </c>
      <c r="F330" s="4">
        <v>18</v>
      </c>
      <c r="G330" s="4">
        <v>227</v>
      </c>
      <c r="H330" s="4">
        <v>5</v>
      </c>
      <c r="I330" s="7">
        <v>46126</v>
      </c>
      <c r="J330" s="7">
        <v>46136</v>
      </c>
      <c r="K330" s="4" t="s">
        <v>49</v>
      </c>
      <c r="L330" s="4" t="str">
        <f t="shared" si="15"/>
        <v>NEHA</v>
      </c>
      <c r="M330" s="4" t="str">
        <f t="shared" si="16"/>
        <v>diary</v>
      </c>
      <c r="N330" s="4">
        <f t="shared" si="17"/>
        <v>5</v>
      </c>
    </row>
    <row r="331" spans="1:14" x14ac:dyDescent="0.3">
      <c r="A331" s="9">
        <v>1330</v>
      </c>
      <c r="B331" s="9" t="s">
        <v>47</v>
      </c>
      <c r="C331" s="4" t="s">
        <v>23</v>
      </c>
      <c r="D331" s="4" t="s">
        <v>24</v>
      </c>
      <c r="E331" s="4" t="s">
        <v>7</v>
      </c>
      <c r="F331" s="4">
        <v>13</v>
      </c>
      <c r="G331" s="4">
        <v>12071</v>
      </c>
      <c r="H331" s="4">
        <v>0</v>
      </c>
      <c r="I331" s="7">
        <v>46032</v>
      </c>
      <c r="J331" s="7">
        <v>46036</v>
      </c>
      <c r="K331" s="4" t="s">
        <v>81</v>
      </c>
      <c r="L331" s="4" t="str">
        <f t="shared" si="15"/>
        <v>AJAY</v>
      </c>
      <c r="M331" s="4" t="str">
        <f t="shared" si="16"/>
        <v>desk</v>
      </c>
      <c r="N331" s="4">
        <f t="shared" si="17"/>
        <v>4</v>
      </c>
    </row>
    <row r="332" spans="1:14" x14ac:dyDescent="0.3">
      <c r="A332" s="9">
        <v>1331</v>
      </c>
      <c r="B332" s="9" t="s">
        <v>25</v>
      </c>
      <c r="C332" s="4" t="s">
        <v>27</v>
      </c>
      <c r="D332" s="4" t="s">
        <v>34</v>
      </c>
      <c r="E332" s="4" t="s">
        <v>12</v>
      </c>
      <c r="F332" s="4">
        <v>2</v>
      </c>
      <c r="G332" s="4">
        <v>43557</v>
      </c>
      <c r="H332" s="4">
        <v>2</v>
      </c>
      <c r="I332" s="7">
        <v>46190</v>
      </c>
      <c r="J332" s="7">
        <v>46200</v>
      </c>
      <c r="K332" s="4" t="s">
        <v>78</v>
      </c>
      <c r="L332" s="4" t="str">
        <f t="shared" si="15"/>
        <v>MEERA</v>
      </c>
      <c r="M332" s="4" t="str">
        <f t="shared" si="16"/>
        <v>mouse</v>
      </c>
      <c r="N332" s="4">
        <f t="shared" si="17"/>
        <v>5</v>
      </c>
    </row>
    <row r="333" spans="1:14" x14ac:dyDescent="0.3">
      <c r="A333" s="9">
        <v>1332</v>
      </c>
      <c r="B333" s="9" t="s">
        <v>49</v>
      </c>
      <c r="C333" s="4" t="s">
        <v>42</v>
      </c>
      <c r="D333" s="4" t="s">
        <v>20</v>
      </c>
      <c r="E333" s="4" t="s">
        <v>48</v>
      </c>
      <c r="F333" s="4">
        <v>7</v>
      </c>
      <c r="G333" s="4">
        <v>439</v>
      </c>
      <c r="H333" s="4">
        <v>2</v>
      </c>
      <c r="I333" s="7">
        <v>46154</v>
      </c>
      <c r="J333" s="7">
        <v>46157</v>
      </c>
      <c r="K333" s="4" t="s">
        <v>78</v>
      </c>
      <c r="L333" s="4" t="str">
        <f t="shared" si="15"/>
        <v>PRIYA</v>
      </c>
      <c r="M333" s="4" t="str">
        <f t="shared" si="16"/>
        <v>marker</v>
      </c>
      <c r="N333" s="4">
        <f t="shared" si="17"/>
        <v>6</v>
      </c>
    </row>
    <row r="334" spans="1:14" x14ac:dyDescent="0.3">
      <c r="A334" s="9">
        <v>1333</v>
      </c>
      <c r="B334" s="9" t="s">
        <v>49</v>
      </c>
      <c r="C334" s="4" t="s">
        <v>38</v>
      </c>
      <c r="D334" s="4" t="s">
        <v>20</v>
      </c>
      <c r="E334" s="4" t="s">
        <v>51</v>
      </c>
      <c r="F334" s="4">
        <v>20</v>
      </c>
      <c r="G334" s="4">
        <v>416</v>
      </c>
      <c r="H334" s="4">
        <v>12</v>
      </c>
      <c r="I334" s="7">
        <v>46145</v>
      </c>
      <c r="J334" s="7">
        <v>46146</v>
      </c>
      <c r="K334" s="4" t="s">
        <v>81</v>
      </c>
      <c r="L334" s="4" t="str">
        <f t="shared" si="15"/>
        <v>PRIYA</v>
      </c>
      <c r="M334" s="4" t="str">
        <f t="shared" si="16"/>
        <v>diary</v>
      </c>
      <c r="N334" s="4">
        <f t="shared" si="17"/>
        <v>5</v>
      </c>
    </row>
    <row r="335" spans="1:14" x14ac:dyDescent="0.3">
      <c r="A335" s="9">
        <v>1334</v>
      </c>
      <c r="B335" s="9" t="s">
        <v>39</v>
      </c>
      <c r="C335" s="4" t="s">
        <v>19</v>
      </c>
      <c r="D335" s="4" t="s">
        <v>34</v>
      </c>
      <c r="E335" s="4" t="s">
        <v>40</v>
      </c>
      <c r="F335" s="4">
        <v>15</v>
      </c>
      <c r="G335" s="4">
        <v>39853</v>
      </c>
      <c r="H335" s="4">
        <v>7</v>
      </c>
      <c r="I335" s="7">
        <v>46038</v>
      </c>
      <c r="J335" s="7">
        <v>46047</v>
      </c>
      <c r="K335" s="4" t="s">
        <v>81</v>
      </c>
      <c r="L335" s="4" t="str">
        <f t="shared" si="15"/>
        <v>DEEPAK</v>
      </c>
      <c r="M335" s="4" t="str">
        <f t="shared" si="16"/>
        <v>headset</v>
      </c>
      <c r="N335" s="4">
        <f t="shared" si="17"/>
        <v>7</v>
      </c>
    </row>
    <row r="336" spans="1:14" x14ac:dyDescent="0.3">
      <c r="A336" s="9">
        <v>1335</v>
      </c>
      <c r="B336" s="9" t="s">
        <v>45</v>
      </c>
      <c r="C336" s="4" t="s">
        <v>23</v>
      </c>
      <c r="D336" s="4" t="s">
        <v>24</v>
      </c>
      <c r="E336" s="4" t="s">
        <v>7</v>
      </c>
      <c r="F336" s="4">
        <v>9</v>
      </c>
      <c r="G336" s="4">
        <v>1495</v>
      </c>
      <c r="H336" s="4">
        <v>12</v>
      </c>
      <c r="I336" s="7">
        <v>46168</v>
      </c>
      <c r="J336" s="7">
        <v>46173</v>
      </c>
      <c r="K336" s="4" t="s">
        <v>78</v>
      </c>
      <c r="L336" s="4" t="str">
        <f t="shared" si="15"/>
        <v>YASH</v>
      </c>
      <c r="M336" s="4" t="str">
        <f t="shared" si="16"/>
        <v>desk</v>
      </c>
      <c r="N336" s="4">
        <f t="shared" si="17"/>
        <v>4</v>
      </c>
    </row>
    <row r="337" spans="1:14" x14ac:dyDescent="0.3">
      <c r="A337" s="9">
        <v>1336</v>
      </c>
      <c r="B337" s="9" t="s">
        <v>22</v>
      </c>
      <c r="C337" s="4" t="s">
        <v>27</v>
      </c>
      <c r="D337" s="4" t="s">
        <v>24</v>
      </c>
      <c r="E337" s="4" t="s">
        <v>11</v>
      </c>
      <c r="F337" s="4">
        <v>10</v>
      </c>
      <c r="G337" s="4">
        <v>5624</v>
      </c>
      <c r="H337" s="4">
        <v>0</v>
      </c>
      <c r="I337" s="7">
        <v>46086</v>
      </c>
      <c r="J337" s="7">
        <v>46092</v>
      </c>
      <c r="K337" s="4" t="s">
        <v>49</v>
      </c>
      <c r="L337" s="4" t="str">
        <f t="shared" si="15"/>
        <v>POOJA</v>
      </c>
      <c r="M337" s="4" t="str">
        <f t="shared" si="16"/>
        <v>cabinet</v>
      </c>
      <c r="N337" s="4">
        <f t="shared" si="17"/>
        <v>7</v>
      </c>
    </row>
    <row r="338" spans="1:14" x14ac:dyDescent="0.3">
      <c r="A338" s="9">
        <v>1337</v>
      </c>
      <c r="B338" s="9" t="s">
        <v>22</v>
      </c>
      <c r="C338" s="4" t="s">
        <v>19</v>
      </c>
      <c r="D338" s="4" t="s">
        <v>20</v>
      </c>
      <c r="E338" s="4" t="s">
        <v>51</v>
      </c>
      <c r="F338" s="4">
        <v>14</v>
      </c>
      <c r="G338" s="4">
        <v>373</v>
      </c>
      <c r="H338" s="4">
        <v>10</v>
      </c>
      <c r="I338" s="7">
        <v>46074</v>
      </c>
      <c r="J338" s="7">
        <v>46080</v>
      </c>
      <c r="K338" s="4" t="s">
        <v>49</v>
      </c>
      <c r="L338" s="4" t="str">
        <f t="shared" si="15"/>
        <v>POOJA</v>
      </c>
      <c r="M338" s="4" t="str">
        <f t="shared" si="16"/>
        <v>diary</v>
      </c>
      <c r="N338" s="4">
        <f t="shared" si="17"/>
        <v>5</v>
      </c>
    </row>
    <row r="339" spans="1:14" x14ac:dyDescent="0.3">
      <c r="A339" s="9">
        <v>1338</v>
      </c>
      <c r="B339" s="9" t="s">
        <v>56</v>
      </c>
      <c r="C339" s="4" t="s">
        <v>27</v>
      </c>
      <c r="D339" s="4" t="s">
        <v>34</v>
      </c>
      <c r="E339" s="4" t="s">
        <v>9</v>
      </c>
      <c r="F339" s="4">
        <v>10</v>
      </c>
      <c r="G339" s="4">
        <v>16719</v>
      </c>
      <c r="H339" s="4">
        <v>5</v>
      </c>
      <c r="I339" s="7">
        <v>46177</v>
      </c>
      <c r="J339" s="7">
        <v>46179</v>
      </c>
      <c r="K339" s="4" t="s">
        <v>78</v>
      </c>
      <c r="L339" s="4" t="str">
        <f t="shared" si="15"/>
        <v>ANITA</v>
      </c>
      <c r="M339" s="4" t="str">
        <f t="shared" si="16"/>
        <v>laptop</v>
      </c>
      <c r="N339" s="4">
        <f t="shared" si="17"/>
        <v>6</v>
      </c>
    </row>
    <row r="340" spans="1:14" x14ac:dyDescent="0.3">
      <c r="A340" s="9">
        <v>1339</v>
      </c>
      <c r="B340" s="9" t="s">
        <v>32</v>
      </c>
      <c r="C340" s="4" t="s">
        <v>27</v>
      </c>
      <c r="D340" s="4" t="s">
        <v>20</v>
      </c>
      <c r="E340" s="4" t="s">
        <v>21</v>
      </c>
      <c r="F340" s="4">
        <v>6</v>
      </c>
      <c r="G340" s="4">
        <v>302</v>
      </c>
      <c r="H340" s="4">
        <v>5</v>
      </c>
      <c r="I340" s="7">
        <v>46142</v>
      </c>
      <c r="J340" s="7">
        <v>46148</v>
      </c>
      <c r="K340" s="4" t="s">
        <v>79</v>
      </c>
      <c r="L340" s="4" t="str">
        <f t="shared" si="15"/>
        <v>ASHA</v>
      </c>
      <c r="M340" s="4" t="str">
        <f t="shared" si="16"/>
        <v>notebook</v>
      </c>
      <c r="N340" s="4">
        <f t="shared" si="17"/>
        <v>8</v>
      </c>
    </row>
    <row r="341" spans="1:14" x14ac:dyDescent="0.3">
      <c r="A341" s="9">
        <v>1340</v>
      </c>
      <c r="B341" s="9" t="s">
        <v>46</v>
      </c>
      <c r="C341" s="4" t="s">
        <v>23</v>
      </c>
      <c r="D341" s="4" t="s">
        <v>24</v>
      </c>
      <c r="E341" s="4" t="s">
        <v>7</v>
      </c>
      <c r="F341" s="4">
        <v>12</v>
      </c>
      <c r="G341" s="4">
        <v>3857</v>
      </c>
      <c r="H341" s="4">
        <v>12</v>
      </c>
      <c r="I341" s="7">
        <v>46196</v>
      </c>
      <c r="J341" s="7">
        <v>46198</v>
      </c>
      <c r="K341" s="4" t="s">
        <v>81</v>
      </c>
      <c r="L341" s="4" t="str">
        <f t="shared" si="15"/>
        <v>NITIN</v>
      </c>
      <c r="M341" s="4" t="str">
        <f t="shared" si="16"/>
        <v>desk</v>
      </c>
      <c r="N341" s="4">
        <f t="shared" si="17"/>
        <v>4</v>
      </c>
    </row>
    <row r="342" spans="1:14" x14ac:dyDescent="0.3">
      <c r="A342" s="9">
        <v>1341</v>
      </c>
      <c r="B342" s="9" t="s">
        <v>54</v>
      </c>
      <c r="C342" s="4" t="s">
        <v>38</v>
      </c>
      <c r="D342" s="4" t="s">
        <v>24</v>
      </c>
      <c r="E342" s="4" t="s">
        <v>7</v>
      </c>
      <c r="F342" s="4">
        <v>19</v>
      </c>
      <c r="G342" s="4">
        <v>6488</v>
      </c>
      <c r="H342" s="4">
        <v>15</v>
      </c>
      <c r="I342" s="7">
        <v>46026</v>
      </c>
      <c r="J342" s="7">
        <v>46030</v>
      </c>
      <c r="K342" s="4" t="s">
        <v>79</v>
      </c>
      <c r="L342" s="4" t="str">
        <f t="shared" si="15"/>
        <v>SARA</v>
      </c>
      <c r="M342" s="4" t="str">
        <f t="shared" si="16"/>
        <v>desk</v>
      </c>
      <c r="N342" s="4">
        <f t="shared" si="17"/>
        <v>4</v>
      </c>
    </row>
    <row r="343" spans="1:14" x14ac:dyDescent="0.3">
      <c r="A343" s="9">
        <v>1342</v>
      </c>
      <c r="B343" s="9" t="s">
        <v>56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7">
        <v>46132</v>
      </c>
      <c r="J343" s="7">
        <v>46139</v>
      </c>
      <c r="K343" s="4" t="s">
        <v>49</v>
      </c>
      <c r="L343" s="4" t="str">
        <f t="shared" si="15"/>
        <v>ANITA</v>
      </c>
      <c r="M343" s="4" t="str">
        <f t="shared" si="16"/>
        <v>printer</v>
      </c>
      <c r="N343" s="4">
        <f t="shared" si="17"/>
        <v>7</v>
      </c>
    </row>
    <row r="344" spans="1:14" x14ac:dyDescent="0.3">
      <c r="A344" s="9">
        <v>1343</v>
      </c>
      <c r="B344" s="9" t="s">
        <v>56</v>
      </c>
      <c r="C344" s="4" t="s">
        <v>31</v>
      </c>
      <c r="D344" s="4" t="s">
        <v>34</v>
      </c>
      <c r="E344" s="4" t="s">
        <v>5</v>
      </c>
      <c r="F344" s="4">
        <v>14</v>
      </c>
      <c r="G344" s="4">
        <v>32719</v>
      </c>
      <c r="H344" s="4">
        <v>15</v>
      </c>
      <c r="I344" s="7">
        <v>46174</v>
      </c>
      <c r="J344" s="7">
        <v>46179</v>
      </c>
      <c r="K344" s="4" t="s">
        <v>78</v>
      </c>
      <c r="L344" s="4" t="str">
        <f t="shared" si="15"/>
        <v>ANITA</v>
      </c>
      <c r="M344" s="4" t="str">
        <f t="shared" si="16"/>
        <v>keyboard</v>
      </c>
      <c r="N344" s="4">
        <f t="shared" si="17"/>
        <v>8</v>
      </c>
    </row>
    <row r="345" spans="1:14" x14ac:dyDescent="0.3">
      <c r="A345" s="9">
        <v>1344</v>
      </c>
      <c r="B345" s="9" t="s">
        <v>30</v>
      </c>
      <c r="C345" s="4" t="s">
        <v>23</v>
      </c>
      <c r="D345" s="4" t="s">
        <v>20</v>
      </c>
      <c r="E345" s="4" t="s">
        <v>51</v>
      </c>
      <c r="F345" s="4">
        <v>18</v>
      </c>
      <c r="G345" s="4">
        <v>240</v>
      </c>
      <c r="H345" s="4">
        <v>10</v>
      </c>
      <c r="I345" s="7">
        <v>46155</v>
      </c>
      <c r="J345" s="7">
        <v>46156</v>
      </c>
      <c r="K345" s="4" t="s">
        <v>80</v>
      </c>
      <c r="L345" s="4" t="str">
        <f t="shared" si="15"/>
        <v>NEHA</v>
      </c>
      <c r="M345" s="4" t="str">
        <f t="shared" si="16"/>
        <v>diary</v>
      </c>
      <c r="N345" s="4">
        <f t="shared" si="17"/>
        <v>5</v>
      </c>
    </row>
    <row r="346" spans="1:14" x14ac:dyDescent="0.3">
      <c r="A346" s="9">
        <v>1345</v>
      </c>
      <c r="B346" s="9" t="s">
        <v>32</v>
      </c>
      <c r="C346" s="4" t="s">
        <v>19</v>
      </c>
      <c r="D346" s="4" t="s">
        <v>34</v>
      </c>
      <c r="E346" s="4" t="s">
        <v>6</v>
      </c>
      <c r="F346" s="4">
        <v>12</v>
      </c>
      <c r="G346" s="4">
        <v>50544</v>
      </c>
      <c r="H346" s="4">
        <v>10</v>
      </c>
      <c r="I346" s="7">
        <v>46095</v>
      </c>
      <c r="J346" s="7">
        <v>46097</v>
      </c>
      <c r="K346" s="4" t="s">
        <v>49</v>
      </c>
      <c r="L346" s="4" t="str">
        <f t="shared" si="15"/>
        <v>ASHA</v>
      </c>
      <c r="M346" s="4" t="str">
        <f t="shared" si="16"/>
        <v>monitor</v>
      </c>
      <c r="N346" s="4">
        <f t="shared" si="17"/>
        <v>7</v>
      </c>
    </row>
    <row r="347" spans="1:14" x14ac:dyDescent="0.3">
      <c r="A347" s="9">
        <v>1346</v>
      </c>
      <c r="B347" s="9" t="s">
        <v>32</v>
      </c>
      <c r="C347" s="4" t="s">
        <v>26</v>
      </c>
      <c r="D347" s="4" t="s">
        <v>24</v>
      </c>
      <c r="E347" s="4" t="s">
        <v>7</v>
      </c>
      <c r="F347" s="4">
        <v>16</v>
      </c>
      <c r="G347" s="4">
        <v>6910</v>
      </c>
      <c r="H347" s="4">
        <v>15</v>
      </c>
      <c r="I347" s="7">
        <v>46140</v>
      </c>
      <c r="J347" s="7">
        <v>46142</v>
      </c>
      <c r="K347" s="4" t="s">
        <v>49</v>
      </c>
      <c r="L347" s="4" t="str">
        <f t="shared" si="15"/>
        <v>ASHA</v>
      </c>
      <c r="M347" s="4" t="str">
        <f t="shared" si="16"/>
        <v>desk</v>
      </c>
      <c r="N347" s="4">
        <f t="shared" si="17"/>
        <v>4</v>
      </c>
    </row>
    <row r="348" spans="1:14" x14ac:dyDescent="0.3">
      <c r="A348" s="9">
        <v>1347</v>
      </c>
      <c r="B348" s="9" t="s">
        <v>49</v>
      </c>
      <c r="C348" s="4" t="s">
        <v>26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7">
        <v>46037</v>
      </c>
      <c r="J348" s="7">
        <v>46044</v>
      </c>
      <c r="K348" s="4" t="s">
        <v>80</v>
      </c>
      <c r="L348" s="4" t="str">
        <f t="shared" si="15"/>
        <v>PRIYA</v>
      </c>
      <c r="M348" s="4" t="str">
        <f t="shared" si="16"/>
        <v>printer</v>
      </c>
      <c r="N348" s="4">
        <f t="shared" si="17"/>
        <v>7</v>
      </c>
    </row>
    <row r="349" spans="1:14" x14ac:dyDescent="0.3">
      <c r="A349" s="9">
        <v>1348</v>
      </c>
      <c r="B349" s="9" t="s">
        <v>18</v>
      </c>
      <c r="C349" s="4" t="s">
        <v>33</v>
      </c>
      <c r="D349" s="4" t="s">
        <v>20</v>
      </c>
      <c r="E349" s="4" t="s">
        <v>48</v>
      </c>
      <c r="F349" s="4">
        <v>12</v>
      </c>
      <c r="G349" s="4">
        <v>244</v>
      </c>
      <c r="H349" s="4">
        <v>7</v>
      </c>
      <c r="I349" s="7">
        <v>46048</v>
      </c>
      <c r="J349" s="7">
        <v>46053</v>
      </c>
      <c r="K349" s="4" t="s">
        <v>78</v>
      </c>
      <c r="L349" s="4" t="str">
        <f t="shared" si="15"/>
        <v>RITESH</v>
      </c>
      <c r="M349" s="4" t="str">
        <f t="shared" si="16"/>
        <v>marker</v>
      </c>
      <c r="N349" s="4">
        <f t="shared" si="17"/>
        <v>6</v>
      </c>
    </row>
    <row r="350" spans="1:14" x14ac:dyDescent="0.3">
      <c r="A350" s="9">
        <v>1349</v>
      </c>
      <c r="B350" s="9" t="s">
        <v>39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7">
        <v>46079</v>
      </c>
      <c r="J350" s="7">
        <v>46083</v>
      </c>
      <c r="K350" s="4" t="s">
        <v>79</v>
      </c>
      <c r="L350" s="4" t="str">
        <f t="shared" si="15"/>
        <v>DEEPAK</v>
      </c>
      <c r="M350" s="4" t="str">
        <f t="shared" si="16"/>
        <v>printer</v>
      </c>
      <c r="N350" s="4">
        <f t="shared" si="17"/>
        <v>7</v>
      </c>
    </row>
    <row r="351" spans="1:14" x14ac:dyDescent="0.3">
      <c r="A351" s="9">
        <v>1350</v>
      </c>
      <c r="B351" s="9" t="s">
        <v>28</v>
      </c>
      <c r="C351" s="4" t="s">
        <v>42</v>
      </c>
      <c r="D351" s="4" t="s">
        <v>24</v>
      </c>
      <c r="E351" s="4" t="s">
        <v>8</v>
      </c>
      <c r="F351" s="4">
        <v>16</v>
      </c>
      <c r="G351" s="4">
        <v>11790</v>
      </c>
      <c r="H351" s="4">
        <v>12</v>
      </c>
      <c r="I351" s="7">
        <v>46185</v>
      </c>
      <c r="J351" s="7">
        <v>46190</v>
      </c>
      <c r="K351" s="4" t="s">
        <v>49</v>
      </c>
      <c r="L351" s="4" t="str">
        <f t="shared" si="15"/>
        <v>VIKRAM</v>
      </c>
      <c r="M351" s="4" t="str">
        <f t="shared" si="16"/>
        <v>chair</v>
      </c>
      <c r="N351" s="4">
        <f t="shared" si="17"/>
        <v>5</v>
      </c>
    </row>
    <row r="352" spans="1:14" x14ac:dyDescent="0.3">
      <c r="A352" s="9">
        <v>1351</v>
      </c>
      <c r="B352" s="9" t="s">
        <v>41</v>
      </c>
      <c r="C352" s="4" t="s">
        <v>33</v>
      </c>
      <c r="D352" s="4" t="s">
        <v>34</v>
      </c>
      <c r="E352" s="4" t="s">
        <v>6</v>
      </c>
      <c r="F352" s="4">
        <v>12</v>
      </c>
      <c r="G352" s="4">
        <v>1272</v>
      </c>
      <c r="H352" s="4">
        <v>0</v>
      </c>
      <c r="I352" s="7">
        <v>46026</v>
      </c>
      <c r="J352" s="7">
        <v>46029</v>
      </c>
      <c r="K352" s="4" t="s">
        <v>78</v>
      </c>
      <c r="L352" s="4" t="str">
        <f t="shared" si="15"/>
        <v>NISHA</v>
      </c>
      <c r="M352" s="4" t="str">
        <f t="shared" si="16"/>
        <v>monitor</v>
      </c>
      <c r="N352" s="4">
        <f t="shared" si="17"/>
        <v>7</v>
      </c>
    </row>
    <row r="353" spans="1:14" x14ac:dyDescent="0.3">
      <c r="A353" s="9">
        <v>1352</v>
      </c>
      <c r="B353" s="9" t="s">
        <v>52</v>
      </c>
      <c r="C353" s="4" t="s">
        <v>26</v>
      </c>
      <c r="D353" s="4" t="s">
        <v>20</v>
      </c>
      <c r="E353" s="4" t="s">
        <v>21</v>
      </c>
      <c r="F353" s="4">
        <v>12</v>
      </c>
      <c r="G353" s="4">
        <v>203</v>
      </c>
      <c r="H353" s="4">
        <v>5</v>
      </c>
      <c r="I353" s="7">
        <v>46024</v>
      </c>
      <c r="J353" s="7">
        <v>46033</v>
      </c>
      <c r="K353" s="4" t="s">
        <v>78</v>
      </c>
      <c r="L353" s="4" t="str">
        <f t="shared" si="15"/>
        <v>MANOJ</v>
      </c>
      <c r="M353" s="4" t="str">
        <f t="shared" si="16"/>
        <v>notebook</v>
      </c>
      <c r="N353" s="4">
        <f t="shared" si="17"/>
        <v>8</v>
      </c>
    </row>
    <row r="354" spans="1:14" x14ac:dyDescent="0.3">
      <c r="A354" s="9">
        <v>1353</v>
      </c>
      <c r="B354" s="9" t="s">
        <v>45</v>
      </c>
      <c r="C354" s="4" t="s">
        <v>42</v>
      </c>
      <c r="D354" s="4" t="s">
        <v>20</v>
      </c>
      <c r="E354" s="4" t="s">
        <v>21</v>
      </c>
      <c r="F354" s="4">
        <v>6</v>
      </c>
      <c r="G354" s="4">
        <v>495</v>
      </c>
      <c r="H354" s="4">
        <v>2</v>
      </c>
      <c r="I354" s="7">
        <v>46194</v>
      </c>
      <c r="J354" s="7">
        <v>46200</v>
      </c>
      <c r="K354" s="4" t="s">
        <v>80</v>
      </c>
      <c r="L354" s="4" t="str">
        <f t="shared" si="15"/>
        <v>YASH</v>
      </c>
      <c r="M354" s="4" t="str">
        <f t="shared" si="16"/>
        <v>notebook</v>
      </c>
      <c r="N354" s="4">
        <f t="shared" si="17"/>
        <v>8</v>
      </c>
    </row>
    <row r="355" spans="1:14" x14ac:dyDescent="0.3">
      <c r="A355" s="9">
        <v>1354</v>
      </c>
      <c r="B355" s="9" t="s">
        <v>45</v>
      </c>
      <c r="C355" s="4" t="s">
        <v>42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7">
        <v>46118</v>
      </c>
      <c r="J355" s="7">
        <v>46120</v>
      </c>
      <c r="K355" s="4" t="s">
        <v>81</v>
      </c>
      <c r="L355" s="4" t="str">
        <f t="shared" si="15"/>
        <v>YASH</v>
      </c>
      <c r="M355" s="4" t="str">
        <f t="shared" si="16"/>
        <v>printer</v>
      </c>
      <c r="N355" s="4">
        <f t="shared" si="17"/>
        <v>7</v>
      </c>
    </row>
    <row r="356" spans="1:14" x14ac:dyDescent="0.3">
      <c r="A356" s="9">
        <v>1355</v>
      </c>
      <c r="B356" s="9" t="s">
        <v>29</v>
      </c>
      <c r="C356" s="4" t="s">
        <v>19</v>
      </c>
      <c r="D356" s="4" t="s">
        <v>34</v>
      </c>
      <c r="E356" s="4" t="s">
        <v>9</v>
      </c>
      <c r="F356" s="4">
        <v>18</v>
      </c>
      <c r="G356" s="4">
        <v>35997</v>
      </c>
      <c r="H356" s="4">
        <v>2</v>
      </c>
      <c r="I356" s="7">
        <v>46024</v>
      </c>
      <c r="J356" s="7">
        <v>46031</v>
      </c>
      <c r="K356" s="4" t="s">
        <v>81</v>
      </c>
      <c r="L356" s="4" t="str">
        <f t="shared" si="15"/>
        <v>ARJUN</v>
      </c>
      <c r="M356" s="4" t="str">
        <f t="shared" si="16"/>
        <v>laptop</v>
      </c>
      <c r="N356" s="4">
        <f t="shared" si="17"/>
        <v>6</v>
      </c>
    </row>
    <row r="357" spans="1:14" x14ac:dyDescent="0.3">
      <c r="A357" s="9">
        <v>1356</v>
      </c>
      <c r="B357" s="9" t="s">
        <v>28</v>
      </c>
      <c r="C357" s="4" t="s">
        <v>38</v>
      </c>
      <c r="D357" s="4" t="s">
        <v>34</v>
      </c>
      <c r="E357" s="4" t="s">
        <v>9</v>
      </c>
      <c r="F357" s="4">
        <v>16</v>
      </c>
      <c r="G357" s="4">
        <v>53457</v>
      </c>
      <c r="H357" s="4">
        <v>10</v>
      </c>
      <c r="I357" s="7">
        <v>46201</v>
      </c>
      <c r="J357" s="7">
        <v>46204</v>
      </c>
      <c r="K357" s="4" t="s">
        <v>78</v>
      </c>
      <c r="L357" s="4" t="str">
        <f t="shared" si="15"/>
        <v>VIKRAM</v>
      </c>
      <c r="M357" s="4" t="str">
        <f t="shared" si="16"/>
        <v>laptop</v>
      </c>
      <c r="N357" s="4">
        <f t="shared" si="17"/>
        <v>6</v>
      </c>
    </row>
    <row r="358" spans="1:14" x14ac:dyDescent="0.3">
      <c r="A358" s="9">
        <v>1357</v>
      </c>
      <c r="B358" s="9" t="s">
        <v>56</v>
      </c>
      <c r="C358" s="4" t="s">
        <v>27</v>
      </c>
      <c r="D358" s="4" t="s">
        <v>20</v>
      </c>
      <c r="E358" s="4" t="s">
        <v>37</v>
      </c>
      <c r="F358" s="4">
        <v>6</v>
      </c>
      <c r="G358" s="4">
        <v>365</v>
      </c>
      <c r="H358" s="4">
        <v>7</v>
      </c>
      <c r="I358" s="7">
        <v>46133</v>
      </c>
      <c r="J358" s="7">
        <v>46140</v>
      </c>
      <c r="K358" s="4" t="s">
        <v>81</v>
      </c>
      <c r="L358" s="4" t="str">
        <f t="shared" ref="L358:L401" si="18">UPPER(B358)</f>
        <v>ANITA</v>
      </c>
      <c r="M358" s="4" t="str">
        <f t="shared" ref="M358:M401" si="19">LOWER(E358)</f>
        <v>pen pack</v>
      </c>
      <c r="N358" s="4">
        <f t="shared" ref="N358:N401" si="20">LEN(E358)</f>
        <v>8</v>
      </c>
    </row>
    <row r="359" spans="1:14" x14ac:dyDescent="0.3">
      <c r="A359" s="9">
        <v>1358</v>
      </c>
      <c r="B359" s="9" t="s">
        <v>39</v>
      </c>
      <c r="C359" s="4" t="s">
        <v>38</v>
      </c>
      <c r="D359" s="4" t="s">
        <v>24</v>
      </c>
      <c r="E359" s="4" t="s">
        <v>7</v>
      </c>
      <c r="F359" s="4">
        <v>7</v>
      </c>
      <c r="G359" s="4">
        <v>6618</v>
      </c>
      <c r="H359" s="4">
        <v>0</v>
      </c>
      <c r="I359" s="7">
        <v>46127</v>
      </c>
      <c r="J359" s="7">
        <v>46129</v>
      </c>
      <c r="K359" s="4" t="s">
        <v>79</v>
      </c>
      <c r="L359" s="4" t="str">
        <f t="shared" si="18"/>
        <v>DEEPAK</v>
      </c>
      <c r="M359" s="4" t="str">
        <f t="shared" si="19"/>
        <v>desk</v>
      </c>
      <c r="N359" s="4">
        <f t="shared" si="20"/>
        <v>4</v>
      </c>
    </row>
    <row r="360" spans="1:14" x14ac:dyDescent="0.3">
      <c r="A360" s="9">
        <v>1359</v>
      </c>
      <c r="B360" s="9" t="s">
        <v>52</v>
      </c>
      <c r="C360" s="4" t="s">
        <v>19</v>
      </c>
      <c r="D360" s="4" t="s">
        <v>34</v>
      </c>
      <c r="E360" s="4" t="s">
        <v>12</v>
      </c>
      <c r="F360" s="4">
        <v>9</v>
      </c>
      <c r="G360" s="4">
        <v>38179</v>
      </c>
      <c r="H360" s="4">
        <v>0</v>
      </c>
      <c r="I360" s="7">
        <v>46096</v>
      </c>
      <c r="J360" s="7">
        <v>46099</v>
      </c>
      <c r="K360" s="4" t="s">
        <v>78</v>
      </c>
      <c r="L360" s="4" t="str">
        <f t="shared" si="18"/>
        <v>MANOJ</v>
      </c>
      <c r="M360" s="4" t="str">
        <f t="shared" si="19"/>
        <v>mouse</v>
      </c>
      <c r="N360" s="4">
        <f t="shared" si="20"/>
        <v>5</v>
      </c>
    </row>
    <row r="361" spans="1:14" x14ac:dyDescent="0.3">
      <c r="A361" s="9">
        <v>1360</v>
      </c>
      <c r="B361" s="9" t="s">
        <v>18</v>
      </c>
      <c r="C361" s="4" t="s">
        <v>42</v>
      </c>
      <c r="D361" s="4" t="s">
        <v>24</v>
      </c>
      <c r="E361" s="4" t="s">
        <v>10</v>
      </c>
      <c r="F361" s="4">
        <v>19</v>
      </c>
      <c r="G361" s="4">
        <v>6681</v>
      </c>
      <c r="H361" s="4">
        <v>2</v>
      </c>
      <c r="I361" s="7">
        <v>46146</v>
      </c>
      <c r="J361" s="7">
        <v>46150</v>
      </c>
      <c r="K361" s="4" t="s">
        <v>78</v>
      </c>
      <c r="L361" s="4" t="str">
        <f t="shared" si="18"/>
        <v>RITESH</v>
      </c>
      <c r="M361" s="4" t="str">
        <f t="shared" si="19"/>
        <v>table</v>
      </c>
      <c r="N361" s="4">
        <f t="shared" si="20"/>
        <v>5</v>
      </c>
    </row>
    <row r="362" spans="1:14" x14ac:dyDescent="0.3">
      <c r="A362" s="9">
        <v>1361</v>
      </c>
      <c r="B362" s="9" t="s">
        <v>41</v>
      </c>
      <c r="C362" s="4" t="s">
        <v>23</v>
      </c>
      <c r="D362" s="4" t="s">
        <v>24</v>
      </c>
      <c r="E362" s="4" t="s">
        <v>10</v>
      </c>
      <c r="F362" s="4">
        <v>2</v>
      </c>
      <c r="G362" s="4">
        <v>1822</v>
      </c>
      <c r="H362" s="4">
        <v>5</v>
      </c>
      <c r="I362" s="7">
        <v>46141</v>
      </c>
      <c r="J362" s="7">
        <v>46145</v>
      </c>
      <c r="K362" s="4" t="s">
        <v>79</v>
      </c>
      <c r="L362" s="4" t="str">
        <f t="shared" si="18"/>
        <v>NISHA</v>
      </c>
      <c r="M362" s="4" t="str">
        <f t="shared" si="19"/>
        <v>table</v>
      </c>
      <c r="N362" s="4">
        <f t="shared" si="20"/>
        <v>5</v>
      </c>
    </row>
    <row r="363" spans="1:14" x14ac:dyDescent="0.3">
      <c r="A363" s="9">
        <v>1362</v>
      </c>
      <c r="B363" s="9" t="s">
        <v>22</v>
      </c>
      <c r="C363" s="4" t="s">
        <v>19</v>
      </c>
      <c r="D363" s="4" t="s">
        <v>24</v>
      </c>
      <c r="E363" s="4" t="s">
        <v>8</v>
      </c>
      <c r="F363" s="4">
        <v>1</v>
      </c>
      <c r="G363" s="4">
        <v>10474</v>
      </c>
      <c r="H363" s="4">
        <v>0</v>
      </c>
      <c r="I363" s="7">
        <v>46094</v>
      </c>
      <c r="J363" s="7">
        <v>46096</v>
      </c>
      <c r="K363" s="4" t="s">
        <v>49</v>
      </c>
      <c r="L363" s="4" t="str">
        <f t="shared" si="18"/>
        <v>POOJA</v>
      </c>
      <c r="M363" s="4" t="str">
        <f t="shared" si="19"/>
        <v>chair</v>
      </c>
      <c r="N363" s="4">
        <f t="shared" si="20"/>
        <v>5</v>
      </c>
    </row>
    <row r="364" spans="1:14" x14ac:dyDescent="0.3">
      <c r="A364" s="9">
        <v>1363</v>
      </c>
      <c r="B364" s="9" t="s">
        <v>29</v>
      </c>
      <c r="C364" s="4" t="s">
        <v>27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7">
        <v>46122</v>
      </c>
      <c r="J364" s="7">
        <v>46128</v>
      </c>
      <c r="K364" s="4" t="s">
        <v>78</v>
      </c>
      <c r="L364" s="4" t="str">
        <f t="shared" si="18"/>
        <v>ARJUN</v>
      </c>
      <c r="M364" s="4" t="str">
        <f t="shared" si="19"/>
        <v>printer</v>
      </c>
      <c r="N364" s="4">
        <f t="shared" si="20"/>
        <v>7</v>
      </c>
    </row>
    <row r="365" spans="1:14" x14ac:dyDescent="0.3">
      <c r="A365" s="9">
        <v>1364</v>
      </c>
      <c r="B365" s="9" t="s">
        <v>30</v>
      </c>
      <c r="C365" s="4" t="s">
        <v>26</v>
      </c>
      <c r="D365" s="4" t="s">
        <v>24</v>
      </c>
      <c r="E365" s="4" t="s">
        <v>11</v>
      </c>
      <c r="F365" s="4">
        <v>16</v>
      </c>
      <c r="G365" s="4">
        <v>1744</v>
      </c>
      <c r="H365" s="4">
        <v>15</v>
      </c>
      <c r="I365" s="7">
        <v>46031</v>
      </c>
      <c r="J365" s="7">
        <v>46033</v>
      </c>
      <c r="K365" s="4" t="s">
        <v>81</v>
      </c>
      <c r="L365" s="4" t="str">
        <f t="shared" si="18"/>
        <v>NEHA</v>
      </c>
      <c r="M365" s="4" t="str">
        <f t="shared" si="19"/>
        <v>cabinet</v>
      </c>
      <c r="N365" s="4">
        <f t="shared" si="20"/>
        <v>7</v>
      </c>
    </row>
    <row r="366" spans="1:14" x14ac:dyDescent="0.3">
      <c r="A366" s="9">
        <v>1365</v>
      </c>
      <c r="B366" s="9" t="s">
        <v>44</v>
      </c>
      <c r="C366" s="4" t="s">
        <v>33</v>
      </c>
      <c r="D366" s="4" t="s">
        <v>20</v>
      </c>
      <c r="E366" s="4" t="s">
        <v>48</v>
      </c>
      <c r="F366" s="4">
        <v>17</v>
      </c>
      <c r="G366" s="4">
        <v>119</v>
      </c>
      <c r="H366" s="4">
        <v>7</v>
      </c>
      <c r="I366" s="7">
        <v>46070</v>
      </c>
      <c r="J366" s="7">
        <v>46072</v>
      </c>
      <c r="K366" s="4" t="s">
        <v>79</v>
      </c>
      <c r="L366" s="4" t="str">
        <f t="shared" si="18"/>
        <v>KIRAN</v>
      </c>
      <c r="M366" s="4" t="str">
        <f t="shared" si="19"/>
        <v>marker</v>
      </c>
      <c r="N366" s="4">
        <f t="shared" si="20"/>
        <v>6</v>
      </c>
    </row>
    <row r="367" spans="1:14" x14ac:dyDescent="0.3">
      <c r="A367" s="9">
        <v>1366</v>
      </c>
      <c r="B367" s="9" t="s">
        <v>28</v>
      </c>
      <c r="C367" s="4" t="s">
        <v>23</v>
      </c>
      <c r="D367" s="4" t="s">
        <v>34</v>
      </c>
      <c r="E367" s="4" t="s">
        <v>12</v>
      </c>
      <c r="F367" s="4">
        <v>20</v>
      </c>
      <c r="G367" s="4">
        <v>44312</v>
      </c>
      <c r="H367" s="4">
        <v>10</v>
      </c>
      <c r="I367" s="7">
        <v>46047</v>
      </c>
      <c r="J367" s="7">
        <v>46054</v>
      </c>
      <c r="K367" s="4" t="s">
        <v>49</v>
      </c>
      <c r="L367" s="4" t="str">
        <f t="shared" si="18"/>
        <v>VIKRAM</v>
      </c>
      <c r="M367" s="4" t="str">
        <f t="shared" si="19"/>
        <v>mouse</v>
      </c>
      <c r="N367" s="4">
        <f t="shared" si="20"/>
        <v>5</v>
      </c>
    </row>
    <row r="368" spans="1:14" x14ac:dyDescent="0.3">
      <c r="A368" s="9">
        <v>1367</v>
      </c>
      <c r="B368" s="9" t="s">
        <v>52</v>
      </c>
      <c r="C368" s="4" t="s">
        <v>27</v>
      </c>
      <c r="D368" s="4" t="s">
        <v>20</v>
      </c>
      <c r="E368" s="4" t="s">
        <v>51</v>
      </c>
      <c r="F368" s="4">
        <v>1</v>
      </c>
      <c r="G368" s="4">
        <v>371</v>
      </c>
      <c r="H368" s="4">
        <v>5</v>
      </c>
      <c r="I368" s="7">
        <v>46158</v>
      </c>
      <c r="J368" s="7">
        <v>46168</v>
      </c>
      <c r="K368" s="4" t="s">
        <v>49</v>
      </c>
      <c r="L368" s="4" t="str">
        <f t="shared" si="18"/>
        <v>MANOJ</v>
      </c>
      <c r="M368" s="4" t="str">
        <f t="shared" si="19"/>
        <v>diary</v>
      </c>
      <c r="N368" s="4">
        <f t="shared" si="20"/>
        <v>5</v>
      </c>
    </row>
    <row r="369" spans="1:14" x14ac:dyDescent="0.3">
      <c r="A369" s="9">
        <v>1368</v>
      </c>
      <c r="B369" s="9" t="s">
        <v>53</v>
      </c>
      <c r="C369" s="4" t="s">
        <v>38</v>
      </c>
      <c r="D369" s="4" t="s">
        <v>20</v>
      </c>
      <c r="E369" s="4" t="s">
        <v>36</v>
      </c>
      <c r="F369" s="4">
        <v>9</v>
      </c>
      <c r="G369" s="4">
        <v>115</v>
      </c>
      <c r="H369" s="4">
        <v>0</v>
      </c>
      <c r="I369" s="7">
        <v>46036</v>
      </c>
      <c r="J369" s="7">
        <v>46045</v>
      </c>
      <c r="K369" s="4" t="s">
        <v>80</v>
      </c>
      <c r="L369" s="4" t="str">
        <f t="shared" si="18"/>
        <v>SNEHA</v>
      </c>
      <c r="M369" s="4" t="str">
        <f t="shared" si="19"/>
        <v>stapler</v>
      </c>
      <c r="N369" s="4">
        <f t="shared" si="20"/>
        <v>7</v>
      </c>
    </row>
    <row r="370" spans="1:14" x14ac:dyDescent="0.3">
      <c r="A370" s="9">
        <v>1369</v>
      </c>
      <c r="B370" s="9" t="s">
        <v>54</v>
      </c>
      <c r="C370" s="4" t="s">
        <v>27</v>
      </c>
      <c r="D370" s="4" t="s">
        <v>24</v>
      </c>
      <c r="E370" s="4" t="s">
        <v>7</v>
      </c>
      <c r="F370" s="4">
        <v>19</v>
      </c>
      <c r="G370" s="4">
        <v>5840</v>
      </c>
      <c r="H370" s="4">
        <v>5</v>
      </c>
      <c r="I370" s="7">
        <v>46062</v>
      </c>
      <c r="J370" s="7">
        <v>46067</v>
      </c>
      <c r="K370" s="4" t="s">
        <v>78</v>
      </c>
      <c r="L370" s="4" t="str">
        <f t="shared" si="18"/>
        <v>SARA</v>
      </c>
      <c r="M370" s="4" t="str">
        <f t="shared" si="19"/>
        <v>desk</v>
      </c>
      <c r="N370" s="4">
        <f t="shared" si="20"/>
        <v>4</v>
      </c>
    </row>
    <row r="371" spans="1:14" x14ac:dyDescent="0.3">
      <c r="A371" s="9">
        <v>1370</v>
      </c>
      <c r="B371" s="9" t="s">
        <v>56</v>
      </c>
      <c r="C371" s="4" t="s">
        <v>38</v>
      </c>
      <c r="D371" s="4" t="s">
        <v>20</v>
      </c>
      <c r="E371" s="4" t="s">
        <v>51</v>
      </c>
      <c r="F371" s="4">
        <v>13</v>
      </c>
      <c r="G371" s="4">
        <v>337</v>
      </c>
      <c r="H371" s="4">
        <v>7</v>
      </c>
      <c r="I371" s="7">
        <v>46184</v>
      </c>
      <c r="J371" s="7">
        <v>46188</v>
      </c>
      <c r="K371" s="4" t="s">
        <v>78</v>
      </c>
      <c r="L371" s="4" t="str">
        <f t="shared" si="18"/>
        <v>ANITA</v>
      </c>
      <c r="M371" s="4" t="str">
        <f t="shared" si="19"/>
        <v>diary</v>
      </c>
      <c r="N371" s="4">
        <f t="shared" si="20"/>
        <v>5</v>
      </c>
    </row>
    <row r="372" spans="1:14" x14ac:dyDescent="0.3">
      <c r="A372" s="9">
        <v>1371</v>
      </c>
      <c r="B372" s="9" t="s">
        <v>46</v>
      </c>
      <c r="C372" s="4" t="s">
        <v>38</v>
      </c>
      <c r="D372" s="4" t="s">
        <v>24</v>
      </c>
      <c r="E372" s="4" t="s">
        <v>7</v>
      </c>
      <c r="F372" s="4">
        <v>19</v>
      </c>
      <c r="G372" s="4">
        <v>1087</v>
      </c>
      <c r="H372" s="4">
        <v>15</v>
      </c>
      <c r="I372" s="7">
        <v>46072</v>
      </c>
      <c r="J372" s="7">
        <v>46082</v>
      </c>
      <c r="K372" s="4" t="s">
        <v>79</v>
      </c>
      <c r="L372" s="4" t="str">
        <f t="shared" si="18"/>
        <v>NITIN</v>
      </c>
      <c r="M372" s="4" t="str">
        <f t="shared" si="19"/>
        <v>desk</v>
      </c>
      <c r="N372" s="4">
        <f t="shared" si="20"/>
        <v>4</v>
      </c>
    </row>
    <row r="373" spans="1:14" x14ac:dyDescent="0.3">
      <c r="A373" s="9">
        <v>1372</v>
      </c>
      <c r="B373" s="9" t="s">
        <v>46</v>
      </c>
      <c r="C373" s="4" t="s">
        <v>23</v>
      </c>
      <c r="D373" s="4" t="s">
        <v>34</v>
      </c>
      <c r="E373" s="4" t="s">
        <v>5</v>
      </c>
      <c r="F373" s="4">
        <v>9</v>
      </c>
      <c r="G373" s="4">
        <v>9551</v>
      </c>
      <c r="H373" s="4">
        <v>10</v>
      </c>
      <c r="I373" s="7">
        <v>46161</v>
      </c>
      <c r="J373" s="7">
        <v>46168</v>
      </c>
      <c r="K373" s="4" t="s">
        <v>78</v>
      </c>
      <c r="L373" s="4" t="str">
        <f t="shared" si="18"/>
        <v>NITIN</v>
      </c>
      <c r="M373" s="4" t="str">
        <f t="shared" si="19"/>
        <v>keyboard</v>
      </c>
      <c r="N373" s="4">
        <f t="shared" si="20"/>
        <v>8</v>
      </c>
    </row>
    <row r="374" spans="1:14" x14ac:dyDescent="0.3">
      <c r="A374" s="9">
        <v>1373</v>
      </c>
      <c r="B374" s="9" t="s">
        <v>52</v>
      </c>
      <c r="C374" s="4" t="s">
        <v>27</v>
      </c>
      <c r="D374" s="4" t="s">
        <v>34</v>
      </c>
      <c r="E374" s="4" t="s">
        <v>9</v>
      </c>
      <c r="F374" s="4">
        <v>11</v>
      </c>
      <c r="G374" s="4">
        <v>47930</v>
      </c>
      <c r="H374" s="4">
        <v>12</v>
      </c>
      <c r="I374" s="7">
        <v>46191</v>
      </c>
      <c r="J374" s="7">
        <v>46201</v>
      </c>
      <c r="K374" s="4" t="s">
        <v>79</v>
      </c>
      <c r="L374" s="4" t="str">
        <f t="shared" si="18"/>
        <v>MANOJ</v>
      </c>
      <c r="M374" s="4" t="str">
        <f t="shared" si="19"/>
        <v>laptop</v>
      </c>
      <c r="N374" s="4">
        <f t="shared" si="20"/>
        <v>6</v>
      </c>
    </row>
    <row r="375" spans="1:14" x14ac:dyDescent="0.3">
      <c r="A375" s="9">
        <v>1374</v>
      </c>
      <c r="B375" s="9" t="s">
        <v>54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7">
        <v>46063</v>
      </c>
      <c r="J375" s="7">
        <v>46066</v>
      </c>
      <c r="K375" s="4" t="s">
        <v>81</v>
      </c>
      <c r="L375" s="4" t="str">
        <f t="shared" si="18"/>
        <v>SARA</v>
      </c>
      <c r="M375" s="4" t="str">
        <f t="shared" si="19"/>
        <v>printer</v>
      </c>
      <c r="N375" s="4">
        <f t="shared" si="20"/>
        <v>7</v>
      </c>
    </row>
    <row r="376" spans="1:14" x14ac:dyDescent="0.3">
      <c r="A376" s="9">
        <v>1375</v>
      </c>
      <c r="B376" s="9" t="s">
        <v>44</v>
      </c>
      <c r="C376" s="4" t="s">
        <v>42</v>
      </c>
      <c r="D376" s="4" t="s">
        <v>34</v>
      </c>
      <c r="E376" s="4" t="s">
        <v>6</v>
      </c>
      <c r="F376" s="4">
        <v>20</v>
      </c>
      <c r="G376" s="4">
        <v>56766</v>
      </c>
      <c r="H376" s="4">
        <v>0</v>
      </c>
      <c r="I376" s="7">
        <v>46052</v>
      </c>
      <c r="J376" s="7">
        <v>46061</v>
      </c>
      <c r="K376" s="4" t="s">
        <v>80</v>
      </c>
      <c r="L376" s="4" t="str">
        <f t="shared" si="18"/>
        <v>KIRAN</v>
      </c>
      <c r="M376" s="4" t="str">
        <f t="shared" si="19"/>
        <v>monitor</v>
      </c>
      <c r="N376" s="4">
        <f t="shared" si="20"/>
        <v>7</v>
      </c>
    </row>
    <row r="377" spans="1:14" x14ac:dyDescent="0.3">
      <c r="A377" s="9">
        <v>1376</v>
      </c>
      <c r="B377" s="9" t="s">
        <v>50</v>
      </c>
      <c r="C377" s="4" t="s">
        <v>31</v>
      </c>
      <c r="D377" s="4" t="s">
        <v>20</v>
      </c>
      <c r="E377" s="4" t="s">
        <v>48</v>
      </c>
      <c r="F377" s="4">
        <v>20</v>
      </c>
      <c r="G377" s="4">
        <v>429</v>
      </c>
      <c r="H377" s="4">
        <v>5</v>
      </c>
      <c r="I377" s="7">
        <v>46178</v>
      </c>
      <c r="J377" s="7">
        <v>46184</v>
      </c>
      <c r="K377" s="4" t="s">
        <v>79</v>
      </c>
      <c r="L377" s="4" t="str">
        <f t="shared" si="18"/>
        <v>KOMAL</v>
      </c>
      <c r="M377" s="4" t="str">
        <f t="shared" si="19"/>
        <v>marker</v>
      </c>
      <c r="N377" s="4">
        <f t="shared" si="20"/>
        <v>6</v>
      </c>
    </row>
    <row r="378" spans="1:14" x14ac:dyDescent="0.3">
      <c r="A378" s="9">
        <v>1377</v>
      </c>
      <c r="B378" s="9" t="s">
        <v>32</v>
      </c>
      <c r="C378" s="4" t="s">
        <v>38</v>
      </c>
      <c r="D378" s="4" t="s">
        <v>24</v>
      </c>
      <c r="E378" s="4" t="s">
        <v>7</v>
      </c>
      <c r="F378" s="4">
        <v>3</v>
      </c>
      <c r="G378" s="4">
        <v>5480</v>
      </c>
      <c r="H378" s="4">
        <v>12</v>
      </c>
      <c r="I378" s="7">
        <v>46105</v>
      </c>
      <c r="J378" s="7">
        <v>46111</v>
      </c>
      <c r="K378" s="4" t="s">
        <v>80</v>
      </c>
      <c r="L378" s="4" t="str">
        <f t="shared" si="18"/>
        <v>ASHA</v>
      </c>
      <c r="M378" s="4" t="str">
        <f t="shared" si="19"/>
        <v>desk</v>
      </c>
      <c r="N378" s="4">
        <f t="shared" si="20"/>
        <v>4</v>
      </c>
    </row>
    <row r="379" spans="1:14" x14ac:dyDescent="0.3">
      <c r="A379" s="9">
        <v>1378</v>
      </c>
      <c r="B379" s="9" t="s">
        <v>53</v>
      </c>
      <c r="C379" s="4" t="s">
        <v>26</v>
      </c>
      <c r="D379" s="4" t="s">
        <v>34</v>
      </c>
      <c r="E379" s="4" t="s">
        <v>6</v>
      </c>
      <c r="F379" s="4">
        <v>15</v>
      </c>
      <c r="G379" s="4">
        <v>22693</v>
      </c>
      <c r="H379" s="4">
        <v>12</v>
      </c>
      <c r="I379" s="7">
        <v>46074</v>
      </c>
      <c r="J379" s="7">
        <v>46080</v>
      </c>
      <c r="K379" s="4" t="s">
        <v>81</v>
      </c>
      <c r="L379" s="4" t="str">
        <f t="shared" si="18"/>
        <v>SNEHA</v>
      </c>
      <c r="M379" s="4" t="str">
        <f t="shared" si="19"/>
        <v>monitor</v>
      </c>
      <c r="N379" s="4">
        <f t="shared" si="20"/>
        <v>7</v>
      </c>
    </row>
    <row r="380" spans="1:14" x14ac:dyDescent="0.3">
      <c r="A380" s="9">
        <v>1379</v>
      </c>
      <c r="B380" s="9" t="s">
        <v>45</v>
      </c>
      <c r="C380" s="4" t="s">
        <v>23</v>
      </c>
      <c r="D380" s="4" t="s">
        <v>20</v>
      </c>
      <c r="E380" s="4" t="s">
        <v>21</v>
      </c>
      <c r="F380" s="4">
        <v>11</v>
      </c>
      <c r="G380" s="4">
        <v>136</v>
      </c>
      <c r="H380" s="4">
        <v>15</v>
      </c>
      <c r="I380" s="7">
        <v>46106</v>
      </c>
      <c r="J380" s="7">
        <v>46107</v>
      </c>
      <c r="K380" s="4" t="s">
        <v>79</v>
      </c>
      <c r="L380" s="4" t="str">
        <f t="shared" si="18"/>
        <v>YASH</v>
      </c>
      <c r="M380" s="4" t="str">
        <f t="shared" si="19"/>
        <v>notebook</v>
      </c>
      <c r="N380" s="4">
        <f t="shared" si="20"/>
        <v>8</v>
      </c>
    </row>
    <row r="381" spans="1:14" x14ac:dyDescent="0.3">
      <c r="A381" s="9">
        <v>1380</v>
      </c>
      <c r="B381" s="9" t="s">
        <v>50</v>
      </c>
      <c r="C381" s="4" t="s">
        <v>42</v>
      </c>
      <c r="D381" s="4" t="s">
        <v>20</v>
      </c>
      <c r="E381" s="4" t="s">
        <v>51</v>
      </c>
      <c r="F381" s="4">
        <v>3</v>
      </c>
      <c r="G381" s="4">
        <v>412</v>
      </c>
      <c r="H381" s="4">
        <v>7</v>
      </c>
      <c r="I381" s="7">
        <v>46128</v>
      </c>
      <c r="J381" s="7">
        <v>46138</v>
      </c>
      <c r="K381" s="4" t="s">
        <v>80</v>
      </c>
      <c r="L381" s="4" t="str">
        <f t="shared" si="18"/>
        <v>KOMAL</v>
      </c>
      <c r="M381" s="4" t="str">
        <f t="shared" si="19"/>
        <v>diary</v>
      </c>
      <c r="N381" s="4">
        <f t="shared" si="20"/>
        <v>5</v>
      </c>
    </row>
    <row r="382" spans="1:14" x14ac:dyDescent="0.3">
      <c r="A382" s="9">
        <v>1381</v>
      </c>
      <c r="B382" s="9" t="s">
        <v>53</v>
      </c>
      <c r="C382" s="4" t="s">
        <v>33</v>
      </c>
      <c r="D382" s="4" t="s">
        <v>24</v>
      </c>
      <c r="E382" s="4" t="s">
        <v>8</v>
      </c>
      <c r="F382" s="4">
        <v>5</v>
      </c>
      <c r="G382" s="4">
        <v>7484</v>
      </c>
      <c r="H382" s="4">
        <v>2</v>
      </c>
      <c r="I382" s="7">
        <v>46089</v>
      </c>
      <c r="J382" s="7">
        <v>46093</v>
      </c>
      <c r="K382" s="4" t="s">
        <v>79</v>
      </c>
      <c r="L382" s="4" t="str">
        <f t="shared" si="18"/>
        <v>SNEHA</v>
      </c>
      <c r="M382" s="4" t="str">
        <f t="shared" si="19"/>
        <v>chair</v>
      </c>
      <c r="N382" s="4">
        <f t="shared" si="20"/>
        <v>5</v>
      </c>
    </row>
    <row r="383" spans="1:14" x14ac:dyDescent="0.3">
      <c r="A383" s="9">
        <v>1382</v>
      </c>
      <c r="B383" s="9" t="s">
        <v>47</v>
      </c>
      <c r="C383" s="4" t="s">
        <v>33</v>
      </c>
      <c r="D383" s="4" t="s">
        <v>34</v>
      </c>
      <c r="E383" s="4" t="s">
        <v>9</v>
      </c>
      <c r="F383" s="4">
        <v>11</v>
      </c>
      <c r="G383" s="4">
        <v>36198</v>
      </c>
      <c r="H383" s="4">
        <v>0</v>
      </c>
      <c r="I383" s="7">
        <v>46130</v>
      </c>
      <c r="J383" s="7">
        <v>46134</v>
      </c>
      <c r="K383" s="4" t="s">
        <v>78</v>
      </c>
      <c r="L383" s="4" t="str">
        <f t="shared" si="18"/>
        <v>AJAY</v>
      </c>
      <c r="M383" s="4" t="str">
        <f t="shared" si="19"/>
        <v>laptop</v>
      </c>
      <c r="N383" s="4">
        <f t="shared" si="20"/>
        <v>6</v>
      </c>
    </row>
    <row r="384" spans="1:14" x14ac:dyDescent="0.3">
      <c r="A384" s="9">
        <v>1383</v>
      </c>
      <c r="B384" s="9" t="s">
        <v>32</v>
      </c>
      <c r="C384" s="4" t="s">
        <v>19</v>
      </c>
      <c r="D384" s="4" t="s">
        <v>20</v>
      </c>
      <c r="E384" s="4" t="s">
        <v>51</v>
      </c>
      <c r="F384" s="4">
        <v>14</v>
      </c>
      <c r="G384" s="4">
        <v>334</v>
      </c>
      <c r="H384" s="4">
        <v>10</v>
      </c>
      <c r="I384" s="7">
        <v>46196</v>
      </c>
      <c r="J384" s="7">
        <v>46203</v>
      </c>
      <c r="K384" s="4" t="s">
        <v>78</v>
      </c>
      <c r="L384" s="4" t="str">
        <f t="shared" si="18"/>
        <v>ASHA</v>
      </c>
      <c r="M384" s="4" t="str">
        <f t="shared" si="19"/>
        <v>diary</v>
      </c>
      <c r="N384" s="4">
        <f t="shared" si="20"/>
        <v>5</v>
      </c>
    </row>
    <row r="385" spans="1:14" x14ac:dyDescent="0.3">
      <c r="A385" s="9">
        <v>1384</v>
      </c>
      <c r="B385" s="9" t="s">
        <v>56</v>
      </c>
      <c r="C385" s="4" t="s">
        <v>19</v>
      </c>
      <c r="D385" s="4" t="s">
        <v>34</v>
      </c>
      <c r="E385" s="4" t="s">
        <v>5</v>
      </c>
      <c r="F385" s="4">
        <v>15</v>
      </c>
      <c r="G385" s="4">
        <v>38116</v>
      </c>
      <c r="H385" s="4">
        <v>0</v>
      </c>
      <c r="I385" s="7">
        <v>46074</v>
      </c>
      <c r="J385" s="7">
        <v>46078</v>
      </c>
      <c r="K385" s="4" t="s">
        <v>49</v>
      </c>
      <c r="L385" s="4" t="str">
        <f t="shared" si="18"/>
        <v>ANITA</v>
      </c>
      <c r="M385" s="4" t="str">
        <f t="shared" si="19"/>
        <v>keyboard</v>
      </c>
      <c r="N385" s="4">
        <f t="shared" si="20"/>
        <v>8</v>
      </c>
    </row>
    <row r="386" spans="1:14" x14ac:dyDescent="0.3">
      <c r="A386" s="9">
        <v>1385</v>
      </c>
      <c r="B386" s="9" t="s">
        <v>28</v>
      </c>
      <c r="C386" s="4" t="s">
        <v>33</v>
      </c>
      <c r="D386" s="4" t="s">
        <v>34</v>
      </c>
      <c r="E386" s="4" t="s">
        <v>5</v>
      </c>
      <c r="F386" s="4">
        <v>12</v>
      </c>
      <c r="G386" s="4">
        <v>61360</v>
      </c>
      <c r="H386" s="4">
        <v>10</v>
      </c>
      <c r="I386" s="7">
        <v>46048</v>
      </c>
      <c r="J386" s="7">
        <v>46053</v>
      </c>
      <c r="K386" s="4" t="s">
        <v>81</v>
      </c>
      <c r="L386" s="4" t="str">
        <f t="shared" si="18"/>
        <v>VIKRAM</v>
      </c>
      <c r="M386" s="4" t="str">
        <f t="shared" si="19"/>
        <v>keyboard</v>
      </c>
      <c r="N386" s="4">
        <f t="shared" si="20"/>
        <v>8</v>
      </c>
    </row>
    <row r="387" spans="1:14" x14ac:dyDescent="0.3">
      <c r="A387" s="9">
        <v>1386</v>
      </c>
      <c r="B387" s="9" t="s">
        <v>29</v>
      </c>
      <c r="C387" s="4" t="s">
        <v>31</v>
      </c>
      <c r="D387" s="4" t="s">
        <v>24</v>
      </c>
      <c r="E387" s="4" t="s">
        <v>8</v>
      </c>
      <c r="F387" s="4">
        <v>9</v>
      </c>
      <c r="G387" s="4">
        <v>7509</v>
      </c>
      <c r="H387" s="4">
        <v>5</v>
      </c>
      <c r="I387" s="7">
        <v>46162</v>
      </c>
      <c r="J387" s="7">
        <v>46171</v>
      </c>
      <c r="K387" s="4" t="s">
        <v>81</v>
      </c>
      <c r="L387" s="4" t="str">
        <f t="shared" si="18"/>
        <v>ARJUN</v>
      </c>
      <c r="M387" s="4" t="str">
        <f t="shared" si="19"/>
        <v>chair</v>
      </c>
      <c r="N387" s="4">
        <f t="shared" si="20"/>
        <v>5</v>
      </c>
    </row>
    <row r="388" spans="1:14" x14ac:dyDescent="0.3">
      <c r="A388" s="9">
        <v>1387</v>
      </c>
      <c r="B388" s="9" t="s">
        <v>52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7">
        <v>46102</v>
      </c>
      <c r="J388" s="7">
        <v>46112</v>
      </c>
      <c r="K388" s="4" t="s">
        <v>80</v>
      </c>
      <c r="L388" s="4" t="str">
        <f t="shared" si="18"/>
        <v>MANOJ</v>
      </c>
      <c r="M388" s="4" t="str">
        <f t="shared" si="19"/>
        <v>printer</v>
      </c>
      <c r="N388" s="4">
        <f t="shared" si="20"/>
        <v>7</v>
      </c>
    </row>
    <row r="389" spans="1:14" x14ac:dyDescent="0.3">
      <c r="A389" s="9">
        <v>1388</v>
      </c>
      <c r="B389" s="9" t="s">
        <v>53</v>
      </c>
      <c r="C389" s="4" t="s">
        <v>31</v>
      </c>
      <c r="D389" s="4" t="s">
        <v>24</v>
      </c>
      <c r="E389" s="4" t="s">
        <v>8</v>
      </c>
      <c r="F389" s="4">
        <v>12</v>
      </c>
      <c r="G389" s="4">
        <v>11662</v>
      </c>
      <c r="H389" s="4">
        <v>12</v>
      </c>
      <c r="I389" s="7">
        <v>46094</v>
      </c>
      <c r="J389" s="7">
        <v>46096</v>
      </c>
      <c r="K389" s="4" t="s">
        <v>79</v>
      </c>
      <c r="L389" s="4" t="str">
        <f t="shared" si="18"/>
        <v>SNEHA</v>
      </c>
      <c r="M389" s="4" t="str">
        <f t="shared" si="19"/>
        <v>chair</v>
      </c>
      <c r="N389" s="4">
        <f t="shared" si="20"/>
        <v>5</v>
      </c>
    </row>
    <row r="390" spans="1:14" x14ac:dyDescent="0.3">
      <c r="A390" s="9">
        <v>1389</v>
      </c>
      <c r="B390" s="9" t="s">
        <v>32</v>
      </c>
      <c r="C390" s="4" t="s">
        <v>19</v>
      </c>
      <c r="D390" s="4" t="s">
        <v>34</v>
      </c>
      <c r="E390" s="4" t="s">
        <v>40</v>
      </c>
      <c r="F390" s="4">
        <v>3</v>
      </c>
      <c r="G390" s="4">
        <v>56380</v>
      </c>
      <c r="H390" s="4">
        <v>5</v>
      </c>
      <c r="I390" s="7">
        <v>46044</v>
      </c>
      <c r="J390" s="7">
        <v>46048</v>
      </c>
      <c r="K390" s="4" t="s">
        <v>81</v>
      </c>
      <c r="L390" s="4" t="str">
        <f t="shared" si="18"/>
        <v>ASHA</v>
      </c>
      <c r="M390" s="4" t="str">
        <f t="shared" si="19"/>
        <v>headset</v>
      </c>
      <c r="N390" s="4">
        <f t="shared" si="20"/>
        <v>7</v>
      </c>
    </row>
    <row r="391" spans="1:14" x14ac:dyDescent="0.3">
      <c r="A391" s="9">
        <v>1390</v>
      </c>
      <c r="B391" s="9" t="s">
        <v>55</v>
      </c>
      <c r="C391" s="4" t="s">
        <v>42</v>
      </c>
      <c r="D391" s="4" t="s">
        <v>24</v>
      </c>
      <c r="E391" s="4" t="s">
        <v>7</v>
      </c>
      <c r="F391" s="4">
        <v>9</v>
      </c>
      <c r="G391" s="4">
        <v>7670</v>
      </c>
      <c r="H391" s="4">
        <v>0</v>
      </c>
      <c r="I391" s="7">
        <v>46076</v>
      </c>
      <c r="J391" s="7">
        <v>46081</v>
      </c>
      <c r="K391" s="4" t="s">
        <v>81</v>
      </c>
      <c r="L391" s="4" t="str">
        <f t="shared" si="18"/>
        <v>ROHAN</v>
      </c>
      <c r="M391" s="4" t="str">
        <f t="shared" si="19"/>
        <v>desk</v>
      </c>
      <c r="N391" s="4">
        <f t="shared" si="20"/>
        <v>4</v>
      </c>
    </row>
    <row r="392" spans="1:14" x14ac:dyDescent="0.3">
      <c r="A392" s="9">
        <v>1391</v>
      </c>
      <c r="B392" s="9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7">
        <v>46100</v>
      </c>
      <c r="J392" s="7">
        <v>46103</v>
      </c>
      <c r="K392" s="4" t="s">
        <v>80</v>
      </c>
      <c r="L392" s="4" t="str">
        <f t="shared" si="18"/>
        <v>NEHA</v>
      </c>
      <c r="M392" s="4" t="str">
        <f t="shared" si="19"/>
        <v>printer</v>
      </c>
      <c r="N392" s="4">
        <f t="shared" si="20"/>
        <v>7</v>
      </c>
    </row>
    <row r="393" spans="1:14" x14ac:dyDescent="0.3">
      <c r="A393" s="9">
        <v>1392</v>
      </c>
      <c r="B393" s="9" t="s">
        <v>49</v>
      </c>
      <c r="C393" s="4" t="s">
        <v>42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7">
        <v>46124</v>
      </c>
      <c r="J393" s="7">
        <v>46125</v>
      </c>
      <c r="K393" s="4" t="s">
        <v>49</v>
      </c>
      <c r="L393" s="4" t="str">
        <f t="shared" si="18"/>
        <v>PRIYA</v>
      </c>
      <c r="M393" s="4" t="str">
        <f t="shared" si="19"/>
        <v>printer</v>
      </c>
      <c r="N393" s="4">
        <f t="shared" si="20"/>
        <v>7</v>
      </c>
    </row>
    <row r="394" spans="1:14" x14ac:dyDescent="0.3">
      <c r="A394" s="9">
        <v>1393</v>
      </c>
      <c r="B394" s="9" t="s">
        <v>30</v>
      </c>
      <c r="C394" s="4" t="s">
        <v>27</v>
      </c>
      <c r="D394" s="4" t="s">
        <v>34</v>
      </c>
      <c r="E394" s="4" t="s">
        <v>6</v>
      </c>
      <c r="F394" s="4">
        <v>17</v>
      </c>
      <c r="G394" s="4">
        <v>30351</v>
      </c>
      <c r="H394" s="4">
        <v>15</v>
      </c>
      <c r="I394" s="7">
        <v>46047</v>
      </c>
      <c r="J394" s="7">
        <v>46051</v>
      </c>
      <c r="K394" s="4" t="s">
        <v>81</v>
      </c>
      <c r="L394" s="4" t="str">
        <f t="shared" si="18"/>
        <v>NEHA</v>
      </c>
      <c r="M394" s="4" t="str">
        <f t="shared" si="19"/>
        <v>monitor</v>
      </c>
      <c r="N394" s="4">
        <f t="shared" si="20"/>
        <v>7</v>
      </c>
    </row>
    <row r="395" spans="1:14" x14ac:dyDescent="0.3">
      <c r="A395" s="9">
        <v>1394</v>
      </c>
      <c r="B395" s="9" t="s">
        <v>52</v>
      </c>
      <c r="C395" s="4" t="s">
        <v>19</v>
      </c>
      <c r="D395" s="4" t="s">
        <v>20</v>
      </c>
      <c r="E395" s="4" t="s">
        <v>21</v>
      </c>
      <c r="F395" s="4">
        <v>10</v>
      </c>
      <c r="G395" s="4">
        <v>138</v>
      </c>
      <c r="H395" s="4">
        <v>2</v>
      </c>
      <c r="I395" s="7">
        <v>46056</v>
      </c>
      <c r="J395" s="7">
        <v>46057</v>
      </c>
      <c r="K395" s="4" t="s">
        <v>78</v>
      </c>
      <c r="L395" s="4" t="str">
        <f t="shared" si="18"/>
        <v>MANOJ</v>
      </c>
      <c r="M395" s="4" t="str">
        <f t="shared" si="19"/>
        <v>notebook</v>
      </c>
      <c r="N395" s="4">
        <f t="shared" si="20"/>
        <v>8</v>
      </c>
    </row>
    <row r="396" spans="1:14" x14ac:dyDescent="0.3">
      <c r="A396" s="9">
        <v>1395</v>
      </c>
      <c r="B396" s="9" t="s">
        <v>52</v>
      </c>
      <c r="C396" s="4" t="s">
        <v>33</v>
      </c>
      <c r="D396" s="4" t="s">
        <v>24</v>
      </c>
      <c r="E396" s="4" t="s">
        <v>43</v>
      </c>
      <c r="F396" s="4">
        <v>18</v>
      </c>
      <c r="G396" s="4">
        <v>10402</v>
      </c>
      <c r="H396" s="4">
        <v>15</v>
      </c>
      <c r="I396" s="7">
        <v>46062</v>
      </c>
      <c r="J396" s="7">
        <v>46067</v>
      </c>
      <c r="K396" s="4" t="s">
        <v>49</v>
      </c>
      <c r="L396" s="4" t="str">
        <f t="shared" si="18"/>
        <v>MANOJ</v>
      </c>
      <c r="M396" s="4" t="str">
        <f t="shared" si="19"/>
        <v>bookshelf</v>
      </c>
      <c r="N396" s="4">
        <f t="shared" si="20"/>
        <v>9</v>
      </c>
    </row>
    <row r="397" spans="1:14" x14ac:dyDescent="0.3">
      <c r="A397" s="9">
        <v>1396</v>
      </c>
      <c r="B397" s="9" t="s">
        <v>25</v>
      </c>
      <c r="C397" s="4" t="s">
        <v>38</v>
      </c>
      <c r="D397" s="4" t="s">
        <v>20</v>
      </c>
      <c r="E397" s="4" t="s">
        <v>51</v>
      </c>
      <c r="F397" s="4">
        <v>8</v>
      </c>
      <c r="G397" s="4">
        <v>54</v>
      </c>
      <c r="H397" s="4">
        <v>15</v>
      </c>
      <c r="I397" s="7">
        <v>46031</v>
      </c>
      <c r="J397" s="7">
        <v>46035</v>
      </c>
      <c r="K397" s="4" t="s">
        <v>78</v>
      </c>
      <c r="L397" s="4" t="str">
        <f t="shared" si="18"/>
        <v>MEERA</v>
      </c>
      <c r="M397" s="4" t="str">
        <f t="shared" si="19"/>
        <v>diary</v>
      </c>
      <c r="N397" s="4">
        <f t="shared" si="20"/>
        <v>5</v>
      </c>
    </row>
    <row r="398" spans="1:14" x14ac:dyDescent="0.3">
      <c r="A398" s="9">
        <v>1397</v>
      </c>
      <c r="B398" s="9" t="s">
        <v>25</v>
      </c>
      <c r="C398" s="4" t="s">
        <v>33</v>
      </c>
      <c r="D398" s="4" t="s">
        <v>24</v>
      </c>
      <c r="E398" s="4" t="s">
        <v>10</v>
      </c>
      <c r="F398" s="4">
        <v>1</v>
      </c>
      <c r="G398" s="4">
        <v>8948</v>
      </c>
      <c r="H398" s="4">
        <v>5</v>
      </c>
      <c r="I398" s="7">
        <v>46194</v>
      </c>
      <c r="J398" s="7">
        <v>46201</v>
      </c>
      <c r="K398" s="4" t="s">
        <v>81</v>
      </c>
      <c r="L398" s="4" t="str">
        <f t="shared" si="18"/>
        <v>MEERA</v>
      </c>
      <c r="M398" s="4" t="str">
        <f t="shared" si="19"/>
        <v>table</v>
      </c>
      <c r="N398" s="4">
        <f t="shared" si="20"/>
        <v>5</v>
      </c>
    </row>
    <row r="399" spans="1:14" x14ac:dyDescent="0.3">
      <c r="A399" s="9">
        <v>1398</v>
      </c>
      <c r="B399" s="9" t="s">
        <v>55</v>
      </c>
      <c r="C399" s="4" t="s">
        <v>42</v>
      </c>
      <c r="D399" s="4" t="s">
        <v>34</v>
      </c>
      <c r="E399" s="4" t="s">
        <v>5</v>
      </c>
      <c r="F399" s="4">
        <v>12</v>
      </c>
      <c r="G399" s="4">
        <v>10668</v>
      </c>
      <c r="H399" s="4">
        <v>0</v>
      </c>
      <c r="I399" s="7">
        <v>46170</v>
      </c>
      <c r="J399" s="7">
        <v>46176</v>
      </c>
      <c r="K399" s="4" t="s">
        <v>78</v>
      </c>
      <c r="L399" s="4" t="str">
        <f t="shared" si="18"/>
        <v>ROHAN</v>
      </c>
      <c r="M399" s="4" t="str">
        <f t="shared" si="19"/>
        <v>keyboard</v>
      </c>
      <c r="N399" s="4">
        <f t="shared" si="20"/>
        <v>8</v>
      </c>
    </row>
    <row r="400" spans="1:14" x14ac:dyDescent="0.3">
      <c r="A400" s="9">
        <v>1399</v>
      </c>
      <c r="B400" s="9" t="s">
        <v>46</v>
      </c>
      <c r="C400" s="4" t="s">
        <v>31</v>
      </c>
      <c r="D400" s="4" t="s">
        <v>20</v>
      </c>
      <c r="E400" s="4" t="s">
        <v>21</v>
      </c>
      <c r="F400" s="4">
        <v>15</v>
      </c>
      <c r="G400" s="4">
        <v>87</v>
      </c>
      <c r="H400" s="4">
        <v>15</v>
      </c>
      <c r="I400" s="7">
        <v>46089</v>
      </c>
      <c r="J400" s="7">
        <v>46093</v>
      </c>
      <c r="K400" s="4" t="s">
        <v>79</v>
      </c>
      <c r="L400" s="4" t="str">
        <f t="shared" si="18"/>
        <v>NITIN</v>
      </c>
      <c r="M400" s="4" t="str">
        <f t="shared" si="19"/>
        <v>notebook</v>
      </c>
      <c r="N400" s="4">
        <f t="shared" si="20"/>
        <v>8</v>
      </c>
    </row>
    <row r="401" spans="1:14" x14ac:dyDescent="0.3">
      <c r="A401" s="9">
        <v>1400</v>
      </c>
      <c r="B401" s="9" t="s">
        <v>39</v>
      </c>
      <c r="C401" s="4" t="s">
        <v>26</v>
      </c>
      <c r="D401" s="4" t="s">
        <v>34</v>
      </c>
      <c r="E401" s="4" t="s">
        <v>35</v>
      </c>
      <c r="F401" s="4">
        <v>13</v>
      </c>
      <c r="G401" s="4">
        <v>52411</v>
      </c>
      <c r="H401" s="4">
        <v>15</v>
      </c>
      <c r="I401" s="7">
        <v>46090</v>
      </c>
      <c r="J401" s="7">
        <v>46092</v>
      </c>
      <c r="K401" s="4" t="s">
        <v>79</v>
      </c>
      <c r="L401" s="4" t="str">
        <f t="shared" si="18"/>
        <v>DEEPAK</v>
      </c>
      <c r="M401" s="4" t="str">
        <f t="shared" si="19"/>
        <v>printer</v>
      </c>
      <c r="N401" s="4">
        <f t="shared" si="20"/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0549-F466-431D-83C4-023AF552F287}">
  <dimension ref="A1:N401"/>
  <sheetViews>
    <sheetView workbookViewId="0">
      <pane ySplit="1" topLeftCell="A2" activePane="bottomLeft" state="frozen"/>
      <selection pane="bottomLeft" sqref="A1:N1"/>
    </sheetView>
  </sheetViews>
  <sheetFormatPr defaultRowHeight="14.4" x14ac:dyDescent="0.3"/>
  <cols>
    <col min="1" max="1" width="8.5546875" bestFit="1" customWidth="1"/>
    <col min="2" max="2" width="9.10937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.33203125" bestFit="1" customWidth="1"/>
    <col min="7" max="7" width="9.6640625" bestFit="1" customWidth="1"/>
    <col min="8" max="8" width="10.77734375" bestFit="1" customWidth="1"/>
    <col min="9" max="9" width="10.6640625" bestFit="1" customWidth="1"/>
    <col min="10" max="10" width="12.6640625" bestFit="1" customWidth="1"/>
    <col min="11" max="11" width="11" bestFit="1" customWidth="1"/>
    <col min="12" max="12" width="11.6640625" bestFit="1" customWidth="1"/>
    <col min="13" max="13" width="17.5546875" bestFit="1" customWidth="1"/>
    <col min="14" max="14" width="12.6640625" bestFit="1" customWidth="1"/>
  </cols>
  <sheetData>
    <row r="1" spans="1:14" x14ac:dyDescent="0.3">
      <c r="A1" s="11" t="s">
        <v>0</v>
      </c>
      <c r="B1" s="11" t="s">
        <v>13</v>
      </c>
      <c r="C1" s="10" t="s">
        <v>14</v>
      </c>
      <c r="D1" s="10" t="s">
        <v>15</v>
      </c>
      <c r="E1" s="10" t="s">
        <v>1</v>
      </c>
      <c r="F1" s="10" t="s">
        <v>4</v>
      </c>
      <c r="G1" s="10" t="s">
        <v>16</v>
      </c>
      <c r="H1" s="10" t="s">
        <v>17</v>
      </c>
      <c r="I1" s="10" t="s">
        <v>2</v>
      </c>
      <c r="J1" s="10" t="s">
        <v>3</v>
      </c>
      <c r="K1" s="13" t="s">
        <v>77</v>
      </c>
      <c r="L1" s="6" t="s">
        <v>74</v>
      </c>
      <c r="M1" s="6" t="s">
        <v>75</v>
      </c>
      <c r="N1" s="6" t="s">
        <v>76</v>
      </c>
    </row>
    <row r="2" spans="1:14" x14ac:dyDescent="0.3">
      <c r="A2" s="9">
        <v>1001</v>
      </c>
      <c r="B2" s="9" t="s">
        <v>18</v>
      </c>
      <c r="C2" s="4" t="s">
        <v>19</v>
      </c>
      <c r="D2" s="4" t="s">
        <v>20</v>
      </c>
      <c r="E2" s="4" t="s">
        <v>21</v>
      </c>
      <c r="F2" s="4">
        <v>3</v>
      </c>
      <c r="G2" s="4">
        <v>222</v>
      </c>
      <c r="H2" s="4">
        <v>15</v>
      </c>
      <c r="I2" s="7">
        <v>46081</v>
      </c>
      <c r="J2" s="7">
        <v>46083</v>
      </c>
      <c r="K2" s="4" t="s">
        <v>78</v>
      </c>
      <c r="L2" s="7">
        <f ca="1">TODAY()</f>
        <v>46297</v>
      </c>
      <c r="M2" s="14">
        <f ca="1">NOW()</f>
        <v>46297.119078935182</v>
      </c>
      <c r="N2" s="4">
        <f>DATEDIF(I2,J2, "d")</f>
        <v>2</v>
      </c>
    </row>
    <row r="3" spans="1:14" x14ac:dyDescent="0.3">
      <c r="A3" s="9">
        <v>1002</v>
      </c>
      <c r="B3" s="9" t="s">
        <v>22</v>
      </c>
      <c r="C3" s="4" t="s">
        <v>23</v>
      </c>
      <c r="D3" s="4" t="s">
        <v>24</v>
      </c>
      <c r="E3" s="4" t="s">
        <v>7</v>
      </c>
      <c r="F3" s="4">
        <v>7</v>
      </c>
      <c r="G3" s="4">
        <v>8448</v>
      </c>
      <c r="H3" s="4">
        <v>12</v>
      </c>
      <c r="I3" s="7">
        <v>46174</v>
      </c>
      <c r="J3" s="7">
        <v>46179</v>
      </c>
      <c r="K3" s="4" t="s">
        <v>79</v>
      </c>
      <c r="L3" s="7">
        <f t="shared" ref="L3:L66" ca="1" si="0">TODAY()</f>
        <v>46297</v>
      </c>
      <c r="M3" s="14">
        <f t="shared" ref="M3:M66" ca="1" si="1">NOW()</f>
        <v>46297.119078935182</v>
      </c>
      <c r="N3" s="4">
        <f t="shared" ref="N3:N66" si="2">DATEDIF(I3,J3, "d")</f>
        <v>5</v>
      </c>
    </row>
    <row r="4" spans="1:14" x14ac:dyDescent="0.3">
      <c r="A4" s="9">
        <v>1003</v>
      </c>
      <c r="B4" s="9" t="s">
        <v>25</v>
      </c>
      <c r="C4" s="4" t="s">
        <v>26</v>
      </c>
      <c r="D4" s="4" t="s">
        <v>24</v>
      </c>
      <c r="E4" s="4" t="s">
        <v>10</v>
      </c>
      <c r="F4" s="4">
        <v>20</v>
      </c>
      <c r="G4" s="4">
        <v>2123</v>
      </c>
      <c r="H4" s="4">
        <v>15</v>
      </c>
      <c r="I4" s="7">
        <v>46183</v>
      </c>
      <c r="J4" s="7">
        <v>46192</v>
      </c>
      <c r="K4" s="4" t="s">
        <v>80</v>
      </c>
      <c r="L4" s="7">
        <f t="shared" ca="1" si="0"/>
        <v>46297</v>
      </c>
      <c r="M4" s="14">
        <f t="shared" ca="1" si="1"/>
        <v>46297.119078935182</v>
      </c>
      <c r="N4" s="4">
        <f t="shared" si="2"/>
        <v>9</v>
      </c>
    </row>
    <row r="5" spans="1:14" x14ac:dyDescent="0.3">
      <c r="A5" s="9">
        <v>1004</v>
      </c>
      <c r="B5" s="9" t="s">
        <v>22</v>
      </c>
      <c r="C5" s="4" t="s">
        <v>27</v>
      </c>
      <c r="D5" s="4" t="s">
        <v>24</v>
      </c>
      <c r="E5" s="4" t="s">
        <v>10</v>
      </c>
      <c r="F5" s="4">
        <v>16</v>
      </c>
      <c r="G5" s="4">
        <v>11739</v>
      </c>
      <c r="H5" s="4">
        <v>12</v>
      </c>
      <c r="I5" s="7">
        <v>46034</v>
      </c>
      <c r="J5" s="7">
        <v>46040</v>
      </c>
      <c r="K5" s="4" t="s">
        <v>79</v>
      </c>
      <c r="L5" s="7">
        <f t="shared" ca="1" si="0"/>
        <v>46297</v>
      </c>
      <c r="M5" s="14">
        <f t="shared" ca="1" si="1"/>
        <v>46297.119078935182</v>
      </c>
      <c r="N5" s="4">
        <f t="shared" si="2"/>
        <v>6</v>
      </c>
    </row>
    <row r="6" spans="1:14" x14ac:dyDescent="0.3">
      <c r="A6" s="9">
        <v>1005</v>
      </c>
      <c r="B6" s="9" t="s">
        <v>28</v>
      </c>
      <c r="C6" s="4" t="s">
        <v>23</v>
      </c>
      <c r="D6" s="4" t="s">
        <v>20</v>
      </c>
      <c r="E6" s="4" t="s">
        <v>21</v>
      </c>
      <c r="F6" s="4">
        <v>18</v>
      </c>
      <c r="G6" s="4">
        <v>70</v>
      </c>
      <c r="H6" s="4">
        <v>0</v>
      </c>
      <c r="I6" s="7">
        <v>46171</v>
      </c>
      <c r="J6" s="7">
        <v>46179</v>
      </c>
      <c r="K6" s="4" t="s">
        <v>80</v>
      </c>
      <c r="L6" s="7">
        <f t="shared" ca="1" si="0"/>
        <v>46297</v>
      </c>
      <c r="M6" s="14">
        <f t="shared" ca="1" si="1"/>
        <v>46297.119078935182</v>
      </c>
      <c r="N6" s="4">
        <f t="shared" si="2"/>
        <v>8</v>
      </c>
    </row>
    <row r="7" spans="1:14" x14ac:dyDescent="0.3">
      <c r="A7" s="9">
        <v>1006</v>
      </c>
      <c r="B7" s="9" t="s">
        <v>29</v>
      </c>
      <c r="C7" s="4" t="s">
        <v>27</v>
      </c>
      <c r="D7" s="4" t="s">
        <v>24</v>
      </c>
      <c r="E7" s="4" t="s">
        <v>8</v>
      </c>
      <c r="F7" s="4">
        <v>3</v>
      </c>
      <c r="G7" s="4">
        <v>2714</v>
      </c>
      <c r="H7" s="4">
        <v>5</v>
      </c>
      <c r="I7" s="7">
        <v>46055</v>
      </c>
      <c r="J7" s="7">
        <v>46062</v>
      </c>
      <c r="K7" s="4" t="s">
        <v>49</v>
      </c>
      <c r="L7" s="7">
        <f t="shared" ca="1" si="0"/>
        <v>46297</v>
      </c>
      <c r="M7" s="14">
        <f t="shared" ca="1" si="1"/>
        <v>46297.119078935182</v>
      </c>
      <c r="N7" s="4">
        <f t="shared" si="2"/>
        <v>7</v>
      </c>
    </row>
    <row r="8" spans="1:14" x14ac:dyDescent="0.3">
      <c r="A8" s="9">
        <v>1007</v>
      </c>
      <c r="B8" s="9" t="s">
        <v>25</v>
      </c>
      <c r="C8" s="4" t="s">
        <v>26</v>
      </c>
      <c r="D8" s="4" t="s">
        <v>20</v>
      </c>
      <c r="E8" s="4" t="s">
        <v>21</v>
      </c>
      <c r="F8" s="4">
        <v>19</v>
      </c>
      <c r="G8" s="4">
        <v>149</v>
      </c>
      <c r="H8" s="4">
        <v>7</v>
      </c>
      <c r="I8" s="7">
        <v>46162</v>
      </c>
      <c r="J8" s="7">
        <v>46168</v>
      </c>
      <c r="K8" s="4" t="s">
        <v>80</v>
      </c>
      <c r="L8" s="7">
        <f t="shared" ca="1" si="0"/>
        <v>46297</v>
      </c>
      <c r="M8" s="14">
        <f t="shared" ca="1" si="1"/>
        <v>46297.119078935182</v>
      </c>
      <c r="N8" s="4">
        <f t="shared" si="2"/>
        <v>6</v>
      </c>
    </row>
    <row r="9" spans="1:14" x14ac:dyDescent="0.3">
      <c r="A9" s="9">
        <v>1008</v>
      </c>
      <c r="B9" s="9" t="s">
        <v>30</v>
      </c>
      <c r="C9" s="4" t="s">
        <v>31</v>
      </c>
      <c r="D9" s="4" t="s">
        <v>24</v>
      </c>
      <c r="E9" s="4" t="s">
        <v>8</v>
      </c>
      <c r="F9" s="4">
        <v>1</v>
      </c>
      <c r="G9" s="4">
        <v>1134</v>
      </c>
      <c r="H9" s="4">
        <v>0</v>
      </c>
      <c r="I9" s="7">
        <v>46033</v>
      </c>
      <c r="J9" s="7">
        <v>46041</v>
      </c>
      <c r="K9" s="4" t="s">
        <v>80</v>
      </c>
      <c r="L9" s="7">
        <f t="shared" ca="1" si="0"/>
        <v>46297</v>
      </c>
      <c r="M9" s="14">
        <f t="shared" ca="1" si="1"/>
        <v>46297.119078935182</v>
      </c>
      <c r="N9" s="4">
        <f t="shared" si="2"/>
        <v>8</v>
      </c>
    </row>
    <row r="10" spans="1:14" x14ac:dyDescent="0.3">
      <c r="A10" s="9">
        <v>1009</v>
      </c>
      <c r="B10" s="9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7">
        <v>46183</v>
      </c>
      <c r="J10" s="7">
        <v>46193</v>
      </c>
      <c r="K10" s="4" t="s">
        <v>80</v>
      </c>
      <c r="L10" s="7">
        <f t="shared" ca="1" si="0"/>
        <v>46297</v>
      </c>
      <c r="M10" s="14">
        <f t="shared" ca="1" si="1"/>
        <v>46297.119078935182</v>
      </c>
      <c r="N10" s="4">
        <f t="shared" si="2"/>
        <v>10</v>
      </c>
    </row>
    <row r="11" spans="1:14" x14ac:dyDescent="0.3">
      <c r="A11" s="9">
        <v>1010</v>
      </c>
      <c r="B11" s="9" t="s">
        <v>18</v>
      </c>
      <c r="C11" s="4" t="s">
        <v>23</v>
      </c>
      <c r="D11" s="4" t="s">
        <v>20</v>
      </c>
      <c r="E11" s="4" t="s">
        <v>36</v>
      </c>
      <c r="F11" s="4">
        <v>14</v>
      </c>
      <c r="G11" s="4">
        <v>470</v>
      </c>
      <c r="H11" s="4">
        <v>5</v>
      </c>
      <c r="I11" s="7">
        <v>46062</v>
      </c>
      <c r="J11" s="7">
        <v>46068</v>
      </c>
      <c r="K11" s="4" t="s">
        <v>78</v>
      </c>
      <c r="L11" s="7">
        <f t="shared" ca="1" si="0"/>
        <v>46297</v>
      </c>
      <c r="M11" s="14">
        <f t="shared" ca="1" si="1"/>
        <v>46297.119078935182</v>
      </c>
      <c r="N11" s="4">
        <f t="shared" si="2"/>
        <v>6</v>
      </c>
    </row>
    <row r="12" spans="1:14" x14ac:dyDescent="0.3">
      <c r="A12" s="9">
        <v>1011</v>
      </c>
      <c r="B12" s="9" t="s">
        <v>18</v>
      </c>
      <c r="C12" s="4" t="s">
        <v>23</v>
      </c>
      <c r="D12" s="4" t="s">
        <v>20</v>
      </c>
      <c r="E12" s="4" t="s">
        <v>37</v>
      </c>
      <c r="F12" s="4">
        <v>14</v>
      </c>
      <c r="G12" s="4">
        <v>88</v>
      </c>
      <c r="H12" s="4">
        <v>12</v>
      </c>
      <c r="I12" s="7">
        <v>46161</v>
      </c>
      <c r="J12" s="7">
        <v>46163</v>
      </c>
      <c r="K12" s="4" t="s">
        <v>78</v>
      </c>
      <c r="L12" s="7">
        <f t="shared" ca="1" si="0"/>
        <v>46297</v>
      </c>
      <c r="M12" s="14">
        <f t="shared" ca="1" si="1"/>
        <v>46297.119078935182</v>
      </c>
      <c r="N12" s="4">
        <f t="shared" si="2"/>
        <v>2</v>
      </c>
    </row>
    <row r="13" spans="1:14" x14ac:dyDescent="0.3">
      <c r="A13" s="9">
        <v>1012</v>
      </c>
      <c r="B13" s="9" t="s">
        <v>28</v>
      </c>
      <c r="C13" s="4" t="s">
        <v>38</v>
      </c>
      <c r="D13" s="4" t="s">
        <v>34</v>
      </c>
      <c r="E13" s="4" t="s">
        <v>5</v>
      </c>
      <c r="F13" s="4">
        <v>3</v>
      </c>
      <c r="G13" s="4">
        <v>64615</v>
      </c>
      <c r="H13" s="4">
        <v>10</v>
      </c>
      <c r="I13" s="7">
        <v>46086</v>
      </c>
      <c r="J13" s="7">
        <v>46095</v>
      </c>
      <c r="K13" s="4" t="s">
        <v>49</v>
      </c>
      <c r="L13" s="7">
        <f t="shared" ca="1" si="0"/>
        <v>46297</v>
      </c>
      <c r="M13" s="14">
        <f t="shared" ca="1" si="1"/>
        <v>46297.119078935182</v>
      </c>
      <c r="N13" s="4">
        <f t="shared" si="2"/>
        <v>9</v>
      </c>
    </row>
    <row r="14" spans="1:14" x14ac:dyDescent="0.3">
      <c r="A14" s="9">
        <v>1013</v>
      </c>
      <c r="B14" s="9" t="s">
        <v>22</v>
      </c>
      <c r="C14" s="4" t="s">
        <v>31</v>
      </c>
      <c r="D14" s="4" t="s">
        <v>20</v>
      </c>
      <c r="E14" s="4" t="s">
        <v>36</v>
      </c>
      <c r="F14" s="4">
        <v>17</v>
      </c>
      <c r="G14" s="4">
        <v>459</v>
      </c>
      <c r="H14" s="4">
        <v>12</v>
      </c>
      <c r="I14" s="7">
        <v>46095</v>
      </c>
      <c r="J14" s="7">
        <v>46105</v>
      </c>
      <c r="K14" s="4" t="s">
        <v>49</v>
      </c>
      <c r="L14" s="7">
        <f t="shared" ca="1" si="0"/>
        <v>46297</v>
      </c>
      <c r="M14" s="14">
        <f t="shared" ca="1" si="1"/>
        <v>46297.119078935182</v>
      </c>
      <c r="N14" s="4">
        <f t="shared" si="2"/>
        <v>10</v>
      </c>
    </row>
    <row r="15" spans="1:14" x14ac:dyDescent="0.3">
      <c r="A15" s="9">
        <v>1014</v>
      </c>
      <c r="B15" s="9" t="s">
        <v>39</v>
      </c>
      <c r="C15" s="4" t="s">
        <v>23</v>
      </c>
      <c r="D15" s="4" t="s">
        <v>34</v>
      </c>
      <c r="E15" s="4" t="s">
        <v>40</v>
      </c>
      <c r="F15" s="4">
        <v>19</v>
      </c>
      <c r="G15" s="4">
        <v>53683</v>
      </c>
      <c r="H15" s="4">
        <v>12</v>
      </c>
      <c r="I15" s="7">
        <v>46129</v>
      </c>
      <c r="J15" s="7">
        <v>46134</v>
      </c>
      <c r="K15" s="4" t="s">
        <v>49</v>
      </c>
      <c r="L15" s="7">
        <f t="shared" ca="1" si="0"/>
        <v>46297</v>
      </c>
      <c r="M15" s="14">
        <f t="shared" ca="1" si="1"/>
        <v>46297.119078935182</v>
      </c>
      <c r="N15" s="4">
        <f t="shared" si="2"/>
        <v>5</v>
      </c>
    </row>
    <row r="16" spans="1:14" x14ac:dyDescent="0.3">
      <c r="A16" s="9">
        <v>1015</v>
      </c>
      <c r="B16" s="9" t="s">
        <v>41</v>
      </c>
      <c r="C16" s="4" t="s">
        <v>42</v>
      </c>
      <c r="D16" s="4" t="s">
        <v>24</v>
      </c>
      <c r="E16" s="4" t="s">
        <v>43</v>
      </c>
      <c r="F16" s="4">
        <v>11</v>
      </c>
      <c r="G16" s="4">
        <v>14511</v>
      </c>
      <c r="H16" s="4">
        <v>2</v>
      </c>
      <c r="I16" s="7">
        <v>46175</v>
      </c>
      <c r="J16" s="7">
        <v>46185</v>
      </c>
      <c r="K16" s="4" t="s">
        <v>79</v>
      </c>
      <c r="L16" s="7">
        <f t="shared" ca="1" si="0"/>
        <v>46297</v>
      </c>
      <c r="M16" s="14">
        <f t="shared" ca="1" si="1"/>
        <v>46297.119078935182</v>
      </c>
      <c r="N16" s="4">
        <f t="shared" si="2"/>
        <v>10</v>
      </c>
    </row>
    <row r="17" spans="1:14" x14ac:dyDescent="0.3">
      <c r="A17" s="9">
        <v>1016</v>
      </c>
      <c r="B17" s="9" t="s">
        <v>32</v>
      </c>
      <c r="C17" s="4" t="s">
        <v>33</v>
      </c>
      <c r="D17" s="4" t="s">
        <v>34</v>
      </c>
      <c r="E17" s="4" t="s">
        <v>6</v>
      </c>
      <c r="F17" s="4">
        <v>16</v>
      </c>
      <c r="G17" s="4">
        <v>30234</v>
      </c>
      <c r="H17" s="4">
        <v>15</v>
      </c>
      <c r="I17" s="7">
        <v>46137</v>
      </c>
      <c r="J17" s="7">
        <v>46140</v>
      </c>
      <c r="K17" s="4" t="s">
        <v>80</v>
      </c>
      <c r="L17" s="7">
        <f t="shared" ca="1" si="0"/>
        <v>46297</v>
      </c>
      <c r="M17" s="14">
        <f t="shared" ca="1" si="1"/>
        <v>46297.119078935182</v>
      </c>
      <c r="N17" s="4">
        <f t="shared" si="2"/>
        <v>3</v>
      </c>
    </row>
    <row r="18" spans="1:14" x14ac:dyDescent="0.3">
      <c r="A18" s="9">
        <v>1017</v>
      </c>
      <c r="B18" s="9" t="s">
        <v>44</v>
      </c>
      <c r="C18" s="4" t="s">
        <v>38</v>
      </c>
      <c r="D18" s="4" t="s">
        <v>20</v>
      </c>
      <c r="E18" s="4" t="s">
        <v>36</v>
      </c>
      <c r="F18" s="4">
        <v>8</v>
      </c>
      <c r="G18" s="4">
        <v>179</v>
      </c>
      <c r="H18" s="4">
        <v>15</v>
      </c>
      <c r="I18" s="7">
        <v>46082</v>
      </c>
      <c r="J18" s="7">
        <v>46084</v>
      </c>
      <c r="K18" s="4" t="s">
        <v>78</v>
      </c>
      <c r="L18" s="7">
        <f t="shared" ca="1" si="0"/>
        <v>46297</v>
      </c>
      <c r="M18" s="14">
        <f t="shared" ca="1" si="1"/>
        <v>46297.119078935182</v>
      </c>
      <c r="N18" s="4">
        <f t="shared" si="2"/>
        <v>2</v>
      </c>
    </row>
    <row r="19" spans="1:14" x14ac:dyDescent="0.3">
      <c r="A19" s="9">
        <v>1018</v>
      </c>
      <c r="B19" s="9" t="s">
        <v>45</v>
      </c>
      <c r="C19" s="4" t="s">
        <v>27</v>
      </c>
      <c r="D19" s="4" t="s">
        <v>20</v>
      </c>
      <c r="E19" s="4" t="s">
        <v>21</v>
      </c>
      <c r="F19" s="4">
        <v>20</v>
      </c>
      <c r="G19" s="4">
        <v>301</v>
      </c>
      <c r="H19" s="4">
        <v>0</v>
      </c>
      <c r="I19" s="7">
        <v>46089</v>
      </c>
      <c r="J19" s="7">
        <v>46094</v>
      </c>
      <c r="K19" s="4" t="s">
        <v>49</v>
      </c>
      <c r="L19" s="7">
        <f t="shared" ca="1" si="0"/>
        <v>46297</v>
      </c>
      <c r="M19" s="14">
        <f t="shared" ca="1" si="1"/>
        <v>46297.119078935182</v>
      </c>
      <c r="N19" s="4">
        <f t="shared" si="2"/>
        <v>5</v>
      </c>
    </row>
    <row r="20" spans="1:14" x14ac:dyDescent="0.3">
      <c r="A20" s="9">
        <v>1019</v>
      </c>
      <c r="B20" s="9" t="s">
        <v>18</v>
      </c>
      <c r="C20" s="4" t="s">
        <v>42</v>
      </c>
      <c r="D20" s="4" t="s">
        <v>34</v>
      </c>
      <c r="E20" s="4" t="s">
        <v>40</v>
      </c>
      <c r="F20" s="4">
        <v>18</v>
      </c>
      <c r="G20" s="4">
        <v>45652</v>
      </c>
      <c r="H20" s="4">
        <v>10</v>
      </c>
      <c r="I20" s="7">
        <v>46023</v>
      </c>
      <c r="J20" s="7">
        <v>46030</v>
      </c>
      <c r="K20" s="4" t="s">
        <v>79</v>
      </c>
      <c r="L20" s="7">
        <f t="shared" ca="1" si="0"/>
        <v>46297</v>
      </c>
      <c r="M20" s="14">
        <f t="shared" ca="1" si="1"/>
        <v>46297.119078935182</v>
      </c>
      <c r="N20" s="4">
        <f t="shared" si="2"/>
        <v>7</v>
      </c>
    </row>
    <row r="21" spans="1:14" x14ac:dyDescent="0.3">
      <c r="A21" s="9">
        <v>1020</v>
      </c>
      <c r="B21" s="9" t="s">
        <v>44</v>
      </c>
      <c r="C21" s="4" t="s">
        <v>19</v>
      </c>
      <c r="D21" s="4" t="s">
        <v>24</v>
      </c>
      <c r="E21" s="4" t="s">
        <v>7</v>
      </c>
      <c r="F21" s="4">
        <v>5</v>
      </c>
      <c r="G21" s="4">
        <v>4582</v>
      </c>
      <c r="H21" s="4">
        <v>5</v>
      </c>
      <c r="I21" s="7">
        <v>46078</v>
      </c>
      <c r="J21" s="7">
        <v>46083</v>
      </c>
      <c r="K21" s="4" t="s">
        <v>78</v>
      </c>
      <c r="L21" s="7">
        <f t="shared" ca="1" si="0"/>
        <v>46297</v>
      </c>
      <c r="M21" s="14">
        <f t="shared" ca="1" si="1"/>
        <v>46297.119078935182</v>
      </c>
      <c r="N21" s="4">
        <f t="shared" si="2"/>
        <v>5</v>
      </c>
    </row>
    <row r="22" spans="1:14" x14ac:dyDescent="0.3">
      <c r="A22" s="9">
        <v>1021</v>
      </c>
      <c r="B22" s="9" t="s">
        <v>46</v>
      </c>
      <c r="C22" s="4" t="s">
        <v>42</v>
      </c>
      <c r="D22" s="4" t="s">
        <v>20</v>
      </c>
      <c r="E22" s="4" t="s">
        <v>21</v>
      </c>
      <c r="F22" s="4">
        <v>3</v>
      </c>
      <c r="G22" s="4">
        <v>484</v>
      </c>
      <c r="H22" s="4">
        <v>2</v>
      </c>
      <c r="I22" s="7">
        <v>46144</v>
      </c>
      <c r="J22" s="7">
        <v>46148</v>
      </c>
      <c r="K22" s="4" t="s">
        <v>80</v>
      </c>
      <c r="L22" s="7">
        <f t="shared" ca="1" si="0"/>
        <v>46297</v>
      </c>
      <c r="M22" s="14">
        <f t="shared" ca="1" si="1"/>
        <v>46297.119078935182</v>
      </c>
      <c r="N22" s="4">
        <f t="shared" si="2"/>
        <v>4</v>
      </c>
    </row>
    <row r="23" spans="1:14" x14ac:dyDescent="0.3">
      <c r="A23" s="9">
        <v>1022</v>
      </c>
      <c r="B23" s="9" t="s">
        <v>28</v>
      </c>
      <c r="C23" s="4" t="s">
        <v>23</v>
      </c>
      <c r="D23" s="4" t="s">
        <v>34</v>
      </c>
      <c r="E23" s="4" t="s">
        <v>6</v>
      </c>
      <c r="F23" s="4">
        <v>15</v>
      </c>
      <c r="G23" s="4">
        <v>11596</v>
      </c>
      <c r="H23" s="4">
        <v>0</v>
      </c>
      <c r="I23" s="7">
        <v>46117</v>
      </c>
      <c r="J23" s="7">
        <v>46121</v>
      </c>
      <c r="K23" s="4" t="s">
        <v>49</v>
      </c>
      <c r="L23" s="7">
        <f t="shared" ca="1" si="0"/>
        <v>46297</v>
      </c>
      <c r="M23" s="14">
        <f t="shared" ca="1" si="1"/>
        <v>46297.119078935182</v>
      </c>
      <c r="N23" s="4">
        <f t="shared" si="2"/>
        <v>4</v>
      </c>
    </row>
    <row r="24" spans="1:14" x14ac:dyDescent="0.3">
      <c r="A24" s="9">
        <v>1023</v>
      </c>
      <c r="B24" s="9" t="s">
        <v>39</v>
      </c>
      <c r="C24" s="4" t="s">
        <v>19</v>
      </c>
      <c r="D24" s="4" t="s">
        <v>24</v>
      </c>
      <c r="E24" s="4" t="s">
        <v>43</v>
      </c>
      <c r="F24" s="4">
        <v>15</v>
      </c>
      <c r="G24" s="4">
        <v>3506</v>
      </c>
      <c r="H24" s="4">
        <v>2</v>
      </c>
      <c r="I24" s="7">
        <v>46193</v>
      </c>
      <c r="J24" s="7">
        <v>46194</v>
      </c>
      <c r="K24" s="4" t="s">
        <v>49</v>
      </c>
      <c r="L24" s="7">
        <f t="shared" ca="1" si="0"/>
        <v>46297</v>
      </c>
      <c r="M24" s="14">
        <f t="shared" ca="1" si="1"/>
        <v>46297.119078935182</v>
      </c>
      <c r="N24" s="4">
        <f t="shared" si="2"/>
        <v>1</v>
      </c>
    </row>
    <row r="25" spans="1:14" x14ac:dyDescent="0.3">
      <c r="A25" s="9">
        <v>1024</v>
      </c>
      <c r="B25" s="9" t="s">
        <v>32</v>
      </c>
      <c r="C25" s="4" t="s">
        <v>38</v>
      </c>
      <c r="D25" s="4" t="s">
        <v>34</v>
      </c>
      <c r="E25" s="4" t="s">
        <v>40</v>
      </c>
      <c r="F25" s="4">
        <v>12</v>
      </c>
      <c r="G25" s="4">
        <v>1682</v>
      </c>
      <c r="H25" s="4">
        <v>5</v>
      </c>
      <c r="I25" s="7">
        <v>46161</v>
      </c>
      <c r="J25" s="7">
        <v>46165</v>
      </c>
      <c r="K25" s="4" t="s">
        <v>78</v>
      </c>
      <c r="L25" s="7">
        <f t="shared" ca="1" si="0"/>
        <v>46297</v>
      </c>
      <c r="M25" s="14">
        <f t="shared" ca="1" si="1"/>
        <v>46297.119078935182</v>
      </c>
      <c r="N25" s="4">
        <f t="shared" si="2"/>
        <v>4</v>
      </c>
    </row>
    <row r="26" spans="1:14" x14ac:dyDescent="0.3">
      <c r="A26" s="9">
        <v>1025</v>
      </c>
      <c r="B26" s="9" t="s">
        <v>25</v>
      </c>
      <c r="C26" s="4" t="s">
        <v>19</v>
      </c>
      <c r="D26" s="4" t="s">
        <v>24</v>
      </c>
      <c r="E26" s="4" t="s">
        <v>7</v>
      </c>
      <c r="F26" s="4">
        <v>18</v>
      </c>
      <c r="G26" s="4">
        <v>7924</v>
      </c>
      <c r="H26" s="4">
        <v>0</v>
      </c>
      <c r="I26" s="7">
        <v>46175</v>
      </c>
      <c r="J26" s="7">
        <v>46181</v>
      </c>
      <c r="K26" s="4" t="s">
        <v>78</v>
      </c>
      <c r="L26" s="7">
        <f t="shared" ca="1" si="0"/>
        <v>46297</v>
      </c>
      <c r="M26" s="14">
        <f t="shared" ca="1" si="1"/>
        <v>46297.119078935182</v>
      </c>
      <c r="N26" s="4">
        <f t="shared" si="2"/>
        <v>6</v>
      </c>
    </row>
    <row r="27" spans="1:14" x14ac:dyDescent="0.3">
      <c r="A27" s="9">
        <v>1026</v>
      </c>
      <c r="B27" s="9" t="s">
        <v>47</v>
      </c>
      <c r="C27" s="4" t="s">
        <v>31</v>
      </c>
      <c r="D27" s="4" t="s">
        <v>20</v>
      </c>
      <c r="E27" s="4" t="s">
        <v>48</v>
      </c>
      <c r="F27" s="4">
        <v>17</v>
      </c>
      <c r="G27" s="4">
        <v>323</v>
      </c>
      <c r="H27" s="4">
        <v>10</v>
      </c>
      <c r="I27" s="7">
        <v>46039</v>
      </c>
      <c r="J27" s="7">
        <v>46040</v>
      </c>
      <c r="K27" s="4" t="s">
        <v>49</v>
      </c>
      <c r="L27" s="7">
        <f t="shared" ca="1" si="0"/>
        <v>46297</v>
      </c>
      <c r="M27" s="14">
        <f t="shared" ca="1" si="1"/>
        <v>46297.119078935182</v>
      </c>
      <c r="N27" s="4">
        <f t="shared" si="2"/>
        <v>1</v>
      </c>
    </row>
    <row r="28" spans="1:14" x14ac:dyDescent="0.3">
      <c r="A28" s="9">
        <v>1027</v>
      </c>
      <c r="B28" s="9" t="s">
        <v>49</v>
      </c>
      <c r="C28" s="4" t="s">
        <v>42</v>
      </c>
      <c r="D28" s="4" t="s">
        <v>20</v>
      </c>
      <c r="E28" s="4" t="s">
        <v>48</v>
      </c>
      <c r="F28" s="4">
        <v>4</v>
      </c>
      <c r="G28" s="4">
        <v>264</v>
      </c>
      <c r="H28" s="4">
        <v>0</v>
      </c>
      <c r="I28" s="7">
        <v>46155</v>
      </c>
      <c r="J28" s="7">
        <v>46161</v>
      </c>
      <c r="K28" s="4" t="s">
        <v>81</v>
      </c>
      <c r="L28" s="7">
        <f t="shared" ca="1" si="0"/>
        <v>46297</v>
      </c>
      <c r="M28" s="14">
        <f t="shared" ca="1" si="1"/>
        <v>46297.119078935182</v>
      </c>
      <c r="N28" s="4">
        <f t="shared" si="2"/>
        <v>6</v>
      </c>
    </row>
    <row r="29" spans="1:14" x14ac:dyDescent="0.3">
      <c r="A29" s="9">
        <v>1028</v>
      </c>
      <c r="B29" s="9" t="s">
        <v>45</v>
      </c>
      <c r="C29" s="4" t="s">
        <v>26</v>
      </c>
      <c r="D29" s="4" t="s">
        <v>20</v>
      </c>
      <c r="E29" s="4" t="s">
        <v>36</v>
      </c>
      <c r="F29" s="4">
        <v>13</v>
      </c>
      <c r="G29" s="4">
        <v>433</v>
      </c>
      <c r="H29" s="4">
        <v>2</v>
      </c>
      <c r="I29" s="7">
        <v>46116</v>
      </c>
      <c r="J29" s="7">
        <v>46121</v>
      </c>
      <c r="K29" s="4" t="s">
        <v>80</v>
      </c>
      <c r="L29" s="7">
        <f t="shared" ca="1" si="0"/>
        <v>46297</v>
      </c>
      <c r="M29" s="14">
        <f t="shared" ca="1" si="1"/>
        <v>46297.119078935182</v>
      </c>
      <c r="N29" s="4">
        <f t="shared" si="2"/>
        <v>5</v>
      </c>
    </row>
    <row r="30" spans="1:14" x14ac:dyDescent="0.3">
      <c r="A30" s="9">
        <v>1029</v>
      </c>
      <c r="B30" s="9" t="s">
        <v>30</v>
      </c>
      <c r="C30" s="4" t="s">
        <v>27</v>
      </c>
      <c r="D30" s="4" t="s">
        <v>20</v>
      </c>
      <c r="E30" s="4" t="s">
        <v>36</v>
      </c>
      <c r="F30" s="4">
        <v>18</v>
      </c>
      <c r="G30" s="4">
        <v>443</v>
      </c>
      <c r="H30" s="4">
        <v>5</v>
      </c>
      <c r="I30" s="7">
        <v>46046</v>
      </c>
      <c r="J30" s="7">
        <v>46054</v>
      </c>
      <c r="K30" s="4" t="s">
        <v>80</v>
      </c>
      <c r="L30" s="7">
        <f t="shared" ca="1" si="0"/>
        <v>46297</v>
      </c>
      <c r="M30" s="14">
        <f t="shared" ca="1" si="1"/>
        <v>46297.119078935182</v>
      </c>
      <c r="N30" s="4">
        <f t="shared" si="2"/>
        <v>8</v>
      </c>
    </row>
    <row r="31" spans="1:14" x14ac:dyDescent="0.3">
      <c r="A31" s="9">
        <v>1030</v>
      </c>
      <c r="B31" s="9" t="s">
        <v>50</v>
      </c>
      <c r="C31" s="4" t="s">
        <v>19</v>
      </c>
      <c r="D31" s="4" t="s">
        <v>20</v>
      </c>
      <c r="E31" s="4" t="s">
        <v>51</v>
      </c>
      <c r="F31" s="4">
        <v>13</v>
      </c>
      <c r="G31" s="4">
        <v>336</v>
      </c>
      <c r="H31" s="4">
        <v>10</v>
      </c>
      <c r="I31" s="7">
        <v>46098</v>
      </c>
      <c r="J31" s="7">
        <v>46108</v>
      </c>
      <c r="K31" s="4" t="s">
        <v>78</v>
      </c>
      <c r="L31" s="7">
        <f t="shared" ca="1" si="0"/>
        <v>46297</v>
      </c>
      <c r="M31" s="14">
        <f t="shared" ca="1" si="1"/>
        <v>46297.119078935182</v>
      </c>
      <c r="N31" s="4">
        <f t="shared" si="2"/>
        <v>10</v>
      </c>
    </row>
    <row r="32" spans="1:14" x14ac:dyDescent="0.3">
      <c r="A32" s="9">
        <v>1031</v>
      </c>
      <c r="B32" s="9" t="s">
        <v>52</v>
      </c>
      <c r="C32" s="4" t="s">
        <v>31</v>
      </c>
      <c r="D32" s="4" t="s">
        <v>20</v>
      </c>
      <c r="E32" s="4" t="s">
        <v>51</v>
      </c>
      <c r="F32" s="4">
        <v>2</v>
      </c>
      <c r="G32" s="4">
        <v>184</v>
      </c>
      <c r="H32" s="4">
        <v>5</v>
      </c>
      <c r="I32" s="7">
        <v>46089</v>
      </c>
      <c r="J32" s="7">
        <v>46093</v>
      </c>
      <c r="K32" s="4" t="s">
        <v>79</v>
      </c>
      <c r="L32" s="7">
        <f t="shared" ca="1" si="0"/>
        <v>46297</v>
      </c>
      <c r="M32" s="14">
        <f t="shared" ca="1" si="1"/>
        <v>46297.119078935182</v>
      </c>
      <c r="N32" s="4">
        <f t="shared" si="2"/>
        <v>4</v>
      </c>
    </row>
    <row r="33" spans="1:14" x14ac:dyDescent="0.3">
      <c r="A33" s="9">
        <v>1032</v>
      </c>
      <c r="B33" s="9" t="s">
        <v>52</v>
      </c>
      <c r="C33" s="4" t="s">
        <v>42</v>
      </c>
      <c r="D33" s="4" t="s">
        <v>34</v>
      </c>
      <c r="E33" s="4" t="s">
        <v>5</v>
      </c>
      <c r="F33" s="4">
        <v>20</v>
      </c>
      <c r="G33" s="4">
        <v>11305</v>
      </c>
      <c r="H33" s="4">
        <v>2</v>
      </c>
      <c r="I33" s="7">
        <v>46163</v>
      </c>
      <c r="J33" s="7">
        <v>46165</v>
      </c>
      <c r="K33" s="4" t="s">
        <v>49</v>
      </c>
      <c r="L33" s="7">
        <f t="shared" ca="1" si="0"/>
        <v>46297</v>
      </c>
      <c r="M33" s="14">
        <f t="shared" ca="1" si="1"/>
        <v>46297.119078935182</v>
      </c>
      <c r="N33" s="4">
        <f t="shared" si="2"/>
        <v>2</v>
      </c>
    </row>
    <row r="34" spans="1:14" x14ac:dyDescent="0.3">
      <c r="A34" s="9">
        <v>1033</v>
      </c>
      <c r="B34" s="9" t="s">
        <v>18</v>
      </c>
      <c r="C34" s="4" t="s">
        <v>42</v>
      </c>
      <c r="D34" s="4" t="s">
        <v>24</v>
      </c>
      <c r="E34" s="4" t="s">
        <v>7</v>
      </c>
      <c r="F34" s="4">
        <v>9</v>
      </c>
      <c r="G34" s="4">
        <v>4895</v>
      </c>
      <c r="H34" s="4">
        <v>2</v>
      </c>
      <c r="I34" s="7">
        <v>46082</v>
      </c>
      <c r="J34" s="7">
        <v>46084</v>
      </c>
      <c r="K34" s="4" t="s">
        <v>49</v>
      </c>
      <c r="L34" s="7">
        <f t="shared" ca="1" si="0"/>
        <v>46297</v>
      </c>
      <c r="M34" s="14">
        <f t="shared" ca="1" si="1"/>
        <v>46297.119078935182</v>
      </c>
      <c r="N34" s="4">
        <f t="shared" si="2"/>
        <v>2</v>
      </c>
    </row>
    <row r="35" spans="1:14" x14ac:dyDescent="0.3">
      <c r="A35" s="9">
        <v>1034</v>
      </c>
      <c r="B35" s="9" t="s">
        <v>53</v>
      </c>
      <c r="C35" s="4" t="s">
        <v>33</v>
      </c>
      <c r="D35" s="4" t="s">
        <v>24</v>
      </c>
      <c r="E35" s="4" t="s">
        <v>8</v>
      </c>
      <c r="F35" s="4">
        <v>17</v>
      </c>
      <c r="G35" s="4">
        <v>5104</v>
      </c>
      <c r="H35" s="4">
        <v>12</v>
      </c>
      <c r="I35" s="7">
        <v>46052</v>
      </c>
      <c r="J35" s="7">
        <v>46061</v>
      </c>
      <c r="K35" s="4" t="s">
        <v>81</v>
      </c>
      <c r="L35" s="7">
        <f t="shared" ca="1" si="0"/>
        <v>46297</v>
      </c>
      <c r="M35" s="14">
        <f t="shared" ca="1" si="1"/>
        <v>46297.119078935182</v>
      </c>
      <c r="N35" s="4">
        <f t="shared" si="2"/>
        <v>9</v>
      </c>
    </row>
    <row r="36" spans="1:14" x14ac:dyDescent="0.3">
      <c r="A36" s="9">
        <v>1035</v>
      </c>
      <c r="B36" s="9" t="s">
        <v>47</v>
      </c>
      <c r="C36" s="4" t="s">
        <v>42</v>
      </c>
      <c r="D36" s="4" t="s">
        <v>24</v>
      </c>
      <c r="E36" s="4" t="s">
        <v>11</v>
      </c>
      <c r="F36" s="4">
        <v>3</v>
      </c>
      <c r="G36" s="4">
        <v>9149</v>
      </c>
      <c r="H36" s="4">
        <v>0</v>
      </c>
      <c r="I36" s="7">
        <v>46031</v>
      </c>
      <c r="J36" s="7">
        <v>46034</v>
      </c>
      <c r="K36" s="4" t="s">
        <v>80</v>
      </c>
      <c r="L36" s="7">
        <f t="shared" ca="1" si="0"/>
        <v>46297</v>
      </c>
      <c r="M36" s="14">
        <f t="shared" ca="1" si="1"/>
        <v>46297.119078935182</v>
      </c>
      <c r="N36" s="4">
        <f t="shared" si="2"/>
        <v>3</v>
      </c>
    </row>
    <row r="37" spans="1:14" x14ac:dyDescent="0.3">
      <c r="A37" s="9">
        <v>1036</v>
      </c>
      <c r="B37" s="9" t="s">
        <v>18</v>
      </c>
      <c r="C37" s="4" t="s">
        <v>27</v>
      </c>
      <c r="D37" s="4" t="s">
        <v>20</v>
      </c>
      <c r="E37" s="4" t="s">
        <v>36</v>
      </c>
      <c r="F37" s="4">
        <v>20</v>
      </c>
      <c r="G37" s="4">
        <v>161</v>
      </c>
      <c r="H37" s="4">
        <v>7</v>
      </c>
      <c r="I37" s="7">
        <v>46071</v>
      </c>
      <c r="J37" s="7">
        <v>46077</v>
      </c>
      <c r="K37" s="4" t="s">
        <v>80</v>
      </c>
      <c r="L37" s="7">
        <f t="shared" ca="1" si="0"/>
        <v>46297</v>
      </c>
      <c r="M37" s="14">
        <f t="shared" ca="1" si="1"/>
        <v>46297.119078935182</v>
      </c>
      <c r="N37" s="4">
        <f t="shared" si="2"/>
        <v>6</v>
      </c>
    </row>
    <row r="38" spans="1:14" x14ac:dyDescent="0.3">
      <c r="A38" s="9">
        <v>1037</v>
      </c>
      <c r="B38" s="9" t="s">
        <v>44</v>
      </c>
      <c r="C38" s="4" t="s">
        <v>42</v>
      </c>
      <c r="D38" s="4" t="s">
        <v>24</v>
      </c>
      <c r="E38" s="4" t="s">
        <v>11</v>
      </c>
      <c r="F38" s="4">
        <v>6</v>
      </c>
      <c r="G38" s="4">
        <v>14385</v>
      </c>
      <c r="H38" s="4">
        <v>12</v>
      </c>
      <c r="I38" s="7">
        <v>46033</v>
      </c>
      <c r="J38" s="7">
        <v>46043</v>
      </c>
      <c r="K38" s="4" t="s">
        <v>80</v>
      </c>
      <c r="L38" s="7">
        <f t="shared" ca="1" si="0"/>
        <v>46297</v>
      </c>
      <c r="M38" s="14">
        <f t="shared" ca="1" si="1"/>
        <v>46297.119078935182</v>
      </c>
      <c r="N38" s="4">
        <f t="shared" si="2"/>
        <v>10</v>
      </c>
    </row>
    <row r="39" spans="1:14" x14ac:dyDescent="0.3">
      <c r="A39" s="9">
        <v>1038</v>
      </c>
      <c r="B39" s="9" t="s">
        <v>53</v>
      </c>
      <c r="C39" s="4" t="s">
        <v>23</v>
      </c>
      <c r="D39" s="4" t="s">
        <v>20</v>
      </c>
      <c r="E39" s="4" t="s">
        <v>36</v>
      </c>
      <c r="F39" s="4">
        <v>17</v>
      </c>
      <c r="G39" s="4">
        <v>223</v>
      </c>
      <c r="H39" s="4">
        <v>7</v>
      </c>
      <c r="I39" s="7">
        <v>46030</v>
      </c>
      <c r="J39" s="7">
        <v>46031</v>
      </c>
      <c r="K39" s="4" t="s">
        <v>81</v>
      </c>
      <c r="L39" s="7">
        <f t="shared" ca="1" si="0"/>
        <v>46297</v>
      </c>
      <c r="M39" s="14">
        <f t="shared" ca="1" si="1"/>
        <v>46297.119078935182</v>
      </c>
      <c r="N39" s="4">
        <f t="shared" si="2"/>
        <v>1</v>
      </c>
    </row>
    <row r="40" spans="1:14" x14ac:dyDescent="0.3">
      <c r="A40" s="9">
        <v>1039</v>
      </c>
      <c r="B40" s="9" t="s">
        <v>46</v>
      </c>
      <c r="C40" s="4" t="s">
        <v>38</v>
      </c>
      <c r="D40" s="4" t="s">
        <v>34</v>
      </c>
      <c r="E40" s="4" t="s">
        <v>6</v>
      </c>
      <c r="F40" s="4">
        <v>5</v>
      </c>
      <c r="G40" s="4">
        <v>60236</v>
      </c>
      <c r="H40" s="4">
        <v>10</v>
      </c>
      <c r="I40" s="7">
        <v>46107</v>
      </c>
      <c r="J40" s="7">
        <v>46110</v>
      </c>
      <c r="K40" s="4" t="s">
        <v>79</v>
      </c>
      <c r="L40" s="7">
        <f t="shared" ca="1" si="0"/>
        <v>46297</v>
      </c>
      <c r="M40" s="14">
        <f t="shared" ca="1" si="1"/>
        <v>46297.119078935182</v>
      </c>
      <c r="N40" s="4">
        <f t="shared" si="2"/>
        <v>3</v>
      </c>
    </row>
    <row r="41" spans="1:14" x14ac:dyDescent="0.3">
      <c r="A41" s="9">
        <v>1040</v>
      </c>
      <c r="B41" s="9" t="s">
        <v>47</v>
      </c>
      <c r="C41" s="4" t="s">
        <v>38</v>
      </c>
      <c r="D41" s="4" t="s">
        <v>24</v>
      </c>
      <c r="E41" s="4" t="s">
        <v>8</v>
      </c>
      <c r="F41" s="4">
        <v>10</v>
      </c>
      <c r="G41" s="4">
        <v>7531</v>
      </c>
      <c r="H41" s="4">
        <v>2</v>
      </c>
      <c r="I41" s="7">
        <v>46171</v>
      </c>
      <c r="J41" s="7">
        <v>46178</v>
      </c>
      <c r="K41" s="4" t="s">
        <v>80</v>
      </c>
      <c r="L41" s="7">
        <f t="shared" ca="1" si="0"/>
        <v>46297</v>
      </c>
      <c r="M41" s="14">
        <f t="shared" ca="1" si="1"/>
        <v>46297.119078935182</v>
      </c>
      <c r="N41" s="4">
        <f t="shared" si="2"/>
        <v>7</v>
      </c>
    </row>
    <row r="42" spans="1:14" x14ac:dyDescent="0.3">
      <c r="A42" s="9">
        <v>1041</v>
      </c>
      <c r="B42" s="9" t="s">
        <v>52</v>
      </c>
      <c r="C42" s="4" t="s">
        <v>38</v>
      </c>
      <c r="D42" s="4" t="s">
        <v>20</v>
      </c>
      <c r="E42" s="4" t="s">
        <v>48</v>
      </c>
      <c r="F42" s="4">
        <v>9</v>
      </c>
      <c r="G42" s="4">
        <v>71</v>
      </c>
      <c r="H42" s="4">
        <v>7</v>
      </c>
      <c r="I42" s="7">
        <v>46185</v>
      </c>
      <c r="J42" s="7">
        <v>46188</v>
      </c>
      <c r="K42" s="4" t="s">
        <v>78</v>
      </c>
      <c r="L42" s="7">
        <f t="shared" ca="1" si="0"/>
        <v>46297</v>
      </c>
      <c r="M42" s="14">
        <f t="shared" ca="1" si="1"/>
        <v>46297.119078935182</v>
      </c>
      <c r="N42" s="4">
        <f t="shared" si="2"/>
        <v>3</v>
      </c>
    </row>
    <row r="43" spans="1:14" x14ac:dyDescent="0.3">
      <c r="A43" s="9">
        <v>1042</v>
      </c>
      <c r="B43" s="9" t="s">
        <v>44</v>
      </c>
      <c r="C43" s="4" t="s">
        <v>33</v>
      </c>
      <c r="D43" s="4" t="s">
        <v>20</v>
      </c>
      <c r="E43" s="4" t="s">
        <v>51</v>
      </c>
      <c r="F43" s="4">
        <v>16</v>
      </c>
      <c r="G43" s="4">
        <v>232</v>
      </c>
      <c r="H43" s="4">
        <v>0</v>
      </c>
      <c r="I43" s="7">
        <v>46081</v>
      </c>
      <c r="J43" s="7">
        <v>46088</v>
      </c>
      <c r="K43" s="4" t="s">
        <v>49</v>
      </c>
      <c r="L43" s="7">
        <f t="shared" ca="1" si="0"/>
        <v>46297</v>
      </c>
      <c r="M43" s="14">
        <f t="shared" ca="1" si="1"/>
        <v>46297.119078935182</v>
      </c>
      <c r="N43" s="4">
        <f t="shared" si="2"/>
        <v>7</v>
      </c>
    </row>
    <row r="44" spans="1:14" x14ac:dyDescent="0.3">
      <c r="A44" s="9">
        <v>1043</v>
      </c>
      <c r="B44" s="9" t="s">
        <v>47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7">
        <v>46091</v>
      </c>
      <c r="J44" s="7">
        <v>46098</v>
      </c>
      <c r="K44" s="4" t="s">
        <v>49</v>
      </c>
      <c r="L44" s="7">
        <f t="shared" ca="1" si="0"/>
        <v>46297</v>
      </c>
      <c r="M44" s="14">
        <f t="shared" ca="1" si="1"/>
        <v>46297.119078935182</v>
      </c>
      <c r="N44" s="4">
        <f t="shared" si="2"/>
        <v>7</v>
      </c>
    </row>
    <row r="45" spans="1:14" x14ac:dyDescent="0.3">
      <c r="A45" s="9">
        <v>1044</v>
      </c>
      <c r="B45" s="9" t="s">
        <v>46</v>
      </c>
      <c r="C45" s="4" t="s">
        <v>38</v>
      </c>
      <c r="D45" s="4" t="s">
        <v>24</v>
      </c>
      <c r="E45" s="4" t="s">
        <v>7</v>
      </c>
      <c r="F45" s="4">
        <v>4</v>
      </c>
      <c r="G45" s="4">
        <v>14731</v>
      </c>
      <c r="H45" s="4">
        <v>2</v>
      </c>
      <c r="I45" s="7">
        <v>46173</v>
      </c>
      <c r="J45" s="7">
        <v>46176</v>
      </c>
      <c r="K45" s="4" t="s">
        <v>79</v>
      </c>
      <c r="L45" s="7">
        <f t="shared" ca="1" si="0"/>
        <v>46297</v>
      </c>
      <c r="M45" s="14">
        <f t="shared" ca="1" si="1"/>
        <v>46297.119078935182</v>
      </c>
      <c r="N45" s="4">
        <f t="shared" si="2"/>
        <v>3</v>
      </c>
    </row>
    <row r="46" spans="1:14" x14ac:dyDescent="0.3">
      <c r="A46" s="9">
        <v>1045</v>
      </c>
      <c r="B46" s="9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7">
        <v>46038</v>
      </c>
      <c r="J46" s="7">
        <v>46039</v>
      </c>
      <c r="K46" s="4" t="s">
        <v>49</v>
      </c>
      <c r="L46" s="7">
        <f t="shared" ca="1" si="0"/>
        <v>46297</v>
      </c>
      <c r="M46" s="14">
        <f t="shared" ca="1" si="1"/>
        <v>46297.119078935182</v>
      </c>
      <c r="N46" s="4">
        <f t="shared" si="2"/>
        <v>1</v>
      </c>
    </row>
    <row r="47" spans="1:14" x14ac:dyDescent="0.3">
      <c r="A47" s="9">
        <v>1046</v>
      </c>
      <c r="B47" s="9" t="s">
        <v>54</v>
      </c>
      <c r="C47" s="4" t="s">
        <v>38</v>
      </c>
      <c r="D47" s="4" t="s">
        <v>34</v>
      </c>
      <c r="E47" s="4" t="s">
        <v>6</v>
      </c>
      <c r="F47" s="4">
        <v>3</v>
      </c>
      <c r="G47" s="4">
        <v>19443</v>
      </c>
      <c r="H47" s="4">
        <v>10</v>
      </c>
      <c r="I47" s="7">
        <v>46153</v>
      </c>
      <c r="J47" s="7">
        <v>46158</v>
      </c>
      <c r="K47" s="4" t="s">
        <v>49</v>
      </c>
      <c r="L47" s="7">
        <f t="shared" ca="1" si="0"/>
        <v>46297</v>
      </c>
      <c r="M47" s="14">
        <f t="shared" ca="1" si="1"/>
        <v>46297.119078935182</v>
      </c>
      <c r="N47" s="4">
        <f t="shared" si="2"/>
        <v>5</v>
      </c>
    </row>
    <row r="48" spans="1:14" x14ac:dyDescent="0.3">
      <c r="A48" s="9">
        <v>1047</v>
      </c>
      <c r="B48" s="9" t="s">
        <v>55</v>
      </c>
      <c r="C48" s="4" t="s">
        <v>38</v>
      </c>
      <c r="D48" s="4" t="s">
        <v>24</v>
      </c>
      <c r="E48" s="4" t="s">
        <v>11</v>
      </c>
      <c r="F48" s="4">
        <v>11</v>
      </c>
      <c r="G48" s="4">
        <v>9976</v>
      </c>
      <c r="H48" s="4">
        <v>12</v>
      </c>
      <c r="I48" s="7">
        <v>46200</v>
      </c>
      <c r="J48" s="7">
        <v>46209</v>
      </c>
      <c r="K48" s="4" t="s">
        <v>78</v>
      </c>
      <c r="L48" s="7">
        <f t="shared" ca="1" si="0"/>
        <v>46297</v>
      </c>
      <c r="M48" s="14">
        <f t="shared" ca="1" si="1"/>
        <v>46297.119078935182</v>
      </c>
      <c r="N48" s="4">
        <f t="shared" si="2"/>
        <v>9</v>
      </c>
    </row>
    <row r="49" spans="1:14" x14ac:dyDescent="0.3">
      <c r="A49" s="9">
        <v>1048</v>
      </c>
      <c r="B49" s="9" t="s">
        <v>56</v>
      </c>
      <c r="C49" s="4" t="s">
        <v>27</v>
      </c>
      <c r="D49" s="4" t="s">
        <v>34</v>
      </c>
      <c r="E49" s="4" t="s">
        <v>9</v>
      </c>
      <c r="F49" s="4">
        <v>14</v>
      </c>
      <c r="G49" s="4">
        <v>11762</v>
      </c>
      <c r="H49" s="4">
        <v>7</v>
      </c>
      <c r="I49" s="7">
        <v>46180</v>
      </c>
      <c r="J49" s="7">
        <v>46186</v>
      </c>
      <c r="K49" s="4" t="s">
        <v>80</v>
      </c>
      <c r="L49" s="7">
        <f t="shared" ca="1" si="0"/>
        <v>46297</v>
      </c>
      <c r="M49" s="14">
        <f t="shared" ca="1" si="1"/>
        <v>46297.119078935182</v>
      </c>
      <c r="N49" s="4">
        <f t="shared" si="2"/>
        <v>6</v>
      </c>
    </row>
    <row r="50" spans="1:14" x14ac:dyDescent="0.3">
      <c r="A50" s="9">
        <v>1049</v>
      </c>
      <c r="B50" s="9" t="s">
        <v>50</v>
      </c>
      <c r="C50" s="4" t="s">
        <v>27</v>
      </c>
      <c r="D50" s="4" t="s">
        <v>34</v>
      </c>
      <c r="E50" s="4" t="s">
        <v>6</v>
      </c>
      <c r="F50" s="4">
        <v>2</v>
      </c>
      <c r="G50" s="4">
        <v>40789</v>
      </c>
      <c r="H50" s="4">
        <v>0</v>
      </c>
      <c r="I50" s="7">
        <v>46102</v>
      </c>
      <c r="J50" s="7">
        <v>46108</v>
      </c>
      <c r="K50" s="4" t="s">
        <v>80</v>
      </c>
      <c r="L50" s="7">
        <f t="shared" ca="1" si="0"/>
        <v>46297</v>
      </c>
      <c r="M50" s="14">
        <f t="shared" ca="1" si="1"/>
        <v>46297.119078935182</v>
      </c>
      <c r="N50" s="4">
        <f t="shared" si="2"/>
        <v>6</v>
      </c>
    </row>
    <row r="51" spans="1:14" x14ac:dyDescent="0.3">
      <c r="A51" s="9">
        <v>1050</v>
      </c>
      <c r="B51" s="9" t="s">
        <v>32</v>
      </c>
      <c r="C51" s="4" t="s">
        <v>27</v>
      </c>
      <c r="D51" s="4" t="s">
        <v>20</v>
      </c>
      <c r="E51" s="4" t="s">
        <v>51</v>
      </c>
      <c r="F51" s="4">
        <v>12</v>
      </c>
      <c r="G51" s="4">
        <v>360</v>
      </c>
      <c r="H51" s="4">
        <v>5</v>
      </c>
      <c r="I51" s="7">
        <v>46127</v>
      </c>
      <c r="J51" s="7">
        <v>46137</v>
      </c>
      <c r="K51" s="4" t="s">
        <v>49</v>
      </c>
      <c r="L51" s="7">
        <f t="shared" ca="1" si="0"/>
        <v>46297</v>
      </c>
      <c r="M51" s="14">
        <f t="shared" ca="1" si="1"/>
        <v>46297.119078935182</v>
      </c>
      <c r="N51" s="4">
        <f t="shared" si="2"/>
        <v>10</v>
      </c>
    </row>
    <row r="52" spans="1:14" x14ac:dyDescent="0.3">
      <c r="A52" s="9">
        <v>1051</v>
      </c>
      <c r="B52" s="9" t="s">
        <v>55</v>
      </c>
      <c r="C52" s="4" t="s">
        <v>23</v>
      </c>
      <c r="D52" s="4" t="s">
        <v>20</v>
      </c>
      <c r="E52" s="4" t="s">
        <v>36</v>
      </c>
      <c r="F52" s="4">
        <v>12</v>
      </c>
      <c r="G52" s="4">
        <v>47</v>
      </c>
      <c r="H52" s="4">
        <v>2</v>
      </c>
      <c r="I52" s="7">
        <v>46037</v>
      </c>
      <c r="J52" s="7">
        <v>46045</v>
      </c>
      <c r="K52" s="4" t="s">
        <v>78</v>
      </c>
      <c r="L52" s="7">
        <f t="shared" ca="1" si="0"/>
        <v>46297</v>
      </c>
      <c r="M52" s="14">
        <f t="shared" ca="1" si="1"/>
        <v>46297.119078935182</v>
      </c>
      <c r="N52" s="4">
        <f t="shared" si="2"/>
        <v>8</v>
      </c>
    </row>
    <row r="53" spans="1:14" x14ac:dyDescent="0.3">
      <c r="A53" s="9">
        <v>1052</v>
      </c>
      <c r="B53" s="9" t="s">
        <v>53</v>
      </c>
      <c r="C53" s="4" t="s">
        <v>19</v>
      </c>
      <c r="D53" s="4" t="s">
        <v>20</v>
      </c>
      <c r="E53" s="4" t="s">
        <v>21</v>
      </c>
      <c r="F53" s="4">
        <v>17</v>
      </c>
      <c r="G53" s="4">
        <v>172</v>
      </c>
      <c r="H53" s="4">
        <v>10</v>
      </c>
      <c r="I53" s="7">
        <v>46159</v>
      </c>
      <c r="J53" s="7">
        <v>46165</v>
      </c>
      <c r="K53" s="4" t="s">
        <v>79</v>
      </c>
      <c r="L53" s="7">
        <f t="shared" ca="1" si="0"/>
        <v>46297</v>
      </c>
      <c r="M53" s="14">
        <f t="shared" ca="1" si="1"/>
        <v>46297.119078935182</v>
      </c>
      <c r="N53" s="4">
        <f t="shared" si="2"/>
        <v>6</v>
      </c>
    </row>
    <row r="54" spans="1:14" x14ac:dyDescent="0.3">
      <c r="A54" s="9">
        <v>1053</v>
      </c>
      <c r="B54" s="9" t="s">
        <v>22</v>
      </c>
      <c r="C54" s="4" t="s">
        <v>33</v>
      </c>
      <c r="D54" s="4" t="s">
        <v>24</v>
      </c>
      <c r="E54" s="4" t="s">
        <v>8</v>
      </c>
      <c r="F54" s="4">
        <v>1</v>
      </c>
      <c r="G54" s="4">
        <v>9749</v>
      </c>
      <c r="H54" s="4">
        <v>15</v>
      </c>
      <c r="I54" s="7">
        <v>46064</v>
      </c>
      <c r="J54" s="7">
        <v>46070</v>
      </c>
      <c r="K54" s="4" t="s">
        <v>80</v>
      </c>
      <c r="L54" s="7">
        <f t="shared" ca="1" si="0"/>
        <v>46297</v>
      </c>
      <c r="M54" s="14">
        <f t="shared" ca="1" si="1"/>
        <v>46297.119078935182</v>
      </c>
      <c r="N54" s="4">
        <f t="shared" si="2"/>
        <v>6</v>
      </c>
    </row>
    <row r="55" spans="1:14" x14ac:dyDescent="0.3">
      <c r="A55" s="9">
        <v>1054</v>
      </c>
      <c r="B55" s="9" t="s">
        <v>28</v>
      </c>
      <c r="C55" s="4" t="s">
        <v>27</v>
      </c>
      <c r="D55" s="4" t="s">
        <v>24</v>
      </c>
      <c r="E55" s="4" t="s">
        <v>10</v>
      </c>
      <c r="F55" s="4">
        <v>8</v>
      </c>
      <c r="G55" s="4">
        <v>9798</v>
      </c>
      <c r="H55" s="4">
        <v>12</v>
      </c>
      <c r="I55" s="7">
        <v>46200</v>
      </c>
      <c r="J55" s="7">
        <v>46201</v>
      </c>
      <c r="K55" s="4" t="s">
        <v>81</v>
      </c>
      <c r="L55" s="7">
        <f t="shared" ca="1" si="0"/>
        <v>46297</v>
      </c>
      <c r="M55" s="14">
        <f t="shared" ca="1" si="1"/>
        <v>46297.119078935182</v>
      </c>
      <c r="N55" s="4">
        <f t="shared" si="2"/>
        <v>1</v>
      </c>
    </row>
    <row r="56" spans="1:14" x14ac:dyDescent="0.3">
      <c r="A56" s="9">
        <v>1055</v>
      </c>
      <c r="B56" s="9" t="s">
        <v>46</v>
      </c>
      <c r="C56" s="4" t="s">
        <v>19</v>
      </c>
      <c r="D56" s="4" t="s">
        <v>20</v>
      </c>
      <c r="E56" s="4" t="s">
        <v>37</v>
      </c>
      <c r="F56" s="4">
        <v>18</v>
      </c>
      <c r="G56" s="4">
        <v>185</v>
      </c>
      <c r="H56" s="4">
        <v>15</v>
      </c>
      <c r="I56" s="7">
        <v>46077</v>
      </c>
      <c r="J56" s="7">
        <v>46078</v>
      </c>
      <c r="K56" s="4" t="s">
        <v>78</v>
      </c>
      <c r="L56" s="7">
        <f t="shared" ca="1" si="0"/>
        <v>46297</v>
      </c>
      <c r="M56" s="14">
        <f t="shared" ca="1" si="1"/>
        <v>46297.119078935182</v>
      </c>
      <c r="N56" s="4">
        <f t="shared" si="2"/>
        <v>1</v>
      </c>
    </row>
    <row r="57" spans="1:14" x14ac:dyDescent="0.3">
      <c r="A57" s="9">
        <v>1056</v>
      </c>
      <c r="B57" s="9" t="s">
        <v>18</v>
      </c>
      <c r="C57" s="4" t="s">
        <v>26</v>
      </c>
      <c r="D57" s="4" t="s">
        <v>24</v>
      </c>
      <c r="E57" s="4" t="s">
        <v>7</v>
      </c>
      <c r="F57" s="4">
        <v>3</v>
      </c>
      <c r="G57" s="4">
        <v>9771</v>
      </c>
      <c r="H57" s="4">
        <v>5</v>
      </c>
      <c r="I57" s="7">
        <v>46133</v>
      </c>
      <c r="J57" s="7">
        <v>46139</v>
      </c>
      <c r="K57" s="4" t="s">
        <v>80</v>
      </c>
      <c r="L57" s="7">
        <f t="shared" ca="1" si="0"/>
        <v>46297</v>
      </c>
      <c r="M57" s="14">
        <f t="shared" ca="1" si="1"/>
        <v>46297.119078935182</v>
      </c>
      <c r="N57" s="4">
        <f t="shared" si="2"/>
        <v>6</v>
      </c>
    </row>
    <row r="58" spans="1:14" x14ac:dyDescent="0.3">
      <c r="A58" s="9">
        <v>1057</v>
      </c>
      <c r="B58" s="9" t="s">
        <v>56</v>
      </c>
      <c r="C58" s="4" t="s">
        <v>26</v>
      </c>
      <c r="D58" s="4" t="s">
        <v>24</v>
      </c>
      <c r="E58" s="4" t="s">
        <v>8</v>
      </c>
      <c r="F58" s="4">
        <v>2</v>
      </c>
      <c r="G58" s="4">
        <v>9531</v>
      </c>
      <c r="H58" s="4">
        <v>15</v>
      </c>
      <c r="I58" s="7">
        <v>46067</v>
      </c>
      <c r="J58" s="7">
        <v>46076</v>
      </c>
      <c r="K58" s="4" t="s">
        <v>81</v>
      </c>
      <c r="L58" s="7">
        <f t="shared" ca="1" si="0"/>
        <v>46297</v>
      </c>
      <c r="M58" s="14">
        <f t="shared" ca="1" si="1"/>
        <v>46297.119078935182</v>
      </c>
      <c r="N58" s="4">
        <f t="shared" si="2"/>
        <v>9</v>
      </c>
    </row>
    <row r="59" spans="1:14" x14ac:dyDescent="0.3">
      <c r="A59" s="9">
        <v>1058</v>
      </c>
      <c r="B59" s="9" t="s">
        <v>50</v>
      </c>
      <c r="C59" s="4" t="s">
        <v>38</v>
      </c>
      <c r="D59" s="4" t="s">
        <v>24</v>
      </c>
      <c r="E59" s="4" t="s">
        <v>8</v>
      </c>
      <c r="F59" s="4">
        <v>10</v>
      </c>
      <c r="G59" s="4">
        <v>5532</v>
      </c>
      <c r="H59" s="4">
        <v>7</v>
      </c>
      <c r="I59" s="7">
        <v>46074</v>
      </c>
      <c r="J59" s="7">
        <v>46084</v>
      </c>
      <c r="K59" s="4" t="s">
        <v>80</v>
      </c>
      <c r="L59" s="7">
        <f t="shared" ca="1" si="0"/>
        <v>46297</v>
      </c>
      <c r="M59" s="14">
        <f t="shared" ca="1" si="1"/>
        <v>46297.119078935182</v>
      </c>
      <c r="N59" s="4">
        <f t="shared" si="2"/>
        <v>10</v>
      </c>
    </row>
    <row r="60" spans="1:14" x14ac:dyDescent="0.3">
      <c r="A60" s="9">
        <v>1059</v>
      </c>
      <c r="B60" s="9" t="s">
        <v>52</v>
      </c>
      <c r="C60" s="4" t="s">
        <v>27</v>
      </c>
      <c r="D60" s="4" t="s">
        <v>20</v>
      </c>
      <c r="E60" s="4" t="s">
        <v>48</v>
      </c>
      <c r="F60" s="4">
        <v>20</v>
      </c>
      <c r="G60" s="4">
        <v>112</v>
      </c>
      <c r="H60" s="4">
        <v>10</v>
      </c>
      <c r="I60" s="7">
        <v>46113</v>
      </c>
      <c r="J60" s="7">
        <v>46122</v>
      </c>
      <c r="K60" s="4" t="s">
        <v>81</v>
      </c>
      <c r="L60" s="7">
        <f t="shared" ca="1" si="0"/>
        <v>46297</v>
      </c>
      <c r="M60" s="14">
        <f t="shared" ca="1" si="1"/>
        <v>46297.119078935182</v>
      </c>
      <c r="N60" s="4">
        <f t="shared" si="2"/>
        <v>9</v>
      </c>
    </row>
    <row r="61" spans="1:14" x14ac:dyDescent="0.3">
      <c r="A61" s="9">
        <v>1060</v>
      </c>
      <c r="B61" s="9" t="s">
        <v>47</v>
      </c>
      <c r="C61" s="4" t="s">
        <v>19</v>
      </c>
      <c r="D61" s="4" t="s">
        <v>24</v>
      </c>
      <c r="E61" s="4" t="s">
        <v>43</v>
      </c>
      <c r="F61" s="4">
        <v>9</v>
      </c>
      <c r="G61" s="4">
        <v>9727</v>
      </c>
      <c r="H61" s="4">
        <v>2</v>
      </c>
      <c r="I61" s="7">
        <v>46024</v>
      </c>
      <c r="J61" s="7">
        <v>46030</v>
      </c>
      <c r="K61" s="4" t="s">
        <v>79</v>
      </c>
      <c r="L61" s="7">
        <f t="shared" ca="1" si="0"/>
        <v>46297</v>
      </c>
      <c r="M61" s="14">
        <f t="shared" ca="1" si="1"/>
        <v>46297.119078935182</v>
      </c>
      <c r="N61" s="4">
        <f t="shared" si="2"/>
        <v>6</v>
      </c>
    </row>
    <row r="62" spans="1:14" x14ac:dyDescent="0.3">
      <c r="A62" s="9">
        <v>1061</v>
      </c>
      <c r="B62" s="9" t="s">
        <v>54</v>
      </c>
      <c r="C62" s="4" t="s">
        <v>19</v>
      </c>
      <c r="D62" s="4" t="s">
        <v>34</v>
      </c>
      <c r="E62" s="4" t="s">
        <v>40</v>
      </c>
      <c r="F62" s="4">
        <v>16</v>
      </c>
      <c r="G62" s="4">
        <v>59084</v>
      </c>
      <c r="H62" s="4">
        <v>0</v>
      </c>
      <c r="I62" s="7">
        <v>46060</v>
      </c>
      <c r="J62" s="7">
        <v>46069</v>
      </c>
      <c r="K62" s="4" t="s">
        <v>79</v>
      </c>
      <c r="L62" s="7">
        <f t="shared" ca="1" si="0"/>
        <v>46297</v>
      </c>
      <c r="M62" s="14">
        <f t="shared" ca="1" si="1"/>
        <v>46297.119078935182</v>
      </c>
      <c r="N62" s="4">
        <f t="shared" si="2"/>
        <v>9</v>
      </c>
    </row>
    <row r="63" spans="1:14" x14ac:dyDescent="0.3">
      <c r="A63" s="9">
        <v>1062</v>
      </c>
      <c r="B63" s="9" t="s">
        <v>39</v>
      </c>
      <c r="C63" s="4" t="s">
        <v>42</v>
      </c>
      <c r="D63" s="4" t="s">
        <v>24</v>
      </c>
      <c r="E63" s="4" t="s">
        <v>10</v>
      </c>
      <c r="F63" s="4">
        <v>8</v>
      </c>
      <c r="G63" s="4">
        <v>8360</v>
      </c>
      <c r="H63" s="4">
        <v>2</v>
      </c>
      <c r="I63" s="7">
        <v>46190</v>
      </c>
      <c r="J63" s="7">
        <v>46200</v>
      </c>
      <c r="K63" s="4" t="s">
        <v>81</v>
      </c>
      <c r="L63" s="7">
        <f t="shared" ca="1" si="0"/>
        <v>46297</v>
      </c>
      <c r="M63" s="14">
        <f t="shared" ca="1" si="1"/>
        <v>46297.119078935182</v>
      </c>
      <c r="N63" s="4">
        <f t="shared" si="2"/>
        <v>10</v>
      </c>
    </row>
    <row r="64" spans="1:14" x14ac:dyDescent="0.3">
      <c r="A64" s="9">
        <v>1063</v>
      </c>
      <c r="B64" s="9" t="s">
        <v>52</v>
      </c>
      <c r="C64" s="4" t="s">
        <v>26</v>
      </c>
      <c r="D64" s="4" t="s">
        <v>34</v>
      </c>
      <c r="E64" s="4" t="s">
        <v>6</v>
      </c>
      <c r="F64" s="4">
        <v>7</v>
      </c>
      <c r="G64" s="4">
        <v>66744</v>
      </c>
      <c r="H64" s="4">
        <v>7</v>
      </c>
      <c r="I64" s="7">
        <v>46148</v>
      </c>
      <c r="J64" s="7">
        <v>46155</v>
      </c>
      <c r="K64" s="4" t="s">
        <v>78</v>
      </c>
      <c r="L64" s="7">
        <f t="shared" ca="1" si="0"/>
        <v>46297</v>
      </c>
      <c r="M64" s="14">
        <f t="shared" ca="1" si="1"/>
        <v>46297.119078935182</v>
      </c>
      <c r="N64" s="4">
        <f t="shared" si="2"/>
        <v>7</v>
      </c>
    </row>
    <row r="65" spans="1:14" x14ac:dyDescent="0.3">
      <c r="A65" s="9">
        <v>1064</v>
      </c>
      <c r="B65" s="9" t="s">
        <v>28</v>
      </c>
      <c r="C65" s="4" t="s">
        <v>23</v>
      </c>
      <c r="D65" s="4" t="s">
        <v>20</v>
      </c>
      <c r="E65" s="4" t="s">
        <v>48</v>
      </c>
      <c r="F65" s="4">
        <v>20</v>
      </c>
      <c r="G65" s="4">
        <v>191</v>
      </c>
      <c r="H65" s="4">
        <v>7</v>
      </c>
      <c r="I65" s="7">
        <v>46185</v>
      </c>
      <c r="J65" s="7">
        <v>46195</v>
      </c>
      <c r="K65" s="4" t="s">
        <v>49</v>
      </c>
      <c r="L65" s="7">
        <f t="shared" ca="1" si="0"/>
        <v>46297</v>
      </c>
      <c r="M65" s="14">
        <f t="shared" ca="1" si="1"/>
        <v>46297.119078935182</v>
      </c>
      <c r="N65" s="4">
        <f t="shared" si="2"/>
        <v>10</v>
      </c>
    </row>
    <row r="66" spans="1:14" x14ac:dyDescent="0.3">
      <c r="A66" s="9">
        <v>1065</v>
      </c>
      <c r="B66" s="9" t="s">
        <v>41</v>
      </c>
      <c r="C66" s="4" t="s">
        <v>42</v>
      </c>
      <c r="D66" s="4" t="s">
        <v>24</v>
      </c>
      <c r="E66" s="4" t="s">
        <v>43</v>
      </c>
      <c r="F66" s="4">
        <v>1</v>
      </c>
      <c r="G66" s="4">
        <v>7730</v>
      </c>
      <c r="H66" s="4">
        <v>5</v>
      </c>
      <c r="I66" s="7">
        <v>46192</v>
      </c>
      <c r="J66" s="7">
        <v>46195</v>
      </c>
      <c r="K66" s="4" t="s">
        <v>81</v>
      </c>
      <c r="L66" s="7">
        <f t="shared" ca="1" si="0"/>
        <v>46297</v>
      </c>
      <c r="M66" s="14">
        <f t="shared" ca="1" si="1"/>
        <v>46297.119078935182</v>
      </c>
      <c r="N66" s="4">
        <f t="shared" si="2"/>
        <v>3</v>
      </c>
    </row>
    <row r="67" spans="1:14" x14ac:dyDescent="0.3">
      <c r="A67" s="9">
        <v>1066</v>
      </c>
      <c r="B67" s="9" t="s">
        <v>45</v>
      </c>
      <c r="C67" s="4" t="s">
        <v>27</v>
      </c>
      <c r="D67" s="4" t="s">
        <v>24</v>
      </c>
      <c r="E67" s="4" t="s">
        <v>43</v>
      </c>
      <c r="F67" s="4">
        <v>15</v>
      </c>
      <c r="G67" s="4">
        <v>11987</v>
      </c>
      <c r="H67" s="4">
        <v>5</v>
      </c>
      <c r="I67" s="7">
        <v>46082</v>
      </c>
      <c r="J67" s="7">
        <v>46083</v>
      </c>
      <c r="K67" s="4" t="s">
        <v>78</v>
      </c>
      <c r="L67" s="7">
        <f t="shared" ref="L67:L130" ca="1" si="3">TODAY()</f>
        <v>46297</v>
      </c>
      <c r="M67" s="14">
        <f t="shared" ref="M67:M130" ca="1" si="4">NOW()</f>
        <v>46297.119078935182</v>
      </c>
      <c r="N67" s="4">
        <f t="shared" ref="N67:N130" si="5">DATEDIF(I67,J67, "d")</f>
        <v>1</v>
      </c>
    </row>
    <row r="68" spans="1:14" x14ac:dyDescent="0.3">
      <c r="A68" s="9">
        <v>1067</v>
      </c>
      <c r="B68" s="9" t="s">
        <v>32</v>
      </c>
      <c r="C68" s="4" t="s">
        <v>42</v>
      </c>
      <c r="D68" s="4" t="s">
        <v>24</v>
      </c>
      <c r="E68" s="4" t="s">
        <v>11</v>
      </c>
      <c r="F68" s="4">
        <v>14</v>
      </c>
      <c r="G68" s="4">
        <v>10869</v>
      </c>
      <c r="H68" s="4">
        <v>0</v>
      </c>
      <c r="I68" s="7">
        <v>46058</v>
      </c>
      <c r="J68" s="7">
        <v>46062</v>
      </c>
      <c r="K68" s="4" t="s">
        <v>49</v>
      </c>
      <c r="L68" s="7">
        <f t="shared" ca="1" si="3"/>
        <v>46297</v>
      </c>
      <c r="M68" s="14">
        <f t="shared" ca="1" si="4"/>
        <v>46297.119078935182</v>
      </c>
      <c r="N68" s="4">
        <f t="shared" si="5"/>
        <v>4</v>
      </c>
    </row>
    <row r="69" spans="1:14" x14ac:dyDescent="0.3">
      <c r="A69" s="9">
        <v>1068</v>
      </c>
      <c r="B69" s="9" t="s">
        <v>50</v>
      </c>
      <c r="C69" s="4" t="s">
        <v>42</v>
      </c>
      <c r="D69" s="4" t="s">
        <v>34</v>
      </c>
      <c r="E69" s="4" t="s">
        <v>9</v>
      </c>
      <c r="F69" s="4">
        <v>15</v>
      </c>
      <c r="G69" s="4">
        <v>14534</v>
      </c>
      <c r="H69" s="4">
        <v>5</v>
      </c>
      <c r="I69" s="7">
        <v>46196</v>
      </c>
      <c r="J69" s="7">
        <v>46199</v>
      </c>
      <c r="K69" s="4" t="s">
        <v>49</v>
      </c>
      <c r="L69" s="7">
        <f t="shared" ca="1" si="3"/>
        <v>46297</v>
      </c>
      <c r="M69" s="14">
        <f t="shared" ca="1" si="4"/>
        <v>46297.119078935182</v>
      </c>
      <c r="N69" s="4">
        <f t="shared" si="5"/>
        <v>3</v>
      </c>
    </row>
    <row r="70" spans="1:14" x14ac:dyDescent="0.3">
      <c r="A70" s="9">
        <v>1069</v>
      </c>
      <c r="B70" s="9" t="s">
        <v>50</v>
      </c>
      <c r="C70" s="4" t="s">
        <v>31</v>
      </c>
      <c r="D70" s="4" t="s">
        <v>24</v>
      </c>
      <c r="E70" s="4" t="s">
        <v>8</v>
      </c>
      <c r="F70" s="4">
        <v>9</v>
      </c>
      <c r="G70" s="4">
        <v>4415</v>
      </c>
      <c r="H70" s="4">
        <v>5</v>
      </c>
      <c r="I70" s="7">
        <v>46039</v>
      </c>
      <c r="J70" s="7">
        <v>46046</v>
      </c>
      <c r="K70" s="4" t="s">
        <v>78</v>
      </c>
      <c r="L70" s="7">
        <f t="shared" ca="1" si="3"/>
        <v>46297</v>
      </c>
      <c r="M70" s="14">
        <f t="shared" ca="1" si="4"/>
        <v>46297.119078935182</v>
      </c>
      <c r="N70" s="4">
        <f t="shared" si="5"/>
        <v>7</v>
      </c>
    </row>
    <row r="71" spans="1:14" x14ac:dyDescent="0.3">
      <c r="A71" s="9">
        <v>1070</v>
      </c>
      <c r="B71" s="9" t="s">
        <v>50</v>
      </c>
      <c r="C71" s="4" t="s">
        <v>42</v>
      </c>
      <c r="D71" s="4" t="s">
        <v>20</v>
      </c>
      <c r="E71" s="4" t="s">
        <v>36</v>
      </c>
      <c r="F71" s="4">
        <v>10</v>
      </c>
      <c r="G71" s="4">
        <v>233</v>
      </c>
      <c r="H71" s="4">
        <v>7</v>
      </c>
      <c r="I71" s="7">
        <v>46076</v>
      </c>
      <c r="J71" s="7">
        <v>46077</v>
      </c>
      <c r="K71" s="4" t="s">
        <v>49</v>
      </c>
      <c r="L71" s="7">
        <f t="shared" ca="1" si="3"/>
        <v>46297</v>
      </c>
      <c r="M71" s="14">
        <f t="shared" ca="1" si="4"/>
        <v>46297.119078935182</v>
      </c>
      <c r="N71" s="4">
        <f t="shared" si="5"/>
        <v>1</v>
      </c>
    </row>
    <row r="72" spans="1:14" x14ac:dyDescent="0.3">
      <c r="A72" s="9">
        <v>1071</v>
      </c>
      <c r="B72" s="9" t="s">
        <v>56</v>
      </c>
      <c r="C72" s="4" t="s">
        <v>26</v>
      </c>
      <c r="D72" s="4" t="s">
        <v>34</v>
      </c>
      <c r="E72" s="4" t="s">
        <v>12</v>
      </c>
      <c r="F72" s="4">
        <v>18</v>
      </c>
      <c r="G72" s="4">
        <v>32197</v>
      </c>
      <c r="H72" s="4">
        <v>5</v>
      </c>
      <c r="I72" s="7">
        <v>46129</v>
      </c>
      <c r="J72" s="7">
        <v>46137</v>
      </c>
      <c r="K72" s="4" t="s">
        <v>79</v>
      </c>
      <c r="L72" s="7">
        <f t="shared" ca="1" si="3"/>
        <v>46297</v>
      </c>
      <c r="M72" s="14">
        <f t="shared" ca="1" si="4"/>
        <v>46297.119078935182</v>
      </c>
      <c r="N72" s="4">
        <f t="shared" si="5"/>
        <v>8</v>
      </c>
    </row>
    <row r="73" spans="1:14" x14ac:dyDescent="0.3">
      <c r="A73" s="9">
        <v>1072</v>
      </c>
      <c r="B73" s="9" t="s">
        <v>22</v>
      </c>
      <c r="C73" s="4" t="s">
        <v>27</v>
      </c>
      <c r="D73" s="4" t="s">
        <v>34</v>
      </c>
      <c r="E73" s="4" t="s">
        <v>12</v>
      </c>
      <c r="F73" s="4">
        <v>20</v>
      </c>
      <c r="G73" s="4">
        <v>58779</v>
      </c>
      <c r="H73" s="4">
        <v>0</v>
      </c>
      <c r="I73" s="7">
        <v>46035</v>
      </c>
      <c r="J73" s="7">
        <v>46036</v>
      </c>
      <c r="K73" s="4" t="s">
        <v>80</v>
      </c>
      <c r="L73" s="7">
        <f t="shared" ca="1" si="3"/>
        <v>46297</v>
      </c>
      <c r="M73" s="14">
        <f t="shared" ca="1" si="4"/>
        <v>46297.119078935182</v>
      </c>
      <c r="N73" s="4">
        <f t="shared" si="5"/>
        <v>1</v>
      </c>
    </row>
    <row r="74" spans="1:14" x14ac:dyDescent="0.3">
      <c r="A74" s="9">
        <v>1073</v>
      </c>
      <c r="B74" s="9" t="s">
        <v>55</v>
      </c>
      <c r="C74" s="4" t="s">
        <v>23</v>
      </c>
      <c r="D74" s="4" t="s">
        <v>24</v>
      </c>
      <c r="E74" s="4" t="s">
        <v>11</v>
      </c>
      <c r="F74" s="4">
        <v>4</v>
      </c>
      <c r="G74" s="4">
        <v>2453</v>
      </c>
      <c r="H74" s="4">
        <v>7</v>
      </c>
      <c r="I74" s="7">
        <v>46126</v>
      </c>
      <c r="J74" s="7">
        <v>46129</v>
      </c>
      <c r="K74" s="4" t="s">
        <v>81</v>
      </c>
      <c r="L74" s="7">
        <f t="shared" ca="1" si="3"/>
        <v>46297</v>
      </c>
      <c r="M74" s="14">
        <f t="shared" ca="1" si="4"/>
        <v>46297.119078935182</v>
      </c>
      <c r="N74" s="4">
        <f t="shared" si="5"/>
        <v>3</v>
      </c>
    </row>
    <row r="75" spans="1:14" x14ac:dyDescent="0.3">
      <c r="A75" s="9">
        <v>1074</v>
      </c>
      <c r="B75" s="9" t="s">
        <v>28</v>
      </c>
      <c r="C75" s="4" t="s">
        <v>31</v>
      </c>
      <c r="D75" s="4" t="s">
        <v>20</v>
      </c>
      <c r="E75" s="4" t="s">
        <v>48</v>
      </c>
      <c r="F75" s="4">
        <v>11</v>
      </c>
      <c r="G75" s="4">
        <v>390</v>
      </c>
      <c r="H75" s="4">
        <v>15</v>
      </c>
      <c r="I75" s="7">
        <v>46114</v>
      </c>
      <c r="J75" s="7">
        <v>46123</v>
      </c>
      <c r="K75" s="4" t="s">
        <v>49</v>
      </c>
      <c r="L75" s="7">
        <f t="shared" ca="1" si="3"/>
        <v>46297</v>
      </c>
      <c r="M75" s="14">
        <f t="shared" ca="1" si="4"/>
        <v>46297.119078935182</v>
      </c>
      <c r="N75" s="4">
        <f t="shared" si="5"/>
        <v>9</v>
      </c>
    </row>
    <row r="76" spans="1:14" x14ac:dyDescent="0.3">
      <c r="A76" s="9">
        <v>1075</v>
      </c>
      <c r="B76" s="9" t="s">
        <v>41</v>
      </c>
      <c r="C76" s="4" t="s">
        <v>42</v>
      </c>
      <c r="D76" s="4" t="s">
        <v>34</v>
      </c>
      <c r="E76" s="4" t="s">
        <v>12</v>
      </c>
      <c r="F76" s="4">
        <v>4</v>
      </c>
      <c r="G76" s="4">
        <v>64773</v>
      </c>
      <c r="H76" s="4">
        <v>10</v>
      </c>
      <c r="I76" s="7">
        <v>46185</v>
      </c>
      <c r="J76" s="7">
        <v>46186</v>
      </c>
      <c r="K76" s="4" t="s">
        <v>81</v>
      </c>
      <c r="L76" s="7">
        <f t="shared" ca="1" si="3"/>
        <v>46297</v>
      </c>
      <c r="M76" s="14">
        <f t="shared" ca="1" si="4"/>
        <v>46297.119078935182</v>
      </c>
      <c r="N76" s="4">
        <f t="shared" si="5"/>
        <v>1</v>
      </c>
    </row>
    <row r="77" spans="1:14" x14ac:dyDescent="0.3">
      <c r="A77" s="9">
        <v>1076</v>
      </c>
      <c r="B77" s="9" t="s">
        <v>49</v>
      </c>
      <c r="C77" s="4" t="s">
        <v>23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7">
        <v>46045</v>
      </c>
      <c r="J77" s="7">
        <v>46055</v>
      </c>
      <c r="K77" s="4" t="s">
        <v>49</v>
      </c>
      <c r="L77" s="7">
        <f t="shared" ca="1" si="3"/>
        <v>46297</v>
      </c>
      <c r="M77" s="14">
        <f t="shared" ca="1" si="4"/>
        <v>46297.119078935182</v>
      </c>
      <c r="N77" s="4">
        <f t="shared" si="5"/>
        <v>10</v>
      </c>
    </row>
    <row r="78" spans="1:14" x14ac:dyDescent="0.3">
      <c r="A78" s="9">
        <v>1077</v>
      </c>
      <c r="B78" s="9" t="s">
        <v>53</v>
      </c>
      <c r="C78" s="4" t="s">
        <v>27</v>
      </c>
      <c r="D78" s="4" t="s">
        <v>20</v>
      </c>
      <c r="E78" s="4" t="s">
        <v>21</v>
      </c>
      <c r="F78" s="4">
        <v>1</v>
      </c>
      <c r="G78" s="4">
        <v>123</v>
      </c>
      <c r="H78" s="4">
        <v>10</v>
      </c>
      <c r="I78" s="7">
        <v>46113</v>
      </c>
      <c r="J78" s="7">
        <v>46121</v>
      </c>
      <c r="K78" s="4" t="s">
        <v>81</v>
      </c>
      <c r="L78" s="7">
        <f t="shared" ca="1" si="3"/>
        <v>46297</v>
      </c>
      <c r="M78" s="14">
        <f t="shared" ca="1" si="4"/>
        <v>46297.119078935182</v>
      </c>
      <c r="N78" s="4">
        <f t="shared" si="5"/>
        <v>8</v>
      </c>
    </row>
    <row r="79" spans="1:14" x14ac:dyDescent="0.3">
      <c r="A79" s="9">
        <v>1078</v>
      </c>
      <c r="B79" s="9" t="s">
        <v>50</v>
      </c>
      <c r="C79" s="4" t="s">
        <v>23</v>
      </c>
      <c r="D79" s="4" t="s">
        <v>34</v>
      </c>
      <c r="E79" s="4" t="s">
        <v>5</v>
      </c>
      <c r="F79" s="4">
        <v>11</v>
      </c>
      <c r="G79" s="4">
        <v>24278</v>
      </c>
      <c r="H79" s="4">
        <v>12</v>
      </c>
      <c r="I79" s="7">
        <v>46084</v>
      </c>
      <c r="J79" s="7">
        <v>46090</v>
      </c>
      <c r="K79" s="4" t="s">
        <v>49</v>
      </c>
      <c r="L79" s="7">
        <f t="shared" ca="1" si="3"/>
        <v>46297</v>
      </c>
      <c r="M79" s="14">
        <f t="shared" ca="1" si="4"/>
        <v>46297.119078935182</v>
      </c>
      <c r="N79" s="4">
        <f t="shared" si="5"/>
        <v>6</v>
      </c>
    </row>
    <row r="80" spans="1:14" x14ac:dyDescent="0.3">
      <c r="A80" s="9">
        <v>1079</v>
      </c>
      <c r="B80" s="9" t="s">
        <v>28</v>
      </c>
      <c r="C80" s="4" t="s">
        <v>38</v>
      </c>
      <c r="D80" s="4" t="s">
        <v>34</v>
      </c>
      <c r="E80" s="4" t="s">
        <v>40</v>
      </c>
      <c r="F80" s="4">
        <v>19</v>
      </c>
      <c r="G80" s="4">
        <v>48956</v>
      </c>
      <c r="H80" s="4">
        <v>12</v>
      </c>
      <c r="I80" s="7">
        <v>46170</v>
      </c>
      <c r="J80" s="7">
        <v>46177</v>
      </c>
      <c r="K80" s="4" t="s">
        <v>81</v>
      </c>
      <c r="L80" s="7">
        <f t="shared" ca="1" si="3"/>
        <v>46297</v>
      </c>
      <c r="M80" s="14">
        <f t="shared" ca="1" si="4"/>
        <v>46297.119078935182</v>
      </c>
      <c r="N80" s="4">
        <f t="shared" si="5"/>
        <v>7</v>
      </c>
    </row>
    <row r="81" spans="1:14" x14ac:dyDescent="0.3">
      <c r="A81" s="9">
        <v>1080</v>
      </c>
      <c r="B81" s="9" t="s">
        <v>25</v>
      </c>
      <c r="C81" s="4" t="s">
        <v>26</v>
      </c>
      <c r="D81" s="4" t="s">
        <v>34</v>
      </c>
      <c r="E81" s="4" t="s">
        <v>40</v>
      </c>
      <c r="F81" s="4">
        <v>12</v>
      </c>
      <c r="G81" s="4">
        <v>54161</v>
      </c>
      <c r="H81" s="4">
        <v>15</v>
      </c>
      <c r="I81" s="7">
        <v>46133</v>
      </c>
      <c r="J81" s="7">
        <v>46143</v>
      </c>
      <c r="K81" s="4" t="s">
        <v>80</v>
      </c>
      <c r="L81" s="7">
        <f t="shared" ca="1" si="3"/>
        <v>46297</v>
      </c>
      <c r="M81" s="14">
        <f t="shared" ca="1" si="4"/>
        <v>46297.119078935182</v>
      </c>
      <c r="N81" s="4">
        <f t="shared" si="5"/>
        <v>10</v>
      </c>
    </row>
    <row r="82" spans="1:14" x14ac:dyDescent="0.3">
      <c r="A82" s="9">
        <v>1081</v>
      </c>
      <c r="B82" s="9" t="s">
        <v>45</v>
      </c>
      <c r="C82" s="4" t="s">
        <v>19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7">
        <v>46058</v>
      </c>
      <c r="J82" s="7">
        <v>46060</v>
      </c>
      <c r="K82" s="4" t="s">
        <v>81</v>
      </c>
      <c r="L82" s="7">
        <f t="shared" ca="1" si="3"/>
        <v>46297</v>
      </c>
      <c r="M82" s="14">
        <f t="shared" ca="1" si="4"/>
        <v>46297.119078935182</v>
      </c>
      <c r="N82" s="4">
        <f t="shared" si="5"/>
        <v>2</v>
      </c>
    </row>
    <row r="83" spans="1:14" x14ac:dyDescent="0.3">
      <c r="A83" s="9">
        <v>1082</v>
      </c>
      <c r="B83" s="9" t="s">
        <v>25</v>
      </c>
      <c r="C83" s="4" t="s">
        <v>19</v>
      </c>
      <c r="D83" s="4" t="s">
        <v>20</v>
      </c>
      <c r="E83" s="4" t="s">
        <v>21</v>
      </c>
      <c r="F83" s="4">
        <v>7</v>
      </c>
      <c r="G83" s="4">
        <v>133</v>
      </c>
      <c r="H83" s="4">
        <v>10</v>
      </c>
      <c r="I83" s="7">
        <v>46075</v>
      </c>
      <c r="J83" s="7">
        <v>46085</v>
      </c>
      <c r="K83" s="4" t="s">
        <v>81</v>
      </c>
      <c r="L83" s="7">
        <f t="shared" ca="1" si="3"/>
        <v>46297</v>
      </c>
      <c r="M83" s="14">
        <f t="shared" ca="1" si="4"/>
        <v>46297.119078935182</v>
      </c>
      <c r="N83" s="4">
        <f t="shared" si="5"/>
        <v>10</v>
      </c>
    </row>
    <row r="84" spans="1:14" x14ac:dyDescent="0.3">
      <c r="A84" s="9">
        <v>1083</v>
      </c>
      <c r="B84" s="9" t="s">
        <v>53</v>
      </c>
      <c r="C84" s="4" t="s">
        <v>33</v>
      </c>
      <c r="D84" s="4" t="s">
        <v>20</v>
      </c>
      <c r="E84" s="4" t="s">
        <v>51</v>
      </c>
      <c r="F84" s="4">
        <v>4</v>
      </c>
      <c r="G84" s="4">
        <v>397</v>
      </c>
      <c r="H84" s="4">
        <v>7</v>
      </c>
      <c r="I84" s="7">
        <v>46185</v>
      </c>
      <c r="J84" s="7">
        <v>46193</v>
      </c>
      <c r="K84" s="4" t="s">
        <v>78</v>
      </c>
      <c r="L84" s="7">
        <f t="shared" ca="1" si="3"/>
        <v>46297</v>
      </c>
      <c r="M84" s="14">
        <f t="shared" ca="1" si="4"/>
        <v>46297.119078935182</v>
      </c>
      <c r="N84" s="4">
        <f t="shared" si="5"/>
        <v>8</v>
      </c>
    </row>
    <row r="85" spans="1:14" x14ac:dyDescent="0.3">
      <c r="A85" s="9">
        <v>1084</v>
      </c>
      <c r="B85" s="9" t="s">
        <v>47</v>
      </c>
      <c r="C85" s="4" t="s">
        <v>31</v>
      </c>
      <c r="D85" s="4" t="s">
        <v>24</v>
      </c>
      <c r="E85" s="4" t="s">
        <v>8</v>
      </c>
      <c r="F85" s="4">
        <v>4</v>
      </c>
      <c r="G85" s="4">
        <v>6901</v>
      </c>
      <c r="H85" s="4">
        <v>10</v>
      </c>
      <c r="I85" s="7">
        <v>46047</v>
      </c>
      <c r="J85" s="7">
        <v>46057</v>
      </c>
      <c r="K85" s="4" t="s">
        <v>79</v>
      </c>
      <c r="L85" s="7">
        <f t="shared" ca="1" si="3"/>
        <v>46297</v>
      </c>
      <c r="M85" s="14">
        <f t="shared" ca="1" si="4"/>
        <v>46297.119078935182</v>
      </c>
      <c r="N85" s="4">
        <f t="shared" si="5"/>
        <v>10</v>
      </c>
    </row>
    <row r="86" spans="1:14" x14ac:dyDescent="0.3">
      <c r="A86" s="9">
        <v>1085</v>
      </c>
      <c r="B86" s="9" t="s">
        <v>32</v>
      </c>
      <c r="C86" s="4" t="s">
        <v>38</v>
      </c>
      <c r="D86" s="4" t="s">
        <v>34</v>
      </c>
      <c r="E86" s="4" t="s">
        <v>9</v>
      </c>
      <c r="F86" s="4">
        <v>19</v>
      </c>
      <c r="G86" s="4">
        <v>45307</v>
      </c>
      <c r="H86" s="4">
        <v>12</v>
      </c>
      <c r="I86" s="7">
        <v>46146</v>
      </c>
      <c r="J86" s="7">
        <v>46150</v>
      </c>
      <c r="K86" s="4" t="s">
        <v>80</v>
      </c>
      <c r="L86" s="7">
        <f t="shared" ca="1" si="3"/>
        <v>46297</v>
      </c>
      <c r="M86" s="14">
        <f t="shared" ca="1" si="4"/>
        <v>46297.119078935182</v>
      </c>
      <c r="N86" s="4">
        <f t="shared" si="5"/>
        <v>4</v>
      </c>
    </row>
    <row r="87" spans="1:14" x14ac:dyDescent="0.3">
      <c r="A87" s="9">
        <v>1086</v>
      </c>
      <c r="B87" s="9" t="s">
        <v>32</v>
      </c>
      <c r="C87" s="4" t="s">
        <v>19</v>
      </c>
      <c r="D87" s="4" t="s">
        <v>20</v>
      </c>
      <c r="E87" s="4" t="s">
        <v>51</v>
      </c>
      <c r="F87" s="4">
        <v>15</v>
      </c>
      <c r="G87" s="4">
        <v>40</v>
      </c>
      <c r="H87" s="4">
        <v>10</v>
      </c>
      <c r="I87" s="7">
        <v>46045</v>
      </c>
      <c r="J87" s="7">
        <v>46049</v>
      </c>
      <c r="K87" s="4" t="s">
        <v>80</v>
      </c>
      <c r="L87" s="7">
        <f t="shared" ca="1" si="3"/>
        <v>46297</v>
      </c>
      <c r="M87" s="14">
        <f t="shared" ca="1" si="4"/>
        <v>46297.119078935182</v>
      </c>
      <c r="N87" s="4">
        <f t="shared" si="5"/>
        <v>4</v>
      </c>
    </row>
    <row r="88" spans="1:14" x14ac:dyDescent="0.3">
      <c r="A88" s="9">
        <v>1087</v>
      </c>
      <c r="B88" s="9" t="s">
        <v>18</v>
      </c>
      <c r="C88" s="4" t="s">
        <v>31</v>
      </c>
      <c r="D88" s="4" t="s">
        <v>20</v>
      </c>
      <c r="E88" s="4" t="s">
        <v>37</v>
      </c>
      <c r="F88" s="4">
        <v>13</v>
      </c>
      <c r="G88" s="4">
        <v>387</v>
      </c>
      <c r="H88" s="4">
        <v>7</v>
      </c>
      <c r="I88" s="7">
        <v>46171</v>
      </c>
      <c r="J88" s="7">
        <v>46176</v>
      </c>
      <c r="K88" s="4" t="s">
        <v>80</v>
      </c>
      <c r="L88" s="7">
        <f t="shared" ca="1" si="3"/>
        <v>46297</v>
      </c>
      <c r="M88" s="14">
        <f t="shared" ca="1" si="4"/>
        <v>46297.119078935182</v>
      </c>
      <c r="N88" s="4">
        <f t="shared" si="5"/>
        <v>5</v>
      </c>
    </row>
    <row r="89" spans="1:14" x14ac:dyDescent="0.3">
      <c r="A89" s="9">
        <v>1088</v>
      </c>
      <c r="B89" s="9" t="s">
        <v>39</v>
      </c>
      <c r="C89" s="4" t="s">
        <v>33</v>
      </c>
      <c r="D89" s="4" t="s">
        <v>34</v>
      </c>
      <c r="E89" s="4" t="s">
        <v>40</v>
      </c>
      <c r="F89" s="4">
        <v>20</v>
      </c>
      <c r="G89" s="4">
        <v>41165</v>
      </c>
      <c r="H89" s="4">
        <v>0</v>
      </c>
      <c r="I89" s="7">
        <v>46068</v>
      </c>
      <c r="J89" s="7">
        <v>46069</v>
      </c>
      <c r="K89" s="4" t="s">
        <v>79</v>
      </c>
      <c r="L89" s="7">
        <f t="shared" ca="1" si="3"/>
        <v>46297</v>
      </c>
      <c r="M89" s="14">
        <f t="shared" ca="1" si="4"/>
        <v>46297.119078935182</v>
      </c>
      <c r="N89" s="4">
        <f t="shared" si="5"/>
        <v>1</v>
      </c>
    </row>
    <row r="90" spans="1:14" x14ac:dyDescent="0.3">
      <c r="A90" s="9">
        <v>1089</v>
      </c>
      <c r="B90" s="9" t="s">
        <v>44</v>
      </c>
      <c r="C90" s="4" t="s">
        <v>19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7">
        <v>46066</v>
      </c>
      <c r="J90" s="7">
        <v>46071</v>
      </c>
      <c r="K90" s="4" t="s">
        <v>80</v>
      </c>
      <c r="L90" s="7">
        <f t="shared" ca="1" si="3"/>
        <v>46297</v>
      </c>
      <c r="M90" s="14">
        <f t="shared" ca="1" si="4"/>
        <v>46297.119078935182</v>
      </c>
      <c r="N90" s="4">
        <f t="shared" si="5"/>
        <v>5</v>
      </c>
    </row>
    <row r="91" spans="1:14" x14ac:dyDescent="0.3">
      <c r="A91" s="9">
        <v>1090</v>
      </c>
      <c r="B91" s="9" t="s">
        <v>47</v>
      </c>
      <c r="C91" s="4" t="s">
        <v>31</v>
      </c>
      <c r="D91" s="4" t="s">
        <v>34</v>
      </c>
      <c r="E91" s="4" t="s">
        <v>6</v>
      </c>
      <c r="F91" s="4">
        <v>19</v>
      </c>
      <c r="G91" s="4">
        <v>66139</v>
      </c>
      <c r="H91" s="4">
        <v>5</v>
      </c>
      <c r="I91" s="7">
        <v>46088</v>
      </c>
      <c r="J91" s="7">
        <v>46095</v>
      </c>
      <c r="K91" s="4" t="s">
        <v>80</v>
      </c>
      <c r="L91" s="7">
        <f t="shared" ca="1" si="3"/>
        <v>46297</v>
      </c>
      <c r="M91" s="14">
        <f t="shared" ca="1" si="4"/>
        <v>46297.119078935182</v>
      </c>
      <c r="N91" s="4">
        <f t="shared" si="5"/>
        <v>7</v>
      </c>
    </row>
    <row r="92" spans="1:14" x14ac:dyDescent="0.3">
      <c r="A92" s="9">
        <v>1091</v>
      </c>
      <c r="B92" s="9" t="s">
        <v>53</v>
      </c>
      <c r="C92" s="4" t="s">
        <v>23</v>
      </c>
      <c r="D92" s="4" t="s">
        <v>20</v>
      </c>
      <c r="E92" s="4" t="s">
        <v>51</v>
      </c>
      <c r="F92" s="4">
        <v>2</v>
      </c>
      <c r="G92" s="4">
        <v>305</v>
      </c>
      <c r="H92" s="4">
        <v>0</v>
      </c>
      <c r="I92" s="7">
        <v>46136</v>
      </c>
      <c r="J92" s="7">
        <v>46144</v>
      </c>
      <c r="K92" s="4" t="s">
        <v>78</v>
      </c>
      <c r="L92" s="7">
        <f t="shared" ca="1" si="3"/>
        <v>46297</v>
      </c>
      <c r="M92" s="14">
        <f t="shared" ca="1" si="4"/>
        <v>46297.119078935182</v>
      </c>
      <c r="N92" s="4">
        <f t="shared" si="5"/>
        <v>8</v>
      </c>
    </row>
    <row r="93" spans="1:14" x14ac:dyDescent="0.3">
      <c r="A93" s="9">
        <v>1092</v>
      </c>
      <c r="B93" s="9" t="s">
        <v>25</v>
      </c>
      <c r="C93" s="4" t="s">
        <v>26</v>
      </c>
      <c r="D93" s="4" t="s">
        <v>34</v>
      </c>
      <c r="E93" s="4" t="s">
        <v>40</v>
      </c>
      <c r="F93" s="4">
        <v>9</v>
      </c>
      <c r="G93" s="4">
        <v>23438</v>
      </c>
      <c r="H93" s="4">
        <v>2</v>
      </c>
      <c r="I93" s="7">
        <v>46049</v>
      </c>
      <c r="J93" s="7">
        <v>46055</v>
      </c>
      <c r="K93" s="4" t="s">
        <v>49</v>
      </c>
      <c r="L93" s="7">
        <f t="shared" ca="1" si="3"/>
        <v>46297</v>
      </c>
      <c r="M93" s="14">
        <f t="shared" ca="1" si="4"/>
        <v>46297.119078935182</v>
      </c>
      <c r="N93" s="4">
        <f t="shared" si="5"/>
        <v>6</v>
      </c>
    </row>
    <row r="94" spans="1:14" x14ac:dyDescent="0.3">
      <c r="A94" s="9">
        <v>1093</v>
      </c>
      <c r="B94" s="9" t="s">
        <v>45</v>
      </c>
      <c r="C94" s="4" t="s">
        <v>27</v>
      </c>
      <c r="D94" s="4" t="s">
        <v>24</v>
      </c>
      <c r="E94" s="4" t="s">
        <v>10</v>
      </c>
      <c r="F94" s="4">
        <v>6</v>
      </c>
      <c r="G94" s="4">
        <v>8224</v>
      </c>
      <c r="H94" s="4">
        <v>15</v>
      </c>
      <c r="I94" s="7">
        <v>46175</v>
      </c>
      <c r="J94" s="7">
        <v>46185</v>
      </c>
      <c r="K94" s="4" t="s">
        <v>81</v>
      </c>
      <c r="L94" s="7">
        <f t="shared" ca="1" si="3"/>
        <v>46297</v>
      </c>
      <c r="M94" s="14">
        <f t="shared" ca="1" si="4"/>
        <v>46297.119078935182</v>
      </c>
      <c r="N94" s="4">
        <f t="shared" si="5"/>
        <v>10</v>
      </c>
    </row>
    <row r="95" spans="1:14" x14ac:dyDescent="0.3">
      <c r="A95" s="9">
        <v>1094</v>
      </c>
      <c r="B95" s="9" t="s">
        <v>45</v>
      </c>
      <c r="C95" s="4" t="s">
        <v>42</v>
      </c>
      <c r="D95" s="4" t="s">
        <v>34</v>
      </c>
      <c r="E95" s="4" t="s">
        <v>12</v>
      </c>
      <c r="F95" s="4">
        <v>4</v>
      </c>
      <c r="G95" s="4">
        <v>7073</v>
      </c>
      <c r="H95" s="4">
        <v>0</v>
      </c>
      <c r="I95" s="7">
        <v>46101</v>
      </c>
      <c r="J95" s="7">
        <v>46105</v>
      </c>
      <c r="K95" s="4" t="s">
        <v>49</v>
      </c>
      <c r="L95" s="7">
        <f t="shared" ca="1" si="3"/>
        <v>46297</v>
      </c>
      <c r="M95" s="14">
        <f t="shared" ca="1" si="4"/>
        <v>46297.119078935182</v>
      </c>
      <c r="N95" s="4">
        <f t="shared" si="5"/>
        <v>4</v>
      </c>
    </row>
    <row r="96" spans="1:14" x14ac:dyDescent="0.3">
      <c r="A96" s="9">
        <v>1095</v>
      </c>
      <c r="B96" s="9" t="s">
        <v>45</v>
      </c>
      <c r="C96" s="4" t="s">
        <v>27</v>
      </c>
      <c r="D96" s="4" t="s">
        <v>34</v>
      </c>
      <c r="E96" s="4" t="s">
        <v>40</v>
      </c>
      <c r="F96" s="4">
        <v>18</v>
      </c>
      <c r="G96" s="4">
        <v>587</v>
      </c>
      <c r="H96" s="4">
        <v>2</v>
      </c>
      <c r="I96" s="7">
        <v>46167</v>
      </c>
      <c r="J96" s="7">
        <v>46171</v>
      </c>
      <c r="K96" s="4" t="s">
        <v>79</v>
      </c>
      <c r="L96" s="7">
        <f t="shared" ca="1" si="3"/>
        <v>46297</v>
      </c>
      <c r="M96" s="14">
        <f t="shared" ca="1" si="4"/>
        <v>46297.119078935182</v>
      </c>
      <c r="N96" s="4">
        <f t="shared" si="5"/>
        <v>4</v>
      </c>
    </row>
    <row r="97" spans="1:14" x14ac:dyDescent="0.3">
      <c r="A97" s="9">
        <v>1096</v>
      </c>
      <c r="B97" s="9" t="s">
        <v>47</v>
      </c>
      <c r="C97" s="4" t="s">
        <v>23</v>
      </c>
      <c r="D97" s="4" t="s">
        <v>24</v>
      </c>
      <c r="E97" s="4" t="s">
        <v>10</v>
      </c>
      <c r="F97" s="4">
        <v>15</v>
      </c>
      <c r="G97" s="4">
        <v>14724</v>
      </c>
      <c r="H97" s="4">
        <v>15</v>
      </c>
      <c r="I97" s="7">
        <v>46054</v>
      </c>
      <c r="J97" s="7">
        <v>46061</v>
      </c>
      <c r="K97" s="4" t="s">
        <v>79</v>
      </c>
      <c r="L97" s="7">
        <f t="shared" ca="1" si="3"/>
        <v>46297</v>
      </c>
      <c r="M97" s="14">
        <f t="shared" ca="1" si="4"/>
        <v>46297.119078935182</v>
      </c>
      <c r="N97" s="4">
        <f t="shared" si="5"/>
        <v>7</v>
      </c>
    </row>
    <row r="98" spans="1:14" x14ac:dyDescent="0.3">
      <c r="A98" s="9">
        <v>1097</v>
      </c>
      <c r="B98" s="9" t="s">
        <v>50</v>
      </c>
      <c r="C98" s="4" t="s">
        <v>26</v>
      </c>
      <c r="D98" s="4" t="s">
        <v>34</v>
      </c>
      <c r="E98" s="4" t="s">
        <v>12</v>
      </c>
      <c r="F98" s="4">
        <v>10</v>
      </c>
      <c r="G98" s="4">
        <v>28980</v>
      </c>
      <c r="H98" s="4">
        <v>10</v>
      </c>
      <c r="I98" s="7">
        <v>46089</v>
      </c>
      <c r="J98" s="7">
        <v>46094</v>
      </c>
      <c r="K98" s="4" t="s">
        <v>80</v>
      </c>
      <c r="L98" s="7">
        <f t="shared" ca="1" si="3"/>
        <v>46297</v>
      </c>
      <c r="M98" s="14">
        <f t="shared" ca="1" si="4"/>
        <v>46297.119078935182</v>
      </c>
      <c r="N98" s="4">
        <f t="shared" si="5"/>
        <v>5</v>
      </c>
    </row>
    <row r="99" spans="1:14" x14ac:dyDescent="0.3">
      <c r="A99" s="9">
        <v>1098</v>
      </c>
      <c r="B99" s="9" t="s">
        <v>28</v>
      </c>
      <c r="C99" s="4" t="s">
        <v>27</v>
      </c>
      <c r="D99" s="4" t="s">
        <v>20</v>
      </c>
      <c r="E99" s="4" t="s">
        <v>51</v>
      </c>
      <c r="F99" s="4">
        <v>17</v>
      </c>
      <c r="G99" s="4">
        <v>345</v>
      </c>
      <c r="H99" s="4">
        <v>2</v>
      </c>
      <c r="I99" s="7">
        <v>46126</v>
      </c>
      <c r="J99" s="7">
        <v>46127</v>
      </c>
      <c r="K99" s="4" t="s">
        <v>81</v>
      </c>
      <c r="L99" s="7">
        <f t="shared" ca="1" si="3"/>
        <v>46297</v>
      </c>
      <c r="M99" s="14">
        <f t="shared" ca="1" si="4"/>
        <v>46297.119078935182</v>
      </c>
      <c r="N99" s="4">
        <f t="shared" si="5"/>
        <v>1</v>
      </c>
    </row>
    <row r="100" spans="1:14" x14ac:dyDescent="0.3">
      <c r="A100" s="9">
        <v>1099</v>
      </c>
      <c r="B100" s="9" t="s">
        <v>28</v>
      </c>
      <c r="C100" s="4" t="s">
        <v>31</v>
      </c>
      <c r="D100" s="4" t="s">
        <v>24</v>
      </c>
      <c r="E100" s="4" t="s">
        <v>7</v>
      </c>
      <c r="F100" s="4">
        <v>1</v>
      </c>
      <c r="G100" s="4">
        <v>5165</v>
      </c>
      <c r="H100" s="4">
        <v>2</v>
      </c>
      <c r="I100" s="7">
        <v>46058</v>
      </c>
      <c r="J100" s="7">
        <v>46060</v>
      </c>
      <c r="K100" s="4" t="s">
        <v>78</v>
      </c>
      <c r="L100" s="7">
        <f t="shared" ca="1" si="3"/>
        <v>46297</v>
      </c>
      <c r="M100" s="14">
        <f t="shared" ca="1" si="4"/>
        <v>46297.119078935182</v>
      </c>
      <c r="N100" s="4">
        <f t="shared" si="5"/>
        <v>2</v>
      </c>
    </row>
    <row r="101" spans="1:14" x14ac:dyDescent="0.3">
      <c r="A101" s="9">
        <v>1100</v>
      </c>
      <c r="B101" s="9" t="s">
        <v>18</v>
      </c>
      <c r="C101" s="4" t="s">
        <v>31</v>
      </c>
      <c r="D101" s="4" t="s">
        <v>20</v>
      </c>
      <c r="E101" s="4" t="s">
        <v>21</v>
      </c>
      <c r="F101" s="4">
        <v>11</v>
      </c>
      <c r="G101" s="4">
        <v>296</v>
      </c>
      <c r="H101" s="4">
        <v>10</v>
      </c>
      <c r="I101" s="7">
        <v>46027</v>
      </c>
      <c r="J101" s="7">
        <v>46031</v>
      </c>
      <c r="K101" s="4" t="s">
        <v>81</v>
      </c>
      <c r="L101" s="7">
        <f t="shared" ca="1" si="3"/>
        <v>46297</v>
      </c>
      <c r="M101" s="14">
        <f t="shared" ca="1" si="4"/>
        <v>46297.119078935182</v>
      </c>
      <c r="N101" s="4">
        <f t="shared" si="5"/>
        <v>4</v>
      </c>
    </row>
    <row r="102" spans="1:14" x14ac:dyDescent="0.3">
      <c r="A102" s="9">
        <v>1101</v>
      </c>
      <c r="B102" s="9" t="s">
        <v>29</v>
      </c>
      <c r="C102" s="4" t="s">
        <v>26</v>
      </c>
      <c r="D102" s="4" t="s">
        <v>34</v>
      </c>
      <c r="E102" s="4" t="s">
        <v>12</v>
      </c>
      <c r="F102" s="4">
        <v>9</v>
      </c>
      <c r="G102" s="4">
        <v>37361</v>
      </c>
      <c r="H102" s="4">
        <v>10</v>
      </c>
      <c r="I102" s="7">
        <v>46141</v>
      </c>
      <c r="J102" s="7">
        <v>46142</v>
      </c>
      <c r="K102" s="4" t="s">
        <v>80</v>
      </c>
      <c r="L102" s="7">
        <f t="shared" ca="1" si="3"/>
        <v>46297</v>
      </c>
      <c r="M102" s="14">
        <f t="shared" ca="1" si="4"/>
        <v>46297.119078935182</v>
      </c>
      <c r="N102" s="4">
        <f t="shared" si="5"/>
        <v>1</v>
      </c>
    </row>
    <row r="103" spans="1:14" x14ac:dyDescent="0.3">
      <c r="A103" s="9">
        <v>1102</v>
      </c>
      <c r="B103" s="9" t="s">
        <v>52</v>
      </c>
      <c r="C103" s="4" t="s">
        <v>27</v>
      </c>
      <c r="D103" s="4" t="s">
        <v>34</v>
      </c>
      <c r="E103" s="4" t="s">
        <v>6</v>
      </c>
      <c r="F103" s="4">
        <v>12</v>
      </c>
      <c r="G103" s="4">
        <v>63402</v>
      </c>
      <c r="H103" s="4">
        <v>7</v>
      </c>
      <c r="I103" s="7">
        <v>46106</v>
      </c>
      <c r="J103" s="7">
        <v>46113</v>
      </c>
      <c r="K103" s="4" t="s">
        <v>81</v>
      </c>
      <c r="L103" s="7">
        <f t="shared" ca="1" si="3"/>
        <v>46297</v>
      </c>
      <c r="M103" s="14">
        <f t="shared" ca="1" si="4"/>
        <v>46297.119078935182</v>
      </c>
      <c r="N103" s="4">
        <f t="shared" si="5"/>
        <v>7</v>
      </c>
    </row>
    <row r="104" spans="1:14" x14ac:dyDescent="0.3">
      <c r="A104" s="9">
        <v>1103</v>
      </c>
      <c r="B104" s="9" t="s">
        <v>22</v>
      </c>
      <c r="C104" s="4" t="s">
        <v>19</v>
      </c>
      <c r="D104" s="4" t="s">
        <v>24</v>
      </c>
      <c r="E104" s="4" t="s">
        <v>10</v>
      </c>
      <c r="F104" s="4">
        <v>7</v>
      </c>
      <c r="G104" s="4">
        <v>11925</v>
      </c>
      <c r="H104" s="4">
        <v>5</v>
      </c>
      <c r="I104" s="7">
        <v>46040</v>
      </c>
      <c r="J104" s="7">
        <v>46041</v>
      </c>
      <c r="K104" s="4" t="s">
        <v>49</v>
      </c>
      <c r="L104" s="7">
        <f t="shared" ca="1" si="3"/>
        <v>46297</v>
      </c>
      <c r="M104" s="14">
        <f t="shared" ca="1" si="4"/>
        <v>46297.119078935182</v>
      </c>
      <c r="N104" s="4">
        <f t="shared" si="5"/>
        <v>1</v>
      </c>
    </row>
    <row r="105" spans="1:14" x14ac:dyDescent="0.3">
      <c r="A105" s="9">
        <v>1104</v>
      </c>
      <c r="B105" s="9" t="s">
        <v>22</v>
      </c>
      <c r="C105" s="4" t="s">
        <v>42</v>
      </c>
      <c r="D105" s="4" t="s">
        <v>24</v>
      </c>
      <c r="E105" s="4" t="s">
        <v>7</v>
      </c>
      <c r="F105" s="4">
        <v>10</v>
      </c>
      <c r="G105" s="4">
        <v>12848</v>
      </c>
      <c r="H105" s="4">
        <v>15</v>
      </c>
      <c r="I105" s="7">
        <v>46060</v>
      </c>
      <c r="J105" s="7">
        <v>46064</v>
      </c>
      <c r="K105" s="4" t="s">
        <v>49</v>
      </c>
      <c r="L105" s="7">
        <f t="shared" ca="1" si="3"/>
        <v>46297</v>
      </c>
      <c r="M105" s="14">
        <f t="shared" ca="1" si="4"/>
        <v>46297.119078935182</v>
      </c>
      <c r="N105" s="4">
        <f t="shared" si="5"/>
        <v>4</v>
      </c>
    </row>
    <row r="106" spans="1:14" x14ac:dyDescent="0.3">
      <c r="A106" s="9">
        <v>1105</v>
      </c>
      <c r="B106" s="9" t="s">
        <v>56</v>
      </c>
      <c r="C106" s="4" t="s">
        <v>27</v>
      </c>
      <c r="D106" s="4" t="s">
        <v>20</v>
      </c>
      <c r="E106" s="4" t="s">
        <v>48</v>
      </c>
      <c r="F106" s="4">
        <v>2</v>
      </c>
      <c r="G106" s="4">
        <v>493</v>
      </c>
      <c r="H106" s="4">
        <v>12</v>
      </c>
      <c r="I106" s="7">
        <v>46057</v>
      </c>
      <c r="J106" s="7">
        <v>46066</v>
      </c>
      <c r="K106" s="4" t="s">
        <v>81</v>
      </c>
      <c r="L106" s="7">
        <f t="shared" ca="1" si="3"/>
        <v>46297</v>
      </c>
      <c r="M106" s="14">
        <f t="shared" ca="1" si="4"/>
        <v>46297.119078935182</v>
      </c>
      <c r="N106" s="4">
        <f t="shared" si="5"/>
        <v>9</v>
      </c>
    </row>
    <row r="107" spans="1:14" x14ac:dyDescent="0.3">
      <c r="A107" s="9">
        <v>1106</v>
      </c>
      <c r="B107" s="9" t="s">
        <v>29</v>
      </c>
      <c r="C107" s="4" t="s">
        <v>42</v>
      </c>
      <c r="D107" s="4" t="s">
        <v>24</v>
      </c>
      <c r="E107" s="4" t="s">
        <v>10</v>
      </c>
      <c r="F107" s="4">
        <v>20</v>
      </c>
      <c r="G107" s="4">
        <v>2141</v>
      </c>
      <c r="H107" s="4">
        <v>2</v>
      </c>
      <c r="I107" s="7">
        <v>46091</v>
      </c>
      <c r="J107" s="7">
        <v>46097</v>
      </c>
      <c r="K107" s="4" t="s">
        <v>49</v>
      </c>
      <c r="L107" s="7">
        <f t="shared" ca="1" si="3"/>
        <v>46297</v>
      </c>
      <c r="M107" s="14">
        <f t="shared" ca="1" si="4"/>
        <v>46297.119078935182</v>
      </c>
      <c r="N107" s="4">
        <f t="shared" si="5"/>
        <v>6</v>
      </c>
    </row>
    <row r="108" spans="1:14" x14ac:dyDescent="0.3">
      <c r="A108" s="9">
        <v>1107</v>
      </c>
      <c r="B108" s="9" t="s">
        <v>50</v>
      </c>
      <c r="C108" s="4" t="s">
        <v>23</v>
      </c>
      <c r="D108" s="4" t="s">
        <v>34</v>
      </c>
      <c r="E108" s="4" t="s">
        <v>9</v>
      </c>
      <c r="F108" s="4">
        <v>4</v>
      </c>
      <c r="G108" s="4">
        <v>14291</v>
      </c>
      <c r="H108" s="4">
        <v>2</v>
      </c>
      <c r="I108" s="7">
        <v>46076</v>
      </c>
      <c r="J108" s="7">
        <v>46078</v>
      </c>
      <c r="K108" s="4" t="s">
        <v>78</v>
      </c>
      <c r="L108" s="7">
        <f t="shared" ca="1" si="3"/>
        <v>46297</v>
      </c>
      <c r="M108" s="14">
        <f t="shared" ca="1" si="4"/>
        <v>46297.119078935182</v>
      </c>
      <c r="N108" s="4">
        <f t="shared" si="5"/>
        <v>2</v>
      </c>
    </row>
    <row r="109" spans="1:14" x14ac:dyDescent="0.3">
      <c r="A109" s="9">
        <v>1108</v>
      </c>
      <c r="B109" s="9" t="s">
        <v>41</v>
      </c>
      <c r="C109" s="4" t="s">
        <v>33</v>
      </c>
      <c r="D109" s="4" t="s">
        <v>24</v>
      </c>
      <c r="E109" s="4" t="s">
        <v>8</v>
      </c>
      <c r="F109" s="4">
        <v>15</v>
      </c>
      <c r="G109" s="4">
        <v>13843</v>
      </c>
      <c r="H109" s="4">
        <v>7</v>
      </c>
      <c r="I109" s="7">
        <v>46119</v>
      </c>
      <c r="J109" s="7">
        <v>46127</v>
      </c>
      <c r="K109" s="4" t="s">
        <v>79</v>
      </c>
      <c r="L109" s="7">
        <f t="shared" ca="1" si="3"/>
        <v>46297</v>
      </c>
      <c r="M109" s="14">
        <f t="shared" ca="1" si="4"/>
        <v>46297.119078935182</v>
      </c>
      <c r="N109" s="4">
        <f t="shared" si="5"/>
        <v>8</v>
      </c>
    </row>
    <row r="110" spans="1:14" x14ac:dyDescent="0.3">
      <c r="A110" s="9">
        <v>1109</v>
      </c>
      <c r="B110" s="9" t="s">
        <v>25</v>
      </c>
      <c r="C110" s="4" t="s">
        <v>31</v>
      </c>
      <c r="D110" s="4" t="s">
        <v>24</v>
      </c>
      <c r="E110" s="4" t="s">
        <v>43</v>
      </c>
      <c r="F110" s="4">
        <v>19</v>
      </c>
      <c r="G110" s="4">
        <v>6512</v>
      </c>
      <c r="H110" s="4">
        <v>10</v>
      </c>
      <c r="I110" s="7">
        <v>46033</v>
      </c>
      <c r="J110" s="7">
        <v>46037</v>
      </c>
      <c r="K110" s="4" t="s">
        <v>79</v>
      </c>
      <c r="L110" s="7">
        <f t="shared" ca="1" si="3"/>
        <v>46297</v>
      </c>
      <c r="M110" s="14">
        <f t="shared" ca="1" si="4"/>
        <v>46297.119078935182</v>
      </c>
      <c r="N110" s="4">
        <f t="shared" si="5"/>
        <v>4</v>
      </c>
    </row>
    <row r="111" spans="1:14" x14ac:dyDescent="0.3">
      <c r="A111" s="9">
        <v>1110</v>
      </c>
      <c r="B111" s="9" t="s">
        <v>47</v>
      </c>
      <c r="C111" s="4" t="s">
        <v>38</v>
      </c>
      <c r="D111" s="4" t="s">
        <v>24</v>
      </c>
      <c r="E111" s="4" t="s">
        <v>10</v>
      </c>
      <c r="F111" s="4">
        <v>14</v>
      </c>
      <c r="G111" s="4">
        <v>6793</v>
      </c>
      <c r="H111" s="4">
        <v>7</v>
      </c>
      <c r="I111" s="7">
        <v>46077</v>
      </c>
      <c r="J111" s="7">
        <v>46082</v>
      </c>
      <c r="K111" s="4" t="s">
        <v>49</v>
      </c>
      <c r="L111" s="7">
        <f t="shared" ca="1" si="3"/>
        <v>46297</v>
      </c>
      <c r="M111" s="14">
        <f t="shared" ca="1" si="4"/>
        <v>46297.119078935182</v>
      </c>
      <c r="N111" s="4">
        <f t="shared" si="5"/>
        <v>5</v>
      </c>
    </row>
    <row r="112" spans="1:14" x14ac:dyDescent="0.3">
      <c r="A112" s="9">
        <v>1111</v>
      </c>
      <c r="B112" s="9" t="s">
        <v>45</v>
      </c>
      <c r="C112" s="4" t="s">
        <v>23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7">
        <v>46133</v>
      </c>
      <c r="J112" s="7">
        <v>46141</v>
      </c>
      <c r="K112" s="4" t="s">
        <v>49</v>
      </c>
      <c r="L112" s="7">
        <f t="shared" ca="1" si="3"/>
        <v>46297</v>
      </c>
      <c r="M112" s="14">
        <f t="shared" ca="1" si="4"/>
        <v>46297.119078935182</v>
      </c>
      <c r="N112" s="4">
        <f t="shared" si="5"/>
        <v>8</v>
      </c>
    </row>
    <row r="113" spans="1:14" x14ac:dyDescent="0.3">
      <c r="A113" s="9">
        <v>1112</v>
      </c>
      <c r="B113" s="9" t="s">
        <v>25</v>
      </c>
      <c r="C113" s="4" t="s">
        <v>42</v>
      </c>
      <c r="D113" s="4" t="s">
        <v>24</v>
      </c>
      <c r="E113" s="4" t="s">
        <v>43</v>
      </c>
      <c r="F113" s="4">
        <v>7</v>
      </c>
      <c r="G113" s="4">
        <v>1959</v>
      </c>
      <c r="H113" s="4">
        <v>15</v>
      </c>
      <c r="I113" s="7">
        <v>46090</v>
      </c>
      <c r="J113" s="7">
        <v>46100</v>
      </c>
      <c r="K113" s="4" t="s">
        <v>78</v>
      </c>
      <c r="L113" s="7">
        <f t="shared" ca="1" si="3"/>
        <v>46297</v>
      </c>
      <c r="M113" s="14">
        <f t="shared" ca="1" si="4"/>
        <v>46297.119078935182</v>
      </c>
      <c r="N113" s="4">
        <f t="shared" si="5"/>
        <v>10</v>
      </c>
    </row>
    <row r="114" spans="1:14" x14ac:dyDescent="0.3">
      <c r="A114" s="9">
        <v>1113</v>
      </c>
      <c r="B114" s="9" t="s">
        <v>28</v>
      </c>
      <c r="C114" s="4" t="s">
        <v>42</v>
      </c>
      <c r="D114" s="4" t="s">
        <v>24</v>
      </c>
      <c r="E114" s="4" t="s">
        <v>11</v>
      </c>
      <c r="F114" s="4">
        <v>13</v>
      </c>
      <c r="G114" s="4">
        <v>6719</v>
      </c>
      <c r="H114" s="4">
        <v>15</v>
      </c>
      <c r="I114" s="7">
        <v>46076</v>
      </c>
      <c r="J114" s="7">
        <v>46081</v>
      </c>
      <c r="K114" s="4" t="s">
        <v>80</v>
      </c>
      <c r="L114" s="7">
        <f t="shared" ca="1" si="3"/>
        <v>46297</v>
      </c>
      <c r="M114" s="14">
        <f t="shared" ca="1" si="4"/>
        <v>46297.119078935182</v>
      </c>
      <c r="N114" s="4">
        <f t="shared" si="5"/>
        <v>5</v>
      </c>
    </row>
    <row r="115" spans="1:14" x14ac:dyDescent="0.3">
      <c r="A115" s="9">
        <v>1114</v>
      </c>
      <c r="B115" s="9" t="s">
        <v>22</v>
      </c>
      <c r="C115" s="4" t="s">
        <v>27</v>
      </c>
      <c r="D115" s="4" t="s">
        <v>20</v>
      </c>
      <c r="E115" s="4" t="s">
        <v>48</v>
      </c>
      <c r="F115" s="4">
        <v>13</v>
      </c>
      <c r="G115" s="4">
        <v>32</v>
      </c>
      <c r="H115" s="4">
        <v>15</v>
      </c>
      <c r="I115" s="7">
        <v>46066</v>
      </c>
      <c r="J115" s="7">
        <v>46069</v>
      </c>
      <c r="K115" s="4" t="s">
        <v>78</v>
      </c>
      <c r="L115" s="7">
        <f t="shared" ca="1" si="3"/>
        <v>46297</v>
      </c>
      <c r="M115" s="14">
        <f t="shared" ca="1" si="4"/>
        <v>46297.119078935182</v>
      </c>
      <c r="N115" s="4">
        <f t="shared" si="5"/>
        <v>3</v>
      </c>
    </row>
    <row r="116" spans="1:14" x14ac:dyDescent="0.3">
      <c r="A116" s="9">
        <v>1115</v>
      </c>
      <c r="B116" s="9" t="s">
        <v>56</v>
      </c>
      <c r="C116" s="4" t="s">
        <v>42</v>
      </c>
      <c r="D116" s="4" t="s">
        <v>20</v>
      </c>
      <c r="E116" s="4" t="s">
        <v>48</v>
      </c>
      <c r="F116" s="4">
        <v>9</v>
      </c>
      <c r="G116" s="4">
        <v>303</v>
      </c>
      <c r="H116" s="4">
        <v>10</v>
      </c>
      <c r="I116" s="7">
        <v>46149</v>
      </c>
      <c r="J116" s="7">
        <v>46157</v>
      </c>
      <c r="K116" s="4" t="s">
        <v>49</v>
      </c>
      <c r="L116" s="7">
        <f t="shared" ca="1" si="3"/>
        <v>46297</v>
      </c>
      <c r="M116" s="14">
        <f t="shared" ca="1" si="4"/>
        <v>46297.119078935182</v>
      </c>
      <c r="N116" s="4">
        <f t="shared" si="5"/>
        <v>8</v>
      </c>
    </row>
    <row r="117" spans="1:14" x14ac:dyDescent="0.3">
      <c r="A117" s="9">
        <v>1116</v>
      </c>
      <c r="B117" s="9" t="s">
        <v>22</v>
      </c>
      <c r="C117" s="4" t="s">
        <v>27</v>
      </c>
      <c r="D117" s="4" t="s">
        <v>24</v>
      </c>
      <c r="E117" s="4" t="s">
        <v>11</v>
      </c>
      <c r="F117" s="4">
        <v>2</v>
      </c>
      <c r="G117" s="4">
        <v>12692</v>
      </c>
      <c r="H117" s="4">
        <v>15</v>
      </c>
      <c r="I117" s="7">
        <v>46049</v>
      </c>
      <c r="J117" s="7">
        <v>46051</v>
      </c>
      <c r="K117" s="4" t="s">
        <v>78</v>
      </c>
      <c r="L117" s="7">
        <f t="shared" ca="1" si="3"/>
        <v>46297</v>
      </c>
      <c r="M117" s="14">
        <f t="shared" ca="1" si="4"/>
        <v>46297.119078935182</v>
      </c>
      <c r="N117" s="4">
        <f t="shared" si="5"/>
        <v>2</v>
      </c>
    </row>
    <row r="118" spans="1:14" x14ac:dyDescent="0.3">
      <c r="A118" s="9">
        <v>1117</v>
      </c>
      <c r="B118" s="9" t="s">
        <v>53</v>
      </c>
      <c r="C118" s="4" t="s">
        <v>42</v>
      </c>
      <c r="D118" s="4" t="s">
        <v>34</v>
      </c>
      <c r="E118" s="4" t="s">
        <v>5</v>
      </c>
      <c r="F118" s="4">
        <v>16</v>
      </c>
      <c r="G118" s="4">
        <v>33162</v>
      </c>
      <c r="H118" s="4">
        <v>7</v>
      </c>
      <c r="I118" s="7">
        <v>46147</v>
      </c>
      <c r="J118" s="7">
        <v>46155</v>
      </c>
      <c r="K118" s="4" t="s">
        <v>49</v>
      </c>
      <c r="L118" s="7">
        <f t="shared" ca="1" si="3"/>
        <v>46297</v>
      </c>
      <c r="M118" s="14">
        <f t="shared" ca="1" si="4"/>
        <v>46297.119078935182</v>
      </c>
      <c r="N118" s="4">
        <f t="shared" si="5"/>
        <v>8</v>
      </c>
    </row>
    <row r="119" spans="1:14" x14ac:dyDescent="0.3">
      <c r="A119" s="9">
        <v>1118</v>
      </c>
      <c r="B119" s="9" t="s">
        <v>25</v>
      </c>
      <c r="C119" s="4" t="s">
        <v>26</v>
      </c>
      <c r="D119" s="4" t="s">
        <v>24</v>
      </c>
      <c r="E119" s="4" t="s">
        <v>10</v>
      </c>
      <c r="F119" s="4">
        <v>18</v>
      </c>
      <c r="G119" s="4">
        <v>9118</v>
      </c>
      <c r="H119" s="4">
        <v>5</v>
      </c>
      <c r="I119" s="7">
        <v>46178</v>
      </c>
      <c r="J119" s="7">
        <v>46187</v>
      </c>
      <c r="K119" s="4" t="s">
        <v>49</v>
      </c>
      <c r="L119" s="7">
        <f t="shared" ca="1" si="3"/>
        <v>46297</v>
      </c>
      <c r="M119" s="14">
        <f t="shared" ca="1" si="4"/>
        <v>46297.119078935182</v>
      </c>
      <c r="N119" s="4">
        <f t="shared" si="5"/>
        <v>9</v>
      </c>
    </row>
    <row r="120" spans="1:14" x14ac:dyDescent="0.3">
      <c r="A120" s="9">
        <v>1119</v>
      </c>
      <c r="B120" s="9" t="s">
        <v>30</v>
      </c>
      <c r="C120" s="4" t="s">
        <v>42</v>
      </c>
      <c r="D120" s="4" t="s">
        <v>24</v>
      </c>
      <c r="E120" s="4" t="s">
        <v>8</v>
      </c>
      <c r="F120" s="4">
        <v>2</v>
      </c>
      <c r="G120" s="4">
        <v>3706</v>
      </c>
      <c r="H120" s="4">
        <v>5</v>
      </c>
      <c r="I120" s="7">
        <v>46184</v>
      </c>
      <c r="J120" s="7">
        <v>46192</v>
      </c>
      <c r="K120" s="4" t="s">
        <v>81</v>
      </c>
      <c r="L120" s="7">
        <f t="shared" ca="1" si="3"/>
        <v>46297</v>
      </c>
      <c r="M120" s="14">
        <f t="shared" ca="1" si="4"/>
        <v>46297.119078935182</v>
      </c>
      <c r="N120" s="4">
        <f t="shared" si="5"/>
        <v>8</v>
      </c>
    </row>
    <row r="121" spans="1:14" x14ac:dyDescent="0.3">
      <c r="A121" s="9">
        <v>1120</v>
      </c>
      <c r="B121" s="9" t="s">
        <v>32</v>
      </c>
      <c r="C121" s="4" t="s">
        <v>38</v>
      </c>
      <c r="D121" s="4" t="s">
        <v>20</v>
      </c>
      <c r="E121" s="4" t="s">
        <v>36</v>
      </c>
      <c r="F121" s="4">
        <v>10</v>
      </c>
      <c r="G121" s="4">
        <v>438</v>
      </c>
      <c r="H121" s="4">
        <v>10</v>
      </c>
      <c r="I121" s="7">
        <v>46061</v>
      </c>
      <c r="J121" s="7">
        <v>46065</v>
      </c>
      <c r="K121" s="4" t="s">
        <v>81</v>
      </c>
      <c r="L121" s="7">
        <f t="shared" ca="1" si="3"/>
        <v>46297</v>
      </c>
      <c r="M121" s="14">
        <f t="shared" ca="1" si="4"/>
        <v>46297.119078935182</v>
      </c>
      <c r="N121" s="4">
        <f t="shared" si="5"/>
        <v>4</v>
      </c>
    </row>
    <row r="122" spans="1:14" x14ac:dyDescent="0.3">
      <c r="A122" s="9">
        <v>1121</v>
      </c>
      <c r="B122" s="9" t="s">
        <v>49</v>
      </c>
      <c r="C122" s="4" t="s">
        <v>19</v>
      </c>
      <c r="D122" s="4" t="s">
        <v>34</v>
      </c>
      <c r="E122" s="4" t="s">
        <v>5</v>
      </c>
      <c r="F122" s="4">
        <v>4</v>
      </c>
      <c r="G122" s="4">
        <v>55809</v>
      </c>
      <c r="H122" s="4">
        <v>2</v>
      </c>
      <c r="I122" s="7">
        <v>46103</v>
      </c>
      <c r="J122" s="7">
        <v>46108</v>
      </c>
      <c r="K122" s="4" t="s">
        <v>49</v>
      </c>
      <c r="L122" s="7">
        <f t="shared" ca="1" si="3"/>
        <v>46297</v>
      </c>
      <c r="M122" s="14">
        <f t="shared" ca="1" si="4"/>
        <v>46297.119078935182</v>
      </c>
      <c r="N122" s="4">
        <f t="shared" si="5"/>
        <v>5</v>
      </c>
    </row>
    <row r="123" spans="1:14" x14ac:dyDescent="0.3">
      <c r="A123" s="9">
        <v>1122</v>
      </c>
      <c r="B123" s="9" t="s">
        <v>39</v>
      </c>
      <c r="C123" s="4" t="s">
        <v>26</v>
      </c>
      <c r="D123" s="4" t="s">
        <v>34</v>
      </c>
      <c r="E123" s="4" t="s">
        <v>5</v>
      </c>
      <c r="F123" s="4">
        <v>14</v>
      </c>
      <c r="G123" s="4">
        <v>49990</v>
      </c>
      <c r="H123" s="4">
        <v>10</v>
      </c>
      <c r="I123" s="7">
        <v>46132</v>
      </c>
      <c r="J123" s="7">
        <v>46135</v>
      </c>
      <c r="K123" s="4" t="s">
        <v>49</v>
      </c>
      <c r="L123" s="7">
        <f t="shared" ca="1" si="3"/>
        <v>46297</v>
      </c>
      <c r="M123" s="14">
        <f t="shared" ca="1" si="4"/>
        <v>46297.119078935182</v>
      </c>
      <c r="N123" s="4">
        <f t="shared" si="5"/>
        <v>3</v>
      </c>
    </row>
    <row r="124" spans="1:14" x14ac:dyDescent="0.3">
      <c r="A124" s="9">
        <v>1123</v>
      </c>
      <c r="B124" s="9" t="s">
        <v>32</v>
      </c>
      <c r="C124" s="4" t="s">
        <v>31</v>
      </c>
      <c r="D124" s="4" t="s">
        <v>34</v>
      </c>
      <c r="E124" s="4" t="s">
        <v>6</v>
      </c>
      <c r="F124" s="4">
        <v>16</v>
      </c>
      <c r="G124" s="4">
        <v>1332</v>
      </c>
      <c r="H124" s="4">
        <v>7</v>
      </c>
      <c r="I124" s="7">
        <v>46107</v>
      </c>
      <c r="J124" s="7">
        <v>46109</v>
      </c>
      <c r="K124" s="4" t="s">
        <v>49</v>
      </c>
      <c r="L124" s="7">
        <f t="shared" ca="1" si="3"/>
        <v>46297</v>
      </c>
      <c r="M124" s="14">
        <f t="shared" ca="1" si="4"/>
        <v>46297.119078935182</v>
      </c>
      <c r="N124" s="4">
        <f t="shared" si="5"/>
        <v>2</v>
      </c>
    </row>
    <row r="125" spans="1:14" x14ac:dyDescent="0.3">
      <c r="A125" s="9">
        <v>1124</v>
      </c>
      <c r="B125" s="9" t="s">
        <v>29</v>
      </c>
      <c r="C125" s="4" t="s">
        <v>38</v>
      </c>
      <c r="D125" s="4" t="s">
        <v>24</v>
      </c>
      <c r="E125" s="4" t="s">
        <v>11</v>
      </c>
      <c r="F125" s="4">
        <v>4</v>
      </c>
      <c r="G125" s="4">
        <v>14195</v>
      </c>
      <c r="H125" s="4">
        <v>15</v>
      </c>
      <c r="I125" s="7">
        <v>46182</v>
      </c>
      <c r="J125" s="7">
        <v>46189</v>
      </c>
      <c r="K125" s="4" t="s">
        <v>81</v>
      </c>
      <c r="L125" s="7">
        <f t="shared" ca="1" si="3"/>
        <v>46297</v>
      </c>
      <c r="M125" s="14">
        <f t="shared" ca="1" si="4"/>
        <v>46297.119078935182</v>
      </c>
      <c r="N125" s="4">
        <f t="shared" si="5"/>
        <v>7</v>
      </c>
    </row>
    <row r="126" spans="1:14" x14ac:dyDescent="0.3">
      <c r="A126" s="9">
        <v>1125</v>
      </c>
      <c r="B126" s="9" t="s">
        <v>47</v>
      </c>
      <c r="C126" s="4" t="s">
        <v>33</v>
      </c>
      <c r="D126" s="4" t="s">
        <v>20</v>
      </c>
      <c r="E126" s="4" t="s">
        <v>21</v>
      </c>
      <c r="F126" s="4">
        <v>6</v>
      </c>
      <c r="G126" s="4">
        <v>30</v>
      </c>
      <c r="H126" s="4">
        <v>2</v>
      </c>
      <c r="I126" s="7">
        <v>46133</v>
      </c>
      <c r="J126" s="7">
        <v>46138</v>
      </c>
      <c r="K126" s="4" t="s">
        <v>80</v>
      </c>
      <c r="L126" s="7">
        <f t="shared" ca="1" si="3"/>
        <v>46297</v>
      </c>
      <c r="M126" s="14">
        <f t="shared" ca="1" si="4"/>
        <v>46297.119078935182</v>
      </c>
      <c r="N126" s="4">
        <f t="shared" si="5"/>
        <v>5</v>
      </c>
    </row>
    <row r="127" spans="1:14" x14ac:dyDescent="0.3">
      <c r="A127" s="9">
        <v>1126</v>
      </c>
      <c r="B127" s="9" t="s">
        <v>44</v>
      </c>
      <c r="C127" s="4" t="s">
        <v>26</v>
      </c>
      <c r="D127" s="4" t="s">
        <v>34</v>
      </c>
      <c r="E127" s="4" t="s">
        <v>5</v>
      </c>
      <c r="F127" s="4">
        <v>17</v>
      </c>
      <c r="G127" s="4">
        <v>19390</v>
      </c>
      <c r="H127" s="4">
        <v>12</v>
      </c>
      <c r="I127" s="7">
        <v>46201</v>
      </c>
      <c r="J127" s="7">
        <v>46206</v>
      </c>
      <c r="K127" s="4" t="s">
        <v>49</v>
      </c>
      <c r="L127" s="7">
        <f t="shared" ca="1" si="3"/>
        <v>46297</v>
      </c>
      <c r="M127" s="14">
        <f t="shared" ca="1" si="4"/>
        <v>46297.119078935182</v>
      </c>
      <c r="N127" s="4">
        <f t="shared" si="5"/>
        <v>5</v>
      </c>
    </row>
    <row r="128" spans="1:14" x14ac:dyDescent="0.3">
      <c r="A128" s="9">
        <v>1127</v>
      </c>
      <c r="B128" s="9" t="s">
        <v>28</v>
      </c>
      <c r="C128" s="4" t="s">
        <v>33</v>
      </c>
      <c r="D128" s="4" t="s">
        <v>24</v>
      </c>
      <c r="E128" s="4" t="s">
        <v>8</v>
      </c>
      <c r="F128" s="4">
        <v>15</v>
      </c>
      <c r="G128" s="4">
        <v>11694</v>
      </c>
      <c r="H128" s="4">
        <v>12</v>
      </c>
      <c r="I128" s="7">
        <v>46170</v>
      </c>
      <c r="J128" s="7">
        <v>46179</v>
      </c>
      <c r="K128" s="4" t="s">
        <v>49</v>
      </c>
      <c r="L128" s="7">
        <f t="shared" ca="1" si="3"/>
        <v>46297</v>
      </c>
      <c r="M128" s="14">
        <f t="shared" ca="1" si="4"/>
        <v>46297.119078935182</v>
      </c>
      <c r="N128" s="4">
        <f t="shared" si="5"/>
        <v>9</v>
      </c>
    </row>
    <row r="129" spans="1:14" x14ac:dyDescent="0.3">
      <c r="A129" s="9">
        <v>1128</v>
      </c>
      <c r="B129" s="9" t="s">
        <v>30</v>
      </c>
      <c r="C129" s="4" t="s">
        <v>26</v>
      </c>
      <c r="D129" s="4" t="s">
        <v>34</v>
      </c>
      <c r="E129" s="4" t="s">
        <v>12</v>
      </c>
      <c r="F129" s="4">
        <v>6</v>
      </c>
      <c r="G129" s="4">
        <v>5001</v>
      </c>
      <c r="H129" s="4">
        <v>7</v>
      </c>
      <c r="I129" s="7">
        <v>46044</v>
      </c>
      <c r="J129" s="7">
        <v>46050</v>
      </c>
      <c r="K129" s="4" t="s">
        <v>49</v>
      </c>
      <c r="L129" s="7">
        <f t="shared" ca="1" si="3"/>
        <v>46297</v>
      </c>
      <c r="M129" s="14">
        <f t="shared" ca="1" si="4"/>
        <v>46297.119078935182</v>
      </c>
      <c r="N129" s="4">
        <f t="shared" si="5"/>
        <v>6</v>
      </c>
    </row>
    <row r="130" spans="1:14" x14ac:dyDescent="0.3">
      <c r="A130" s="9">
        <v>1129</v>
      </c>
      <c r="B130" s="9" t="s">
        <v>55</v>
      </c>
      <c r="C130" s="4" t="s">
        <v>23</v>
      </c>
      <c r="D130" s="4" t="s">
        <v>20</v>
      </c>
      <c r="E130" s="4" t="s">
        <v>48</v>
      </c>
      <c r="F130" s="4">
        <v>15</v>
      </c>
      <c r="G130" s="4">
        <v>75</v>
      </c>
      <c r="H130" s="4">
        <v>7</v>
      </c>
      <c r="I130" s="7">
        <v>46160</v>
      </c>
      <c r="J130" s="7">
        <v>46164</v>
      </c>
      <c r="K130" s="4" t="s">
        <v>49</v>
      </c>
      <c r="L130" s="7">
        <f t="shared" ca="1" si="3"/>
        <v>46297</v>
      </c>
      <c r="M130" s="14">
        <f t="shared" ca="1" si="4"/>
        <v>46297.119078935182</v>
      </c>
      <c r="N130" s="4">
        <f t="shared" si="5"/>
        <v>4</v>
      </c>
    </row>
    <row r="131" spans="1:14" x14ac:dyDescent="0.3">
      <c r="A131" s="9">
        <v>1130</v>
      </c>
      <c r="B131" s="9" t="s">
        <v>46</v>
      </c>
      <c r="C131" s="4" t="s">
        <v>33</v>
      </c>
      <c r="D131" s="4" t="s">
        <v>20</v>
      </c>
      <c r="E131" s="4" t="s">
        <v>21</v>
      </c>
      <c r="F131" s="4">
        <v>12</v>
      </c>
      <c r="G131" s="4">
        <v>50</v>
      </c>
      <c r="H131" s="4">
        <v>2</v>
      </c>
      <c r="I131" s="7">
        <v>46125</v>
      </c>
      <c r="J131" s="7">
        <v>46131</v>
      </c>
      <c r="K131" s="4" t="s">
        <v>80</v>
      </c>
      <c r="L131" s="7">
        <f t="shared" ref="L131:L194" ca="1" si="6">TODAY()</f>
        <v>46297</v>
      </c>
      <c r="M131" s="14">
        <f t="shared" ref="M131:M194" ca="1" si="7">NOW()</f>
        <v>46297.119078935182</v>
      </c>
      <c r="N131" s="4">
        <f t="shared" ref="N131:N194" si="8">DATEDIF(I131,J131, "d")</f>
        <v>6</v>
      </c>
    </row>
    <row r="132" spans="1:14" x14ac:dyDescent="0.3">
      <c r="A132" s="9">
        <v>1131</v>
      </c>
      <c r="B132" s="9" t="s">
        <v>25</v>
      </c>
      <c r="C132" s="4" t="s">
        <v>31</v>
      </c>
      <c r="D132" s="4" t="s">
        <v>24</v>
      </c>
      <c r="E132" s="4" t="s">
        <v>10</v>
      </c>
      <c r="F132" s="4">
        <v>13</v>
      </c>
      <c r="G132" s="4">
        <v>3083</v>
      </c>
      <c r="H132" s="4">
        <v>7</v>
      </c>
      <c r="I132" s="7">
        <v>46168</v>
      </c>
      <c r="J132" s="7">
        <v>46173</v>
      </c>
      <c r="K132" s="4" t="s">
        <v>81</v>
      </c>
      <c r="L132" s="7">
        <f t="shared" ca="1" si="6"/>
        <v>46297</v>
      </c>
      <c r="M132" s="14">
        <f t="shared" ca="1" si="7"/>
        <v>46297.119078935182</v>
      </c>
      <c r="N132" s="4">
        <f t="shared" si="8"/>
        <v>5</v>
      </c>
    </row>
    <row r="133" spans="1:14" x14ac:dyDescent="0.3">
      <c r="A133" s="9">
        <v>1132</v>
      </c>
      <c r="B133" s="9" t="s">
        <v>18</v>
      </c>
      <c r="C133" s="4" t="s">
        <v>31</v>
      </c>
      <c r="D133" s="4" t="s">
        <v>20</v>
      </c>
      <c r="E133" s="4" t="s">
        <v>48</v>
      </c>
      <c r="F133" s="4">
        <v>10</v>
      </c>
      <c r="G133" s="4">
        <v>270</v>
      </c>
      <c r="H133" s="4">
        <v>7</v>
      </c>
      <c r="I133" s="7">
        <v>46024</v>
      </c>
      <c r="J133" s="7">
        <v>46034</v>
      </c>
      <c r="K133" s="4" t="s">
        <v>80</v>
      </c>
      <c r="L133" s="7">
        <f t="shared" ca="1" si="6"/>
        <v>46297</v>
      </c>
      <c r="M133" s="14">
        <f t="shared" ca="1" si="7"/>
        <v>46297.119078935182</v>
      </c>
      <c r="N133" s="4">
        <f t="shared" si="8"/>
        <v>10</v>
      </c>
    </row>
    <row r="134" spans="1:14" x14ac:dyDescent="0.3">
      <c r="A134" s="9">
        <v>1133</v>
      </c>
      <c r="B134" s="9" t="s">
        <v>18</v>
      </c>
      <c r="C134" s="4" t="s">
        <v>19</v>
      </c>
      <c r="D134" s="4" t="s">
        <v>24</v>
      </c>
      <c r="E134" s="4" t="s">
        <v>11</v>
      </c>
      <c r="F134" s="4">
        <v>6</v>
      </c>
      <c r="G134" s="4">
        <v>9037</v>
      </c>
      <c r="H134" s="4">
        <v>2</v>
      </c>
      <c r="I134" s="7">
        <v>46112</v>
      </c>
      <c r="J134" s="7">
        <v>46121</v>
      </c>
      <c r="K134" s="4" t="s">
        <v>81</v>
      </c>
      <c r="L134" s="7">
        <f t="shared" ca="1" si="6"/>
        <v>46297</v>
      </c>
      <c r="M134" s="14">
        <f t="shared" ca="1" si="7"/>
        <v>46297.119078935182</v>
      </c>
      <c r="N134" s="4">
        <f t="shared" si="8"/>
        <v>9</v>
      </c>
    </row>
    <row r="135" spans="1:14" x14ac:dyDescent="0.3">
      <c r="A135" s="9">
        <v>1134</v>
      </c>
      <c r="B135" s="9" t="s">
        <v>54</v>
      </c>
      <c r="C135" s="4" t="s">
        <v>31</v>
      </c>
      <c r="D135" s="4" t="s">
        <v>34</v>
      </c>
      <c r="E135" s="4" t="s">
        <v>12</v>
      </c>
      <c r="F135" s="4">
        <v>10</v>
      </c>
      <c r="G135" s="4">
        <v>29217</v>
      </c>
      <c r="H135" s="4">
        <v>15</v>
      </c>
      <c r="I135" s="7">
        <v>46148</v>
      </c>
      <c r="J135" s="7">
        <v>46150</v>
      </c>
      <c r="K135" s="4" t="s">
        <v>80</v>
      </c>
      <c r="L135" s="7">
        <f t="shared" ca="1" si="6"/>
        <v>46297</v>
      </c>
      <c r="M135" s="14">
        <f t="shared" ca="1" si="7"/>
        <v>46297.119078935182</v>
      </c>
      <c r="N135" s="4">
        <f t="shared" si="8"/>
        <v>2</v>
      </c>
    </row>
    <row r="136" spans="1:14" x14ac:dyDescent="0.3">
      <c r="A136" s="9">
        <v>1135</v>
      </c>
      <c r="B136" s="9" t="s">
        <v>47</v>
      </c>
      <c r="C136" s="4" t="s">
        <v>42</v>
      </c>
      <c r="D136" s="4" t="s">
        <v>34</v>
      </c>
      <c r="E136" s="4" t="s">
        <v>5</v>
      </c>
      <c r="F136" s="4">
        <v>14</v>
      </c>
      <c r="G136" s="4">
        <v>68534</v>
      </c>
      <c r="H136" s="4">
        <v>0</v>
      </c>
      <c r="I136" s="7">
        <v>46041</v>
      </c>
      <c r="J136" s="7">
        <v>46042</v>
      </c>
      <c r="K136" s="4" t="s">
        <v>78</v>
      </c>
      <c r="L136" s="7">
        <f t="shared" ca="1" si="6"/>
        <v>46297</v>
      </c>
      <c r="M136" s="14">
        <f t="shared" ca="1" si="7"/>
        <v>46297.119078935182</v>
      </c>
      <c r="N136" s="4">
        <f t="shared" si="8"/>
        <v>1</v>
      </c>
    </row>
    <row r="137" spans="1:14" x14ac:dyDescent="0.3">
      <c r="A137" s="9">
        <v>1136</v>
      </c>
      <c r="B137" s="9" t="s">
        <v>29</v>
      </c>
      <c r="C137" s="4" t="s">
        <v>42</v>
      </c>
      <c r="D137" s="4" t="s">
        <v>24</v>
      </c>
      <c r="E137" s="4" t="s">
        <v>11</v>
      </c>
      <c r="F137" s="4">
        <v>19</v>
      </c>
      <c r="G137" s="4">
        <v>14528</v>
      </c>
      <c r="H137" s="4">
        <v>12</v>
      </c>
      <c r="I137" s="7">
        <v>46056</v>
      </c>
      <c r="J137" s="7">
        <v>46062</v>
      </c>
      <c r="K137" s="4" t="s">
        <v>80</v>
      </c>
      <c r="L137" s="7">
        <f t="shared" ca="1" si="6"/>
        <v>46297</v>
      </c>
      <c r="M137" s="14">
        <f t="shared" ca="1" si="7"/>
        <v>46297.119078935182</v>
      </c>
      <c r="N137" s="4">
        <f t="shared" si="8"/>
        <v>6</v>
      </c>
    </row>
    <row r="138" spans="1:14" x14ac:dyDescent="0.3">
      <c r="A138" s="9">
        <v>1137</v>
      </c>
      <c r="B138" s="9" t="s">
        <v>50</v>
      </c>
      <c r="C138" s="4" t="s">
        <v>19</v>
      </c>
      <c r="D138" s="4" t="s">
        <v>20</v>
      </c>
      <c r="E138" s="4" t="s">
        <v>37</v>
      </c>
      <c r="F138" s="4">
        <v>16</v>
      </c>
      <c r="G138" s="4">
        <v>270</v>
      </c>
      <c r="H138" s="4">
        <v>10</v>
      </c>
      <c r="I138" s="7">
        <v>46184</v>
      </c>
      <c r="J138" s="7">
        <v>46190</v>
      </c>
      <c r="K138" s="4" t="s">
        <v>49</v>
      </c>
      <c r="L138" s="7">
        <f t="shared" ca="1" si="6"/>
        <v>46297</v>
      </c>
      <c r="M138" s="14">
        <f t="shared" ca="1" si="7"/>
        <v>46297.119078935182</v>
      </c>
      <c r="N138" s="4">
        <f t="shared" si="8"/>
        <v>6</v>
      </c>
    </row>
    <row r="139" spans="1:14" x14ac:dyDescent="0.3">
      <c r="A139" s="9">
        <v>1138</v>
      </c>
      <c r="B139" s="9" t="s">
        <v>53</v>
      </c>
      <c r="C139" s="4" t="s">
        <v>42</v>
      </c>
      <c r="D139" s="4" t="s">
        <v>24</v>
      </c>
      <c r="E139" s="4" t="s">
        <v>7</v>
      </c>
      <c r="F139" s="4">
        <v>5</v>
      </c>
      <c r="G139" s="4">
        <v>14466</v>
      </c>
      <c r="H139" s="4">
        <v>2</v>
      </c>
      <c r="I139" s="7">
        <v>46084</v>
      </c>
      <c r="J139" s="7">
        <v>46092</v>
      </c>
      <c r="K139" s="4" t="s">
        <v>81</v>
      </c>
      <c r="L139" s="7">
        <f t="shared" ca="1" si="6"/>
        <v>46297</v>
      </c>
      <c r="M139" s="14">
        <f t="shared" ca="1" si="7"/>
        <v>46297.119078935182</v>
      </c>
      <c r="N139" s="4">
        <f t="shared" si="8"/>
        <v>8</v>
      </c>
    </row>
    <row r="140" spans="1:14" x14ac:dyDescent="0.3">
      <c r="A140" s="9">
        <v>1139</v>
      </c>
      <c r="B140" s="9" t="s">
        <v>53</v>
      </c>
      <c r="C140" s="4" t="s">
        <v>33</v>
      </c>
      <c r="D140" s="4" t="s">
        <v>34</v>
      </c>
      <c r="E140" s="4" t="s">
        <v>12</v>
      </c>
      <c r="F140" s="4">
        <v>17</v>
      </c>
      <c r="G140" s="4">
        <v>28839</v>
      </c>
      <c r="H140" s="4">
        <v>10</v>
      </c>
      <c r="I140" s="7">
        <v>46093</v>
      </c>
      <c r="J140" s="7">
        <v>46099</v>
      </c>
      <c r="K140" s="4" t="s">
        <v>78</v>
      </c>
      <c r="L140" s="7">
        <f t="shared" ca="1" si="6"/>
        <v>46297</v>
      </c>
      <c r="M140" s="14">
        <f t="shared" ca="1" si="7"/>
        <v>46297.119078935182</v>
      </c>
      <c r="N140" s="4">
        <f t="shared" si="8"/>
        <v>6</v>
      </c>
    </row>
    <row r="141" spans="1:14" x14ac:dyDescent="0.3">
      <c r="A141" s="9">
        <v>1140</v>
      </c>
      <c r="B141" s="9" t="s">
        <v>54</v>
      </c>
      <c r="C141" s="4" t="s">
        <v>38</v>
      </c>
      <c r="D141" s="4" t="s">
        <v>34</v>
      </c>
      <c r="E141" s="4" t="s">
        <v>40</v>
      </c>
      <c r="F141" s="4">
        <v>5</v>
      </c>
      <c r="G141" s="4">
        <v>68012</v>
      </c>
      <c r="H141" s="4">
        <v>5</v>
      </c>
      <c r="I141" s="7">
        <v>46061</v>
      </c>
      <c r="J141" s="7">
        <v>46065</v>
      </c>
      <c r="K141" s="4" t="s">
        <v>78</v>
      </c>
      <c r="L141" s="7">
        <f t="shared" ca="1" si="6"/>
        <v>46297</v>
      </c>
      <c r="M141" s="14">
        <f t="shared" ca="1" si="7"/>
        <v>46297.119078935182</v>
      </c>
      <c r="N141" s="4">
        <f t="shared" si="8"/>
        <v>4</v>
      </c>
    </row>
    <row r="142" spans="1:14" x14ac:dyDescent="0.3">
      <c r="A142" s="9">
        <v>1141</v>
      </c>
      <c r="B142" s="9" t="s">
        <v>18</v>
      </c>
      <c r="C142" s="4" t="s">
        <v>23</v>
      </c>
      <c r="D142" s="4" t="s">
        <v>24</v>
      </c>
      <c r="E142" s="4" t="s">
        <v>43</v>
      </c>
      <c r="F142" s="4">
        <v>20</v>
      </c>
      <c r="G142" s="4">
        <v>6835</v>
      </c>
      <c r="H142" s="4">
        <v>2</v>
      </c>
      <c r="I142" s="7">
        <v>46043</v>
      </c>
      <c r="J142" s="7">
        <v>46053</v>
      </c>
      <c r="K142" s="4" t="s">
        <v>78</v>
      </c>
      <c r="L142" s="7">
        <f t="shared" ca="1" si="6"/>
        <v>46297</v>
      </c>
      <c r="M142" s="14">
        <f t="shared" ca="1" si="7"/>
        <v>46297.119078935182</v>
      </c>
      <c r="N142" s="4">
        <f t="shared" si="8"/>
        <v>10</v>
      </c>
    </row>
    <row r="143" spans="1:14" x14ac:dyDescent="0.3">
      <c r="A143" s="9">
        <v>1142</v>
      </c>
      <c r="B143" s="9" t="s">
        <v>39</v>
      </c>
      <c r="C143" s="4" t="s">
        <v>27</v>
      </c>
      <c r="D143" s="4" t="s">
        <v>34</v>
      </c>
      <c r="E143" s="4" t="s">
        <v>9</v>
      </c>
      <c r="F143" s="4">
        <v>9</v>
      </c>
      <c r="G143" s="4">
        <v>59788</v>
      </c>
      <c r="H143" s="4">
        <v>7</v>
      </c>
      <c r="I143" s="7">
        <v>46064</v>
      </c>
      <c r="J143" s="7">
        <v>46071</v>
      </c>
      <c r="K143" s="4" t="s">
        <v>49</v>
      </c>
      <c r="L143" s="7">
        <f t="shared" ca="1" si="6"/>
        <v>46297</v>
      </c>
      <c r="M143" s="14">
        <f t="shared" ca="1" si="7"/>
        <v>46297.119078935182</v>
      </c>
      <c r="N143" s="4">
        <f t="shared" si="8"/>
        <v>7</v>
      </c>
    </row>
    <row r="144" spans="1:14" x14ac:dyDescent="0.3">
      <c r="A144" s="9">
        <v>1143</v>
      </c>
      <c r="B144" s="9" t="s">
        <v>49</v>
      </c>
      <c r="C144" s="4" t="s">
        <v>23</v>
      </c>
      <c r="D144" s="4" t="s">
        <v>20</v>
      </c>
      <c r="E144" s="4" t="s">
        <v>37</v>
      </c>
      <c r="F144" s="4">
        <v>13</v>
      </c>
      <c r="G144" s="4">
        <v>456</v>
      </c>
      <c r="H144" s="4">
        <v>2</v>
      </c>
      <c r="I144" s="7">
        <v>46160</v>
      </c>
      <c r="J144" s="7">
        <v>46167</v>
      </c>
      <c r="K144" s="4" t="s">
        <v>80</v>
      </c>
      <c r="L144" s="7">
        <f t="shared" ca="1" si="6"/>
        <v>46297</v>
      </c>
      <c r="M144" s="14">
        <f t="shared" ca="1" si="7"/>
        <v>46297.119078935182</v>
      </c>
      <c r="N144" s="4">
        <f t="shared" si="8"/>
        <v>7</v>
      </c>
    </row>
    <row r="145" spans="1:14" x14ac:dyDescent="0.3">
      <c r="A145" s="9">
        <v>1144</v>
      </c>
      <c r="B145" s="9" t="s">
        <v>41</v>
      </c>
      <c r="C145" s="4" t="s">
        <v>27</v>
      </c>
      <c r="D145" s="4" t="s">
        <v>20</v>
      </c>
      <c r="E145" s="4" t="s">
        <v>21</v>
      </c>
      <c r="F145" s="4">
        <v>16</v>
      </c>
      <c r="G145" s="4">
        <v>219</v>
      </c>
      <c r="H145" s="4">
        <v>7</v>
      </c>
      <c r="I145" s="7">
        <v>46138</v>
      </c>
      <c r="J145" s="7">
        <v>46140</v>
      </c>
      <c r="K145" s="4" t="s">
        <v>79</v>
      </c>
      <c r="L145" s="7">
        <f t="shared" ca="1" si="6"/>
        <v>46297</v>
      </c>
      <c r="M145" s="14">
        <f t="shared" ca="1" si="7"/>
        <v>46297.119078935182</v>
      </c>
      <c r="N145" s="4">
        <f t="shared" si="8"/>
        <v>2</v>
      </c>
    </row>
    <row r="146" spans="1:14" x14ac:dyDescent="0.3">
      <c r="A146" s="9">
        <v>1145</v>
      </c>
      <c r="B146" s="9" t="s">
        <v>41</v>
      </c>
      <c r="C146" s="4" t="s">
        <v>33</v>
      </c>
      <c r="D146" s="4" t="s">
        <v>34</v>
      </c>
      <c r="E146" s="4" t="s">
        <v>5</v>
      </c>
      <c r="F146" s="4">
        <v>2</v>
      </c>
      <c r="G146" s="4">
        <v>34429</v>
      </c>
      <c r="H146" s="4">
        <v>12</v>
      </c>
      <c r="I146" s="7">
        <v>46102</v>
      </c>
      <c r="J146" s="7">
        <v>46112</v>
      </c>
      <c r="K146" s="4" t="s">
        <v>80</v>
      </c>
      <c r="L146" s="7">
        <f t="shared" ca="1" si="6"/>
        <v>46297</v>
      </c>
      <c r="M146" s="14">
        <f t="shared" ca="1" si="7"/>
        <v>46297.119078935182</v>
      </c>
      <c r="N146" s="4">
        <f t="shared" si="8"/>
        <v>10</v>
      </c>
    </row>
    <row r="147" spans="1:14" x14ac:dyDescent="0.3">
      <c r="A147" s="9">
        <v>1146</v>
      </c>
      <c r="B147" s="9" t="s">
        <v>22</v>
      </c>
      <c r="C147" s="4" t="s">
        <v>42</v>
      </c>
      <c r="D147" s="4" t="s">
        <v>34</v>
      </c>
      <c r="E147" s="4" t="s">
        <v>6</v>
      </c>
      <c r="F147" s="4">
        <v>7</v>
      </c>
      <c r="G147" s="4">
        <v>68217</v>
      </c>
      <c r="H147" s="4">
        <v>0</v>
      </c>
      <c r="I147" s="7">
        <v>46190</v>
      </c>
      <c r="J147" s="7">
        <v>46197</v>
      </c>
      <c r="K147" s="4" t="s">
        <v>49</v>
      </c>
      <c r="L147" s="7">
        <f t="shared" ca="1" si="6"/>
        <v>46297</v>
      </c>
      <c r="M147" s="14">
        <f t="shared" ca="1" si="7"/>
        <v>46297.119078935182</v>
      </c>
      <c r="N147" s="4">
        <f t="shared" si="8"/>
        <v>7</v>
      </c>
    </row>
    <row r="148" spans="1:14" x14ac:dyDescent="0.3">
      <c r="A148" s="9">
        <v>1147</v>
      </c>
      <c r="B148" s="9" t="s">
        <v>18</v>
      </c>
      <c r="C148" s="4" t="s">
        <v>26</v>
      </c>
      <c r="D148" s="4" t="s">
        <v>24</v>
      </c>
      <c r="E148" s="4" t="s">
        <v>8</v>
      </c>
      <c r="F148" s="4">
        <v>7</v>
      </c>
      <c r="G148" s="4">
        <v>9581</v>
      </c>
      <c r="H148" s="4">
        <v>5</v>
      </c>
      <c r="I148" s="7">
        <v>46154</v>
      </c>
      <c r="J148" s="7">
        <v>46155</v>
      </c>
      <c r="K148" s="4" t="s">
        <v>79</v>
      </c>
      <c r="L148" s="7">
        <f t="shared" ca="1" si="6"/>
        <v>46297</v>
      </c>
      <c r="M148" s="14">
        <f t="shared" ca="1" si="7"/>
        <v>46297.119078935182</v>
      </c>
      <c r="N148" s="4">
        <f t="shared" si="8"/>
        <v>1</v>
      </c>
    </row>
    <row r="149" spans="1:14" x14ac:dyDescent="0.3">
      <c r="A149" s="9">
        <v>1148</v>
      </c>
      <c r="B149" s="9" t="s">
        <v>56</v>
      </c>
      <c r="C149" s="4" t="s">
        <v>33</v>
      </c>
      <c r="D149" s="4" t="s">
        <v>24</v>
      </c>
      <c r="E149" s="4" t="s">
        <v>8</v>
      </c>
      <c r="F149" s="4">
        <v>11</v>
      </c>
      <c r="G149" s="4">
        <v>3023</v>
      </c>
      <c r="H149" s="4">
        <v>7</v>
      </c>
      <c r="I149" s="7">
        <v>46030</v>
      </c>
      <c r="J149" s="7">
        <v>46032</v>
      </c>
      <c r="K149" s="4" t="s">
        <v>80</v>
      </c>
      <c r="L149" s="7">
        <f t="shared" ca="1" si="6"/>
        <v>46297</v>
      </c>
      <c r="M149" s="14">
        <f t="shared" ca="1" si="7"/>
        <v>46297.119078935182</v>
      </c>
      <c r="N149" s="4">
        <f t="shared" si="8"/>
        <v>2</v>
      </c>
    </row>
    <row r="150" spans="1:14" x14ac:dyDescent="0.3">
      <c r="A150" s="9">
        <v>1149</v>
      </c>
      <c r="B150" s="9" t="s">
        <v>28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7">
        <v>46053</v>
      </c>
      <c r="J150" s="7">
        <v>46054</v>
      </c>
      <c r="K150" s="4" t="s">
        <v>49</v>
      </c>
      <c r="L150" s="7">
        <f t="shared" ca="1" si="6"/>
        <v>46297</v>
      </c>
      <c r="M150" s="14">
        <f t="shared" ca="1" si="7"/>
        <v>46297.119078935182</v>
      </c>
      <c r="N150" s="4">
        <f t="shared" si="8"/>
        <v>1</v>
      </c>
    </row>
    <row r="151" spans="1:14" x14ac:dyDescent="0.3">
      <c r="A151" s="9">
        <v>1150</v>
      </c>
      <c r="B151" s="9" t="s">
        <v>41</v>
      </c>
      <c r="C151" s="4" t="s">
        <v>19</v>
      </c>
      <c r="D151" s="4" t="s">
        <v>24</v>
      </c>
      <c r="E151" s="4" t="s">
        <v>11</v>
      </c>
      <c r="F151" s="4">
        <v>10</v>
      </c>
      <c r="G151" s="4">
        <v>5323</v>
      </c>
      <c r="H151" s="4">
        <v>7</v>
      </c>
      <c r="I151" s="7">
        <v>46143</v>
      </c>
      <c r="J151" s="7">
        <v>46153</v>
      </c>
      <c r="K151" s="4" t="s">
        <v>80</v>
      </c>
      <c r="L151" s="7">
        <f t="shared" ca="1" si="6"/>
        <v>46297</v>
      </c>
      <c r="M151" s="14">
        <f t="shared" ca="1" si="7"/>
        <v>46297.119078935182</v>
      </c>
      <c r="N151" s="4">
        <f t="shared" si="8"/>
        <v>10</v>
      </c>
    </row>
    <row r="152" spans="1:14" x14ac:dyDescent="0.3">
      <c r="A152" s="9">
        <v>1151</v>
      </c>
      <c r="B152" s="9" t="s">
        <v>44</v>
      </c>
      <c r="C152" s="4" t="s">
        <v>42</v>
      </c>
      <c r="D152" s="4" t="s">
        <v>20</v>
      </c>
      <c r="E152" s="4" t="s">
        <v>48</v>
      </c>
      <c r="F152" s="4">
        <v>20</v>
      </c>
      <c r="G152" s="4">
        <v>272</v>
      </c>
      <c r="H152" s="4">
        <v>15</v>
      </c>
      <c r="I152" s="7">
        <v>46024</v>
      </c>
      <c r="J152" s="7">
        <v>46029</v>
      </c>
      <c r="K152" s="4" t="s">
        <v>81</v>
      </c>
      <c r="L152" s="7">
        <f t="shared" ca="1" si="6"/>
        <v>46297</v>
      </c>
      <c r="M152" s="14">
        <f t="shared" ca="1" si="7"/>
        <v>46297.119078935182</v>
      </c>
      <c r="N152" s="4">
        <f t="shared" si="8"/>
        <v>5</v>
      </c>
    </row>
    <row r="153" spans="1:14" x14ac:dyDescent="0.3">
      <c r="A153" s="9">
        <v>1152</v>
      </c>
      <c r="B153" s="9" t="s">
        <v>29</v>
      </c>
      <c r="C153" s="4" t="s">
        <v>31</v>
      </c>
      <c r="D153" s="4" t="s">
        <v>34</v>
      </c>
      <c r="E153" s="4" t="s">
        <v>12</v>
      </c>
      <c r="F153" s="4">
        <v>14</v>
      </c>
      <c r="G153" s="4">
        <v>8150</v>
      </c>
      <c r="H153" s="4">
        <v>10</v>
      </c>
      <c r="I153" s="7">
        <v>46062</v>
      </c>
      <c r="J153" s="7">
        <v>46070</v>
      </c>
      <c r="K153" s="4" t="s">
        <v>78</v>
      </c>
      <c r="L153" s="7">
        <f t="shared" ca="1" si="6"/>
        <v>46297</v>
      </c>
      <c r="M153" s="14">
        <f t="shared" ca="1" si="7"/>
        <v>46297.119078935182</v>
      </c>
      <c r="N153" s="4">
        <f t="shared" si="8"/>
        <v>8</v>
      </c>
    </row>
    <row r="154" spans="1:14" x14ac:dyDescent="0.3">
      <c r="A154" s="9">
        <v>1153</v>
      </c>
      <c r="B154" s="9" t="s">
        <v>41</v>
      </c>
      <c r="C154" s="4" t="s">
        <v>27</v>
      </c>
      <c r="D154" s="4" t="s">
        <v>24</v>
      </c>
      <c r="E154" s="4" t="s">
        <v>10</v>
      </c>
      <c r="F154" s="4">
        <v>19</v>
      </c>
      <c r="G154" s="4">
        <v>10273</v>
      </c>
      <c r="H154" s="4">
        <v>12</v>
      </c>
      <c r="I154" s="7">
        <v>46069</v>
      </c>
      <c r="J154" s="7">
        <v>46072</v>
      </c>
      <c r="K154" s="4" t="s">
        <v>49</v>
      </c>
      <c r="L154" s="7">
        <f t="shared" ca="1" si="6"/>
        <v>46297</v>
      </c>
      <c r="M154" s="14">
        <f t="shared" ca="1" si="7"/>
        <v>46297.119078935182</v>
      </c>
      <c r="N154" s="4">
        <f t="shared" si="8"/>
        <v>3</v>
      </c>
    </row>
    <row r="155" spans="1:14" x14ac:dyDescent="0.3">
      <c r="A155" s="9">
        <v>1154</v>
      </c>
      <c r="B155" s="9" t="s">
        <v>32</v>
      </c>
      <c r="C155" s="4" t="s">
        <v>23</v>
      </c>
      <c r="D155" s="4" t="s">
        <v>24</v>
      </c>
      <c r="E155" s="4" t="s">
        <v>11</v>
      </c>
      <c r="F155" s="4">
        <v>15</v>
      </c>
      <c r="G155" s="4">
        <v>6101</v>
      </c>
      <c r="H155" s="4">
        <v>0</v>
      </c>
      <c r="I155" s="7">
        <v>46178</v>
      </c>
      <c r="J155" s="7">
        <v>46183</v>
      </c>
      <c r="K155" s="4" t="s">
        <v>81</v>
      </c>
      <c r="L155" s="7">
        <f t="shared" ca="1" si="6"/>
        <v>46297</v>
      </c>
      <c r="M155" s="14">
        <f t="shared" ca="1" si="7"/>
        <v>46297.119078935182</v>
      </c>
      <c r="N155" s="4">
        <f t="shared" si="8"/>
        <v>5</v>
      </c>
    </row>
    <row r="156" spans="1:14" x14ac:dyDescent="0.3">
      <c r="A156" s="9">
        <v>1155</v>
      </c>
      <c r="B156" s="9" t="s">
        <v>18</v>
      </c>
      <c r="C156" s="4" t="s">
        <v>31</v>
      </c>
      <c r="D156" s="4" t="s">
        <v>24</v>
      </c>
      <c r="E156" s="4" t="s">
        <v>8</v>
      </c>
      <c r="F156" s="4">
        <v>13</v>
      </c>
      <c r="G156" s="4">
        <v>4341</v>
      </c>
      <c r="H156" s="4">
        <v>15</v>
      </c>
      <c r="I156" s="7">
        <v>46093</v>
      </c>
      <c r="J156" s="7">
        <v>46096</v>
      </c>
      <c r="K156" s="4" t="s">
        <v>80</v>
      </c>
      <c r="L156" s="7">
        <f t="shared" ca="1" si="6"/>
        <v>46297</v>
      </c>
      <c r="M156" s="14">
        <f t="shared" ca="1" si="7"/>
        <v>46297.119078935182</v>
      </c>
      <c r="N156" s="4">
        <f t="shared" si="8"/>
        <v>3</v>
      </c>
    </row>
    <row r="157" spans="1:14" x14ac:dyDescent="0.3">
      <c r="A157" s="9">
        <v>1156</v>
      </c>
      <c r="B157" s="9" t="s">
        <v>52</v>
      </c>
      <c r="C157" s="4" t="s">
        <v>38</v>
      </c>
      <c r="D157" s="4" t="s">
        <v>20</v>
      </c>
      <c r="E157" s="4" t="s">
        <v>36</v>
      </c>
      <c r="F157" s="4">
        <v>5</v>
      </c>
      <c r="G157" s="4">
        <v>466</v>
      </c>
      <c r="H157" s="4">
        <v>15</v>
      </c>
      <c r="I157" s="7">
        <v>46025</v>
      </c>
      <c r="J157" s="7">
        <v>46029</v>
      </c>
      <c r="K157" s="4" t="s">
        <v>78</v>
      </c>
      <c r="L157" s="7">
        <f t="shared" ca="1" si="6"/>
        <v>46297</v>
      </c>
      <c r="M157" s="14">
        <f t="shared" ca="1" si="7"/>
        <v>46297.119078935182</v>
      </c>
      <c r="N157" s="4">
        <f t="shared" si="8"/>
        <v>4</v>
      </c>
    </row>
    <row r="158" spans="1:14" x14ac:dyDescent="0.3">
      <c r="A158" s="9">
        <v>1157</v>
      </c>
      <c r="B158" s="9" t="s">
        <v>50</v>
      </c>
      <c r="C158" s="4" t="s">
        <v>33</v>
      </c>
      <c r="D158" s="4" t="s">
        <v>20</v>
      </c>
      <c r="E158" s="4" t="s">
        <v>48</v>
      </c>
      <c r="F158" s="4">
        <v>3</v>
      </c>
      <c r="G158" s="4">
        <v>203</v>
      </c>
      <c r="H158" s="4">
        <v>15</v>
      </c>
      <c r="I158" s="7">
        <v>46076</v>
      </c>
      <c r="J158" s="7">
        <v>46080</v>
      </c>
      <c r="K158" s="4" t="s">
        <v>49</v>
      </c>
      <c r="L158" s="7">
        <f t="shared" ca="1" si="6"/>
        <v>46297</v>
      </c>
      <c r="M158" s="14">
        <f t="shared" ca="1" si="7"/>
        <v>46297.119078935182</v>
      </c>
      <c r="N158" s="4">
        <f t="shared" si="8"/>
        <v>4</v>
      </c>
    </row>
    <row r="159" spans="1:14" x14ac:dyDescent="0.3">
      <c r="A159" s="9">
        <v>1158</v>
      </c>
      <c r="B159" s="9" t="s">
        <v>28</v>
      </c>
      <c r="C159" s="4" t="s">
        <v>38</v>
      </c>
      <c r="D159" s="4" t="s">
        <v>34</v>
      </c>
      <c r="E159" s="4" t="s">
        <v>40</v>
      </c>
      <c r="F159" s="4">
        <v>13</v>
      </c>
      <c r="G159" s="4">
        <v>12518</v>
      </c>
      <c r="H159" s="4">
        <v>2</v>
      </c>
      <c r="I159" s="7">
        <v>46079</v>
      </c>
      <c r="J159" s="7">
        <v>46082</v>
      </c>
      <c r="K159" s="4" t="s">
        <v>81</v>
      </c>
      <c r="L159" s="7">
        <f t="shared" ca="1" si="6"/>
        <v>46297</v>
      </c>
      <c r="M159" s="14">
        <f t="shared" ca="1" si="7"/>
        <v>46297.119078935182</v>
      </c>
      <c r="N159" s="4">
        <f t="shared" si="8"/>
        <v>3</v>
      </c>
    </row>
    <row r="160" spans="1:14" x14ac:dyDescent="0.3">
      <c r="A160" s="9">
        <v>1159</v>
      </c>
      <c r="B160" s="9" t="s">
        <v>32</v>
      </c>
      <c r="C160" s="4" t="s">
        <v>42</v>
      </c>
      <c r="D160" s="4" t="s">
        <v>24</v>
      </c>
      <c r="E160" s="4" t="s">
        <v>8</v>
      </c>
      <c r="F160" s="4">
        <v>20</v>
      </c>
      <c r="G160" s="4">
        <v>14000</v>
      </c>
      <c r="H160" s="4">
        <v>15</v>
      </c>
      <c r="I160" s="7">
        <v>46184</v>
      </c>
      <c r="J160" s="7">
        <v>46187</v>
      </c>
      <c r="K160" s="4" t="s">
        <v>78</v>
      </c>
      <c r="L160" s="7">
        <f t="shared" ca="1" si="6"/>
        <v>46297</v>
      </c>
      <c r="M160" s="14">
        <f t="shared" ca="1" si="7"/>
        <v>46297.119078935182</v>
      </c>
      <c r="N160" s="4">
        <f t="shared" si="8"/>
        <v>3</v>
      </c>
    </row>
    <row r="161" spans="1:14" x14ac:dyDescent="0.3">
      <c r="A161" s="9">
        <v>1160</v>
      </c>
      <c r="B161" s="9" t="s">
        <v>56</v>
      </c>
      <c r="C161" s="4" t="s">
        <v>26</v>
      </c>
      <c r="D161" s="4" t="s">
        <v>34</v>
      </c>
      <c r="E161" s="4" t="s">
        <v>5</v>
      </c>
      <c r="F161" s="4">
        <v>7</v>
      </c>
      <c r="G161" s="4">
        <v>53986</v>
      </c>
      <c r="H161" s="4">
        <v>10</v>
      </c>
      <c r="I161" s="7">
        <v>46142</v>
      </c>
      <c r="J161" s="7">
        <v>46147</v>
      </c>
      <c r="K161" s="4" t="s">
        <v>81</v>
      </c>
      <c r="L161" s="7">
        <f t="shared" ca="1" si="6"/>
        <v>46297</v>
      </c>
      <c r="M161" s="14">
        <f t="shared" ca="1" si="7"/>
        <v>46297.119078935182</v>
      </c>
      <c r="N161" s="4">
        <f t="shared" si="8"/>
        <v>5</v>
      </c>
    </row>
    <row r="162" spans="1:14" x14ac:dyDescent="0.3">
      <c r="A162" s="9">
        <v>1161</v>
      </c>
      <c r="B162" s="9" t="s">
        <v>29</v>
      </c>
      <c r="C162" s="4" t="s">
        <v>27</v>
      </c>
      <c r="D162" s="4" t="s">
        <v>34</v>
      </c>
      <c r="E162" s="4" t="s">
        <v>5</v>
      </c>
      <c r="F162" s="4">
        <v>4</v>
      </c>
      <c r="G162" s="4">
        <v>54659</v>
      </c>
      <c r="H162" s="4">
        <v>7</v>
      </c>
      <c r="I162" s="7">
        <v>46105</v>
      </c>
      <c r="J162" s="7">
        <v>46109</v>
      </c>
      <c r="K162" s="4" t="s">
        <v>79</v>
      </c>
      <c r="L162" s="7">
        <f t="shared" ca="1" si="6"/>
        <v>46297</v>
      </c>
      <c r="M162" s="14">
        <f t="shared" ca="1" si="7"/>
        <v>46297.119078935182</v>
      </c>
      <c r="N162" s="4">
        <f t="shared" si="8"/>
        <v>4</v>
      </c>
    </row>
    <row r="163" spans="1:14" x14ac:dyDescent="0.3">
      <c r="A163" s="9">
        <v>1162</v>
      </c>
      <c r="B163" s="9" t="s">
        <v>54</v>
      </c>
      <c r="C163" s="4" t="s">
        <v>31</v>
      </c>
      <c r="D163" s="4" t="s">
        <v>34</v>
      </c>
      <c r="E163" s="4" t="s">
        <v>6</v>
      </c>
      <c r="F163" s="4">
        <v>2</v>
      </c>
      <c r="G163" s="4">
        <v>28176</v>
      </c>
      <c r="H163" s="4">
        <v>10</v>
      </c>
      <c r="I163" s="7">
        <v>46100</v>
      </c>
      <c r="J163" s="7">
        <v>46101</v>
      </c>
      <c r="K163" s="4" t="s">
        <v>79</v>
      </c>
      <c r="L163" s="7">
        <f t="shared" ca="1" si="6"/>
        <v>46297</v>
      </c>
      <c r="M163" s="14">
        <f t="shared" ca="1" si="7"/>
        <v>46297.119078935182</v>
      </c>
      <c r="N163" s="4">
        <f t="shared" si="8"/>
        <v>1</v>
      </c>
    </row>
    <row r="164" spans="1:14" x14ac:dyDescent="0.3">
      <c r="A164" s="9">
        <v>1163</v>
      </c>
      <c r="B164" s="9" t="s">
        <v>49</v>
      </c>
      <c r="C164" s="4" t="s">
        <v>38</v>
      </c>
      <c r="D164" s="4" t="s">
        <v>34</v>
      </c>
      <c r="E164" s="4" t="s">
        <v>5</v>
      </c>
      <c r="F164" s="4">
        <v>9</v>
      </c>
      <c r="G164" s="4">
        <v>62440</v>
      </c>
      <c r="H164" s="4">
        <v>2</v>
      </c>
      <c r="I164" s="7">
        <v>46081</v>
      </c>
      <c r="J164" s="7">
        <v>46086</v>
      </c>
      <c r="K164" s="4" t="s">
        <v>49</v>
      </c>
      <c r="L164" s="7">
        <f t="shared" ca="1" si="6"/>
        <v>46297</v>
      </c>
      <c r="M164" s="14">
        <f t="shared" ca="1" si="7"/>
        <v>46297.119078935182</v>
      </c>
      <c r="N164" s="4">
        <f t="shared" si="8"/>
        <v>5</v>
      </c>
    </row>
    <row r="165" spans="1:14" x14ac:dyDescent="0.3">
      <c r="A165" s="9">
        <v>1164</v>
      </c>
      <c r="B165" s="9" t="s">
        <v>39</v>
      </c>
      <c r="C165" s="4" t="s">
        <v>42</v>
      </c>
      <c r="D165" s="4" t="s">
        <v>34</v>
      </c>
      <c r="E165" s="4" t="s">
        <v>12</v>
      </c>
      <c r="F165" s="4">
        <v>7</v>
      </c>
      <c r="G165" s="4">
        <v>24615</v>
      </c>
      <c r="H165" s="4">
        <v>12</v>
      </c>
      <c r="I165" s="7">
        <v>46196</v>
      </c>
      <c r="J165" s="7">
        <v>46203</v>
      </c>
      <c r="K165" s="4" t="s">
        <v>81</v>
      </c>
      <c r="L165" s="7">
        <f t="shared" ca="1" si="6"/>
        <v>46297</v>
      </c>
      <c r="M165" s="14">
        <f t="shared" ca="1" si="7"/>
        <v>46297.119078935182</v>
      </c>
      <c r="N165" s="4">
        <f t="shared" si="8"/>
        <v>7</v>
      </c>
    </row>
    <row r="166" spans="1:14" x14ac:dyDescent="0.3">
      <c r="A166" s="9">
        <v>1165</v>
      </c>
      <c r="B166" s="9" t="s">
        <v>46</v>
      </c>
      <c r="C166" s="4" t="s">
        <v>27</v>
      </c>
      <c r="D166" s="4" t="s">
        <v>20</v>
      </c>
      <c r="E166" s="4" t="s">
        <v>37</v>
      </c>
      <c r="F166" s="4">
        <v>1</v>
      </c>
      <c r="G166" s="4">
        <v>427</v>
      </c>
      <c r="H166" s="4">
        <v>0</v>
      </c>
      <c r="I166" s="7">
        <v>46042</v>
      </c>
      <c r="J166" s="7">
        <v>46050</v>
      </c>
      <c r="K166" s="4" t="s">
        <v>81</v>
      </c>
      <c r="L166" s="7">
        <f t="shared" ca="1" si="6"/>
        <v>46297</v>
      </c>
      <c r="M166" s="14">
        <f t="shared" ca="1" si="7"/>
        <v>46297.119078935182</v>
      </c>
      <c r="N166" s="4">
        <f t="shared" si="8"/>
        <v>8</v>
      </c>
    </row>
    <row r="167" spans="1:14" x14ac:dyDescent="0.3">
      <c r="A167" s="9">
        <v>1166</v>
      </c>
      <c r="B167" s="9" t="s">
        <v>32</v>
      </c>
      <c r="C167" s="4" t="s">
        <v>31</v>
      </c>
      <c r="D167" s="4" t="s">
        <v>20</v>
      </c>
      <c r="E167" s="4" t="s">
        <v>37</v>
      </c>
      <c r="F167" s="4">
        <v>1</v>
      </c>
      <c r="G167" s="4">
        <v>396</v>
      </c>
      <c r="H167" s="4">
        <v>5</v>
      </c>
      <c r="I167" s="7">
        <v>46092</v>
      </c>
      <c r="J167" s="7">
        <v>46093</v>
      </c>
      <c r="K167" s="4" t="s">
        <v>79</v>
      </c>
      <c r="L167" s="7">
        <f t="shared" ca="1" si="6"/>
        <v>46297</v>
      </c>
      <c r="M167" s="14">
        <f t="shared" ca="1" si="7"/>
        <v>46297.119078935182</v>
      </c>
      <c r="N167" s="4">
        <f t="shared" si="8"/>
        <v>1</v>
      </c>
    </row>
    <row r="168" spans="1:14" x14ac:dyDescent="0.3">
      <c r="A168" s="9">
        <v>1167</v>
      </c>
      <c r="B168" s="9" t="s">
        <v>46</v>
      </c>
      <c r="C168" s="4" t="s">
        <v>23</v>
      </c>
      <c r="D168" s="4" t="s">
        <v>20</v>
      </c>
      <c r="E168" s="4" t="s">
        <v>37</v>
      </c>
      <c r="F168" s="4">
        <v>20</v>
      </c>
      <c r="G168" s="4">
        <v>251</v>
      </c>
      <c r="H168" s="4">
        <v>5</v>
      </c>
      <c r="I168" s="7">
        <v>46160</v>
      </c>
      <c r="J168" s="7">
        <v>46170</v>
      </c>
      <c r="K168" s="4" t="s">
        <v>49</v>
      </c>
      <c r="L168" s="7">
        <f t="shared" ca="1" si="6"/>
        <v>46297</v>
      </c>
      <c r="M168" s="14">
        <f t="shared" ca="1" si="7"/>
        <v>46297.119078935182</v>
      </c>
      <c r="N168" s="4">
        <f t="shared" si="8"/>
        <v>10</v>
      </c>
    </row>
    <row r="169" spans="1:14" x14ac:dyDescent="0.3">
      <c r="A169" s="9">
        <v>1168</v>
      </c>
      <c r="B169" s="9" t="s">
        <v>52</v>
      </c>
      <c r="C169" s="4" t="s">
        <v>19</v>
      </c>
      <c r="D169" s="4" t="s">
        <v>20</v>
      </c>
      <c r="E169" s="4" t="s">
        <v>37</v>
      </c>
      <c r="F169" s="4">
        <v>18</v>
      </c>
      <c r="G169" s="4">
        <v>335</v>
      </c>
      <c r="H169" s="4">
        <v>15</v>
      </c>
      <c r="I169" s="7">
        <v>46130</v>
      </c>
      <c r="J169" s="7">
        <v>46140</v>
      </c>
      <c r="K169" s="4" t="s">
        <v>49</v>
      </c>
      <c r="L169" s="7">
        <f t="shared" ca="1" si="6"/>
        <v>46297</v>
      </c>
      <c r="M169" s="14">
        <f t="shared" ca="1" si="7"/>
        <v>46297.119078935182</v>
      </c>
      <c r="N169" s="4">
        <f t="shared" si="8"/>
        <v>10</v>
      </c>
    </row>
    <row r="170" spans="1:14" x14ac:dyDescent="0.3">
      <c r="A170" s="9">
        <v>1169</v>
      </c>
      <c r="B170" s="9" t="s">
        <v>45</v>
      </c>
      <c r="C170" s="4" t="s">
        <v>19</v>
      </c>
      <c r="D170" s="4" t="s">
        <v>24</v>
      </c>
      <c r="E170" s="4" t="s">
        <v>11</v>
      </c>
      <c r="F170" s="4">
        <v>12</v>
      </c>
      <c r="G170" s="4">
        <v>12104</v>
      </c>
      <c r="H170" s="4">
        <v>7</v>
      </c>
      <c r="I170" s="7">
        <v>46121</v>
      </c>
      <c r="J170" s="7">
        <v>46130</v>
      </c>
      <c r="K170" s="4" t="s">
        <v>80</v>
      </c>
      <c r="L170" s="7">
        <f t="shared" ca="1" si="6"/>
        <v>46297</v>
      </c>
      <c r="M170" s="14">
        <f t="shared" ca="1" si="7"/>
        <v>46297.119078935182</v>
      </c>
      <c r="N170" s="4">
        <f t="shared" si="8"/>
        <v>9</v>
      </c>
    </row>
    <row r="171" spans="1:14" x14ac:dyDescent="0.3">
      <c r="A171" s="9">
        <v>1170</v>
      </c>
      <c r="B171" s="9" t="s">
        <v>47</v>
      </c>
      <c r="C171" s="4" t="s">
        <v>38</v>
      </c>
      <c r="D171" s="4" t="s">
        <v>20</v>
      </c>
      <c r="E171" s="4" t="s">
        <v>21</v>
      </c>
      <c r="F171" s="4">
        <v>6</v>
      </c>
      <c r="G171" s="4">
        <v>339</v>
      </c>
      <c r="H171" s="4">
        <v>12</v>
      </c>
      <c r="I171" s="7">
        <v>46105</v>
      </c>
      <c r="J171" s="7">
        <v>46106</v>
      </c>
      <c r="K171" s="4" t="s">
        <v>80</v>
      </c>
      <c r="L171" s="7">
        <f t="shared" ca="1" si="6"/>
        <v>46297</v>
      </c>
      <c r="M171" s="14">
        <f t="shared" ca="1" si="7"/>
        <v>46297.119078935182</v>
      </c>
      <c r="N171" s="4">
        <f t="shared" si="8"/>
        <v>1</v>
      </c>
    </row>
    <row r="172" spans="1:14" x14ac:dyDescent="0.3">
      <c r="A172" s="9">
        <v>1171</v>
      </c>
      <c r="B172" s="9" t="s">
        <v>54</v>
      </c>
      <c r="C172" s="4" t="s">
        <v>27</v>
      </c>
      <c r="D172" s="4" t="s">
        <v>20</v>
      </c>
      <c r="E172" s="4" t="s">
        <v>48</v>
      </c>
      <c r="F172" s="4">
        <v>17</v>
      </c>
      <c r="G172" s="4">
        <v>147</v>
      </c>
      <c r="H172" s="4">
        <v>12</v>
      </c>
      <c r="I172" s="7">
        <v>46155</v>
      </c>
      <c r="J172" s="7">
        <v>46160</v>
      </c>
      <c r="K172" s="4" t="s">
        <v>79</v>
      </c>
      <c r="L172" s="7">
        <f t="shared" ca="1" si="6"/>
        <v>46297</v>
      </c>
      <c r="M172" s="14">
        <f t="shared" ca="1" si="7"/>
        <v>46297.119078935182</v>
      </c>
      <c r="N172" s="4">
        <f t="shared" si="8"/>
        <v>5</v>
      </c>
    </row>
    <row r="173" spans="1:14" x14ac:dyDescent="0.3">
      <c r="A173" s="9">
        <v>1172</v>
      </c>
      <c r="B173" s="9" t="s">
        <v>22</v>
      </c>
      <c r="C173" s="4" t="s">
        <v>19</v>
      </c>
      <c r="D173" s="4" t="s">
        <v>34</v>
      </c>
      <c r="E173" s="4" t="s">
        <v>6</v>
      </c>
      <c r="F173" s="4">
        <v>13</v>
      </c>
      <c r="G173" s="4">
        <v>43163</v>
      </c>
      <c r="H173" s="4">
        <v>12</v>
      </c>
      <c r="I173" s="7">
        <v>46120</v>
      </c>
      <c r="J173" s="7">
        <v>46129</v>
      </c>
      <c r="K173" s="4" t="s">
        <v>80</v>
      </c>
      <c r="L173" s="7">
        <f t="shared" ca="1" si="6"/>
        <v>46297</v>
      </c>
      <c r="M173" s="14">
        <f t="shared" ca="1" si="7"/>
        <v>46297.119078935182</v>
      </c>
      <c r="N173" s="4">
        <f t="shared" si="8"/>
        <v>9</v>
      </c>
    </row>
    <row r="174" spans="1:14" x14ac:dyDescent="0.3">
      <c r="A174" s="9">
        <v>1173</v>
      </c>
      <c r="B174" s="9" t="s">
        <v>39</v>
      </c>
      <c r="C174" s="4" t="s">
        <v>23</v>
      </c>
      <c r="D174" s="4" t="s">
        <v>20</v>
      </c>
      <c r="E174" s="4" t="s">
        <v>37</v>
      </c>
      <c r="F174" s="4">
        <v>15</v>
      </c>
      <c r="G174" s="4">
        <v>214</v>
      </c>
      <c r="H174" s="4">
        <v>10</v>
      </c>
      <c r="I174" s="7">
        <v>46050</v>
      </c>
      <c r="J174" s="7">
        <v>46060</v>
      </c>
      <c r="K174" s="4" t="s">
        <v>81</v>
      </c>
      <c r="L174" s="7">
        <f t="shared" ca="1" si="6"/>
        <v>46297</v>
      </c>
      <c r="M174" s="14">
        <f t="shared" ca="1" si="7"/>
        <v>46297.119078935182</v>
      </c>
      <c r="N174" s="4">
        <f t="shared" si="8"/>
        <v>10</v>
      </c>
    </row>
    <row r="175" spans="1:14" x14ac:dyDescent="0.3">
      <c r="A175" s="9">
        <v>1174</v>
      </c>
      <c r="B175" s="9" t="s">
        <v>55</v>
      </c>
      <c r="C175" s="4" t="s">
        <v>38</v>
      </c>
      <c r="D175" s="4" t="s">
        <v>20</v>
      </c>
      <c r="E175" s="4" t="s">
        <v>21</v>
      </c>
      <c r="F175" s="4">
        <v>13</v>
      </c>
      <c r="G175" s="4">
        <v>155</v>
      </c>
      <c r="H175" s="4">
        <v>2</v>
      </c>
      <c r="I175" s="7">
        <v>46066</v>
      </c>
      <c r="J175" s="7">
        <v>46069</v>
      </c>
      <c r="K175" s="4" t="s">
        <v>80</v>
      </c>
      <c r="L175" s="7">
        <f t="shared" ca="1" si="6"/>
        <v>46297</v>
      </c>
      <c r="M175" s="14">
        <f t="shared" ca="1" si="7"/>
        <v>46297.119078935182</v>
      </c>
      <c r="N175" s="4">
        <f t="shared" si="8"/>
        <v>3</v>
      </c>
    </row>
    <row r="176" spans="1:14" x14ac:dyDescent="0.3">
      <c r="A176" s="9">
        <v>1175</v>
      </c>
      <c r="B176" s="9" t="s">
        <v>28</v>
      </c>
      <c r="C176" s="4" t="s">
        <v>23</v>
      </c>
      <c r="D176" s="4" t="s">
        <v>34</v>
      </c>
      <c r="E176" s="4" t="s">
        <v>40</v>
      </c>
      <c r="F176" s="4">
        <v>10</v>
      </c>
      <c r="G176" s="4">
        <v>20339</v>
      </c>
      <c r="H176" s="4">
        <v>2</v>
      </c>
      <c r="I176" s="7">
        <v>46088</v>
      </c>
      <c r="J176" s="7">
        <v>46094</v>
      </c>
      <c r="K176" s="4" t="s">
        <v>79</v>
      </c>
      <c r="L176" s="7">
        <f t="shared" ca="1" si="6"/>
        <v>46297</v>
      </c>
      <c r="M176" s="14">
        <f t="shared" ca="1" si="7"/>
        <v>46297.119078935182</v>
      </c>
      <c r="N176" s="4">
        <f t="shared" si="8"/>
        <v>6</v>
      </c>
    </row>
    <row r="177" spans="1:14" x14ac:dyDescent="0.3">
      <c r="A177" s="9">
        <v>1176</v>
      </c>
      <c r="B177" s="9" t="s">
        <v>55</v>
      </c>
      <c r="C177" s="4" t="s">
        <v>38</v>
      </c>
      <c r="D177" s="4" t="s">
        <v>34</v>
      </c>
      <c r="E177" s="4" t="s">
        <v>40</v>
      </c>
      <c r="F177" s="4">
        <v>17</v>
      </c>
      <c r="G177" s="4">
        <v>46937</v>
      </c>
      <c r="H177" s="4">
        <v>12</v>
      </c>
      <c r="I177" s="7">
        <v>46048</v>
      </c>
      <c r="J177" s="7">
        <v>46056</v>
      </c>
      <c r="K177" s="4" t="s">
        <v>49</v>
      </c>
      <c r="L177" s="7">
        <f t="shared" ca="1" si="6"/>
        <v>46297</v>
      </c>
      <c r="M177" s="14">
        <f t="shared" ca="1" si="7"/>
        <v>46297.119078935182</v>
      </c>
      <c r="N177" s="4">
        <f t="shared" si="8"/>
        <v>8</v>
      </c>
    </row>
    <row r="178" spans="1:14" x14ac:dyDescent="0.3">
      <c r="A178" s="9">
        <v>1177</v>
      </c>
      <c r="B178" s="9" t="s">
        <v>49</v>
      </c>
      <c r="C178" s="4" t="s">
        <v>26</v>
      </c>
      <c r="D178" s="4" t="s">
        <v>24</v>
      </c>
      <c r="E178" s="4" t="s">
        <v>7</v>
      </c>
      <c r="F178" s="4">
        <v>14</v>
      </c>
      <c r="G178" s="4">
        <v>7501</v>
      </c>
      <c r="H178" s="4">
        <v>7</v>
      </c>
      <c r="I178" s="7">
        <v>46169</v>
      </c>
      <c r="J178" s="7">
        <v>46179</v>
      </c>
      <c r="K178" s="4" t="s">
        <v>79</v>
      </c>
      <c r="L178" s="7">
        <f t="shared" ca="1" si="6"/>
        <v>46297</v>
      </c>
      <c r="M178" s="14">
        <f t="shared" ca="1" si="7"/>
        <v>46297.119078935182</v>
      </c>
      <c r="N178" s="4">
        <f t="shared" si="8"/>
        <v>10</v>
      </c>
    </row>
    <row r="179" spans="1:14" x14ac:dyDescent="0.3">
      <c r="A179" s="9">
        <v>1178</v>
      </c>
      <c r="B179" s="9" t="s">
        <v>54</v>
      </c>
      <c r="C179" s="4" t="s">
        <v>23</v>
      </c>
      <c r="D179" s="4" t="s">
        <v>20</v>
      </c>
      <c r="E179" s="4" t="s">
        <v>48</v>
      </c>
      <c r="F179" s="4">
        <v>5</v>
      </c>
      <c r="G179" s="4">
        <v>50</v>
      </c>
      <c r="H179" s="4">
        <v>0</v>
      </c>
      <c r="I179" s="7">
        <v>46111</v>
      </c>
      <c r="J179" s="7">
        <v>46117</v>
      </c>
      <c r="K179" s="4" t="s">
        <v>79</v>
      </c>
      <c r="L179" s="7">
        <f t="shared" ca="1" si="6"/>
        <v>46297</v>
      </c>
      <c r="M179" s="14">
        <f t="shared" ca="1" si="7"/>
        <v>46297.119078935182</v>
      </c>
      <c r="N179" s="4">
        <f t="shared" si="8"/>
        <v>6</v>
      </c>
    </row>
    <row r="180" spans="1:14" x14ac:dyDescent="0.3">
      <c r="A180" s="9">
        <v>1179</v>
      </c>
      <c r="B180" s="9" t="s">
        <v>45</v>
      </c>
      <c r="C180" s="4" t="s">
        <v>23</v>
      </c>
      <c r="D180" s="4" t="s">
        <v>34</v>
      </c>
      <c r="E180" s="4" t="s">
        <v>5</v>
      </c>
      <c r="F180" s="4">
        <v>6</v>
      </c>
      <c r="G180" s="4">
        <v>10400</v>
      </c>
      <c r="H180" s="4">
        <v>2</v>
      </c>
      <c r="I180" s="7">
        <v>46155</v>
      </c>
      <c r="J180" s="7">
        <v>46158</v>
      </c>
      <c r="K180" s="4" t="s">
        <v>78</v>
      </c>
      <c r="L180" s="7">
        <f t="shared" ca="1" si="6"/>
        <v>46297</v>
      </c>
      <c r="M180" s="14">
        <f t="shared" ca="1" si="7"/>
        <v>46297.119078935182</v>
      </c>
      <c r="N180" s="4">
        <f t="shared" si="8"/>
        <v>3</v>
      </c>
    </row>
    <row r="181" spans="1:14" x14ac:dyDescent="0.3">
      <c r="A181" s="9">
        <v>1180</v>
      </c>
      <c r="B181" s="9" t="s">
        <v>39</v>
      </c>
      <c r="C181" s="4" t="s">
        <v>31</v>
      </c>
      <c r="D181" s="4" t="s">
        <v>24</v>
      </c>
      <c r="E181" s="4" t="s">
        <v>8</v>
      </c>
      <c r="F181" s="4">
        <v>2</v>
      </c>
      <c r="G181" s="4">
        <v>2076</v>
      </c>
      <c r="H181" s="4">
        <v>2</v>
      </c>
      <c r="I181" s="7">
        <v>46111</v>
      </c>
      <c r="J181" s="7">
        <v>46121</v>
      </c>
      <c r="K181" s="4" t="s">
        <v>49</v>
      </c>
      <c r="L181" s="7">
        <f t="shared" ca="1" si="6"/>
        <v>46297</v>
      </c>
      <c r="M181" s="14">
        <f t="shared" ca="1" si="7"/>
        <v>46297.119078935182</v>
      </c>
      <c r="N181" s="4">
        <f t="shared" si="8"/>
        <v>10</v>
      </c>
    </row>
    <row r="182" spans="1:14" x14ac:dyDescent="0.3">
      <c r="A182" s="9">
        <v>1181</v>
      </c>
      <c r="B182" s="9" t="s">
        <v>55</v>
      </c>
      <c r="C182" s="4" t="s">
        <v>33</v>
      </c>
      <c r="D182" s="4" t="s">
        <v>20</v>
      </c>
      <c r="E182" s="4" t="s">
        <v>36</v>
      </c>
      <c r="F182" s="4">
        <v>4</v>
      </c>
      <c r="G182" s="4">
        <v>357</v>
      </c>
      <c r="H182" s="4">
        <v>2</v>
      </c>
      <c r="I182" s="7">
        <v>46033</v>
      </c>
      <c r="J182" s="7">
        <v>46035</v>
      </c>
      <c r="K182" s="4" t="s">
        <v>78</v>
      </c>
      <c r="L182" s="7">
        <f t="shared" ca="1" si="6"/>
        <v>46297</v>
      </c>
      <c r="M182" s="14">
        <f t="shared" ca="1" si="7"/>
        <v>46297.119078935182</v>
      </c>
      <c r="N182" s="4">
        <f t="shared" si="8"/>
        <v>2</v>
      </c>
    </row>
    <row r="183" spans="1:14" x14ac:dyDescent="0.3">
      <c r="A183" s="9">
        <v>1182</v>
      </c>
      <c r="B183" s="9" t="s">
        <v>41</v>
      </c>
      <c r="C183" s="4" t="s">
        <v>19</v>
      </c>
      <c r="D183" s="4" t="s">
        <v>34</v>
      </c>
      <c r="E183" s="4" t="s">
        <v>5</v>
      </c>
      <c r="F183" s="4">
        <v>8</v>
      </c>
      <c r="G183" s="4">
        <v>66022</v>
      </c>
      <c r="H183" s="4">
        <v>12</v>
      </c>
      <c r="I183" s="7">
        <v>46108</v>
      </c>
      <c r="J183" s="7">
        <v>46114</v>
      </c>
      <c r="K183" s="4" t="s">
        <v>80</v>
      </c>
      <c r="L183" s="7">
        <f t="shared" ca="1" si="6"/>
        <v>46297</v>
      </c>
      <c r="M183" s="14">
        <f t="shared" ca="1" si="7"/>
        <v>46297.119078935182</v>
      </c>
      <c r="N183" s="4">
        <f t="shared" si="8"/>
        <v>6</v>
      </c>
    </row>
    <row r="184" spans="1:14" x14ac:dyDescent="0.3">
      <c r="A184" s="9">
        <v>1183</v>
      </c>
      <c r="B184" s="9" t="s">
        <v>50</v>
      </c>
      <c r="C184" s="4" t="s">
        <v>42</v>
      </c>
      <c r="D184" s="4" t="s">
        <v>20</v>
      </c>
      <c r="E184" s="4" t="s">
        <v>21</v>
      </c>
      <c r="F184" s="4">
        <v>2</v>
      </c>
      <c r="G184" s="4">
        <v>309</v>
      </c>
      <c r="H184" s="4">
        <v>2</v>
      </c>
      <c r="I184" s="7">
        <v>46109</v>
      </c>
      <c r="J184" s="7">
        <v>46111</v>
      </c>
      <c r="K184" s="4" t="s">
        <v>79</v>
      </c>
      <c r="L184" s="7">
        <f t="shared" ca="1" si="6"/>
        <v>46297</v>
      </c>
      <c r="M184" s="14">
        <f t="shared" ca="1" si="7"/>
        <v>46297.119078935182</v>
      </c>
      <c r="N184" s="4">
        <f t="shared" si="8"/>
        <v>2</v>
      </c>
    </row>
    <row r="185" spans="1:14" x14ac:dyDescent="0.3">
      <c r="A185" s="9">
        <v>1184</v>
      </c>
      <c r="B185" s="9" t="s">
        <v>39</v>
      </c>
      <c r="C185" s="4" t="s">
        <v>31</v>
      </c>
      <c r="D185" s="4" t="s">
        <v>34</v>
      </c>
      <c r="E185" s="4" t="s">
        <v>5</v>
      </c>
      <c r="F185" s="4">
        <v>12</v>
      </c>
      <c r="G185" s="4">
        <v>50517</v>
      </c>
      <c r="H185" s="4">
        <v>15</v>
      </c>
      <c r="I185" s="7">
        <v>46145</v>
      </c>
      <c r="J185" s="7">
        <v>46153</v>
      </c>
      <c r="K185" s="4" t="s">
        <v>49</v>
      </c>
      <c r="L185" s="7">
        <f t="shared" ca="1" si="6"/>
        <v>46297</v>
      </c>
      <c r="M185" s="14">
        <f t="shared" ca="1" si="7"/>
        <v>46297.119078935182</v>
      </c>
      <c r="N185" s="4">
        <f t="shared" si="8"/>
        <v>8</v>
      </c>
    </row>
    <row r="186" spans="1:14" x14ac:dyDescent="0.3">
      <c r="A186" s="9">
        <v>1185</v>
      </c>
      <c r="B186" s="9" t="s">
        <v>55</v>
      </c>
      <c r="C186" s="4" t="s">
        <v>26</v>
      </c>
      <c r="D186" s="4" t="s">
        <v>34</v>
      </c>
      <c r="E186" s="4" t="s">
        <v>9</v>
      </c>
      <c r="F186" s="4">
        <v>16</v>
      </c>
      <c r="G186" s="4">
        <v>15536</v>
      </c>
      <c r="H186" s="4">
        <v>2</v>
      </c>
      <c r="I186" s="7">
        <v>46153</v>
      </c>
      <c r="J186" s="7">
        <v>46156</v>
      </c>
      <c r="K186" s="4" t="s">
        <v>78</v>
      </c>
      <c r="L186" s="7">
        <f t="shared" ca="1" si="6"/>
        <v>46297</v>
      </c>
      <c r="M186" s="14">
        <f t="shared" ca="1" si="7"/>
        <v>46297.119078935182</v>
      </c>
      <c r="N186" s="4">
        <f t="shared" si="8"/>
        <v>3</v>
      </c>
    </row>
    <row r="187" spans="1:14" x14ac:dyDescent="0.3">
      <c r="A187" s="9">
        <v>1186</v>
      </c>
      <c r="B187" s="9" t="s">
        <v>22</v>
      </c>
      <c r="C187" s="4" t="s">
        <v>27</v>
      </c>
      <c r="D187" s="4" t="s">
        <v>24</v>
      </c>
      <c r="E187" s="4" t="s">
        <v>43</v>
      </c>
      <c r="F187" s="4">
        <v>10</v>
      </c>
      <c r="G187" s="4">
        <v>14951</v>
      </c>
      <c r="H187" s="4">
        <v>2</v>
      </c>
      <c r="I187" s="7">
        <v>46188</v>
      </c>
      <c r="J187" s="7">
        <v>46196</v>
      </c>
      <c r="K187" s="4" t="s">
        <v>80</v>
      </c>
      <c r="L187" s="7">
        <f t="shared" ca="1" si="6"/>
        <v>46297</v>
      </c>
      <c r="M187" s="14">
        <f t="shared" ca="1" si="7"/>
        <v>46297.119078935182</v>
      </c>
      <c r="N187" s="4">
        <f t="shared" si="8"/>
        <v>8</v>
      </c>
    </row>
    <row r="188" spans="1:14" x14ac:dyDescent="0.3">
      <c r="A188" s="9">
        <v>1187</v>
      </c>
      <c r="B188" s="9" t="s">
        <v>52</v>
      </c>
      <c r="C188" s="4" t="s">
        <v>26</v>
      </c>
      <c r="D188" s="4" t="s">
        <v>34</v>
      </c>
      <c r="E188" s="4" t="s">
        <v>6</v>
      </c>
      <c r="F188" s="4">
        <v>18</v>
      </c>
      <c r="G188" s="4">
        <v>68527</v>
      </c>
      <c r="H188" s="4">
        <v>12</v>
      </c>
      <c r="I188" s="7">
        <v>46178</v>
      </c>
      <c r="J188" s="7">
        <v>46184</v>
      </c>
      <c r="K188" s="4" t="s">
        <v>81</v>
      </c>
      <c r="L188" s="7">
        <f t="shared" ca="1" si="6"/>
        <v>46297</v>
      </c>
      <c r="M188" s="14">
        <f t="shared" ca="1" si="7"/>
        <v>46297.119078935182</v>
      </c>
      <c r="N188" s="4">
        <f t="shared" si="8"/>
        <v>6</v>
      </c>
    </row>
    <row r="189" spans="1:14" x14ac:dyDescent="0.3">
      <c r="A189" s="9">
        <v>1188</v>
      </c>
      <c r="B189" s="9" t="s">
        <v>49</v>
      </c>
      <c r="C189" s="4" t="s">
        <v>26</v>
      </c>
      <c r="D189" s="4" t="s">
        <v>24</v>
      </c>
      <c r="E189" s="4" t="s">
        <v>11</v>
      </c>
      <c r="F189" s="4">
        <v>6</v>
      </c>
      <c r="G189" s="4">
        <v>10368</v>
      </c>
      <c r="H189" s="4">
        <v>7</v>
      </c>
      <c r="I189" s="7">
        <v>46137</v>
      </c>
      <c r="J189" s="7">
        <v>46142</v>
      </c>
      <c r="K189" s="4" t="s">
        <v>78</v>
      </c>
      <c r="L189" s="7">
        <f t="shared" ca="1" si="6"/>
        <v>46297</v>
      </c>
      <c r="M189" s="14">
        <f t="shared" ca="1" si="7"/>
        <v>46297.119078935182</v>
      </c>
      <c r="N189" s="4">
        <f t="shared" si="8"/>
        <v>5</v>
      </c>
    </row>
    <row r="190" spans="1:14" x14ac:dyDescent="0.3">
      <c r="A190" s="9">
        <v>1189</v>
      </c>
      <c r="B190" s="9" t="s">
        <v>47</v>
      </c>
      <c r="C190" s="4" t="s">
        <v>31</v>
      </c>
      <c r="D190" s="4" t="s">
        <v>24</v>
      </c>
      <c r="E190" s="4" t="s">
        <v>11</v>
      </c>
      <c r="F190" s="4">
        <v>12</v>
      </c>
      <c r="G190" s="4">
        <v>8327</v>
      </c>
      <c r="H190" s="4">
        <v>10</v>
      </c>
      <c r="I190" s="7">
        <v>46184</v>
      </c>
      <c r="J190" s="7">
        <v>46185</v>
      </c>
      <c r="K190" s="4" t="s">
        <v>49</v>
      </c>
      <c r="L190" s="7">
        <f t="shared" ca="1" si="6"/>
        <v>46297</v>
      </c>
      <c r="M190" s="14">
        <f t="shared" ca="1" si="7"/>
        <v>46297.119078935182</v>
      </c>
      <c r="N190" s="4">
        <f t="shared" si="8"/>
        <v>1</v>
      </c>
    </row>
    <row r="191" spans="1:14" x14ac:dyDescent="0.3">
      <c r="A191" s="9">
        <v>1190</v>
      </c>
      <c r="B191" s="9" t="s">
        <v>54</v>
      </c>
      <c r="C191" s="4" t="s">
        <v>23</v>
      </c>
      <c r="D191" s="4" t="s">
        <v>24</v>
      </c>
      <c r="E191" s="4" t="s">
        <v>8</v>
      </c>
      <c r="F191" s="4">
        <v>4</v>
      </c>
      <c r="G191" s="4">
        <v>10154</v>
      </c>
      <c r="H191" s="4">
        <v>7</v>
      </c>
      <c r="I191" s="7">
        <v>46052</v>
      </c>
      <c r="J191" s="7">
        <v>46062</v>
      </c>
      <c r="K191" s="4" t="s">
        <v>79</v>
      </c>
      <c r="L191" s="7">
        <f t="shared" ca="1" si="6"/>
        <v>46297</v>
      </c>
      <c r="M191" s="14">
        <f t="shared" ca="1" si="7"/>
        <v>46297.119078935182</v>
      </c>
      <c r="N191" s="4">
        <f t="shared" si="8"/>
        <v>10</v>
      </c>
    </row>
    <row r="192" spans="1:14" x14ac:dyDescent="0.3">
      <c r="A192" s="9">
        <v>1191</v>
      </c>
      <c r="B192" s="9" t="s">
        <v>50</v>
      </c>
      <c r="C192" s="4" t="s">
        <v>33</v>
      </c>
      <c r="D192" s="4" t="s">
        <v>24</v>
      </c>
      <c r="E192" s="4" t="s">
        <v>11</v>
      </c>
      <c r="F192" s="4">
        <v>9</v>
      </c>
      <c r="G192" s="4">
        <v>8631</v>
      </c>
      <c r="H192" s="4">
        <v>10</v>
      </c>
      <c r="I192" s="7">
        <v>46149</v>
      </c>
      <c r="J192" s="7">
        <v>46156</v>
      </c>
      <c r="K192" s="4" t="s">
        <v>79</v>
      </c>
      <c r="L192" s="7">
        <f t="shared" ca="1" si="6"/>
        <v>46297</v>
      </c>
      <c r="M192" s="14">
        <f t="shared" ca="1" si="7"/>
        <v>46297.119078935182</v>
      </c>
      <c r="N192" s="4">
        <f t="shared" si="8"/>
        <v>7</v>
      </c>
    </row>
    <row r="193" spans="1:14" x14ac:dyDescent="0.3">
      <c r="A193" s="9">
        <v>1192</v>
      </c>
      <c r="B193" s="9" t="s">
        <v>25</v>
      </c>
      <c r="C193" s="4" t="s">
        <v>33</v>
      </c>
      <c r="D193" s="4" t="s">
        <v>20</v>
      </c>
      <c r="E193" s="4" t="s">
        <v>51</v>
      </c>
      <c r="F193" s="4">
        <v>18</v>
      </c>
      <c r="G193" s="4">
        <v>49</v>
      </c>
      <c r="H193" s="4">
        <v>12</v>
      </c>
      <c r="I193" s="7">
        <v>46089</v>
      </c>
      <c r="J193" s="7">
        <v>46095</v>
      </c>
      <c r="K193" s="4" t="s">
        <v>80</v>
      </c>
      <c r="L193" s="7">
        <f t="shared" ca="1" si="6"/>
        <v>46297</v>
      </c>
      <c r="M193" s="14">
        <f t="shared" ca="1" si="7"/>
        <v>46297.119078935182</v>
      </c>
      <c r="N193" s="4">
        <f t="shared" si="8"/>
        <v>6</v>
      </c>
    </row>
    <row r="194" spans="1:14" x14ac:dyDescent="0.3">
      <c r="A194" s="9">
        <v>1193</v>
      </c>
      <c r="B194" s="9" t="s">
        <v>54</v>
      </c>
      <c r="C194" s="4" t="s">
        <v>19</v>
      </c>
      <c r="D194" s="4" t="s">
        <v>24</v>
      </c>
      <c r="E194" s="4" t="s">
        <v>10</v>
      </c>
      <c r="F194" s="4">
        <v>19</v>
      </c>
      <c r="G194" s="4">
        <v>2699</v>
      </c>
      <c r="H194" s="4">
        <v>7</v>
      </c>
      <c r="I194" s="7">
        <v>46110</v>
      </c>
      <c r="J194" s="7">
        <v>46112</v>
      </c>
      <c r="K194" s="4" t="s">
        <v>49</v>
      </c>
      <c r="L194" s="7">
        <f t="shared" ca="1" si="6"/>
        <v>46297</v>
      </c>
      <c r="M194" s="14">
        <f t="shared" ca="1" si="7"/>
        <v>46297.119078935182</v>
      </c>
      <c r="N194" s="4">
        <f t="shared" si="8"/>
        <v>2</v>
      </c>
    </row>
    <row r="195" spans="1:14" x14ac:dyDescent="0.3">
      <c r="A195" s="9">
        <v>1194</v>
      </c>
      <c r="B195" s="9" t="s">
        <v>54</v>
      </c>
      <c r="C195" s="4" t="s">
        <v>42</v>
      </c>
      <c r="D195" s="4" t="s">
        <v>24</v>
      </c>
      <c r="E195" s="4" t="s">
        <v>8</v>
      </c>
      <c r="F195" s="4">
        <v>13</v>
      </c>
      <c r="G195" s="4">
        <v>12856</v>
      </c>
      <c r="H195" s="4">
        <v>15</v>
      </c>
      <c r="I195" s="7">
        <v>46129</v>
      </c>
      <c r="J195" s="7">
        <v>46133</v>
      </c>
      <c r="K195" s="4" t="s">
        <v>81</v>
      </c>
      <c r="L195" s="7">
        <f t="shared" ref="L195:L258" ca="1" si="9">TODAY()</f>
        <v>46297</v>
      </c>
      <c r="M195" s="14">
        <f t="shared" ref="M195:M258" ca="1" si="10">NOW()</f>
        <v>46297.119078935182</v>
      </c>
      <c r="N195" s="4">
        <f t="shared" ref="N195:N258" si="11">DATEDIF(I195,J195, "d")</f>
        <v>4</v>
      </c>
    </row>
    <row r="196" spans="1:14" x14ac:dyDescent="0.3">
      <c r="A196" s="9">
        <v>1195</v>
      </c>
      <c r="B196" s="9" t="s">
        <v>56</v>
      </c>
      <c r="C196" s="4" t="s">
        <v>23</v>
      </c>
      <c r="D196" s="4" t="s">
        <v>20</v>
      </c>
      <c r="E196" s="4" t="s">
        <v>48</v>
      </c>
      <c r="F196" s="4">
        <v>19</v>
      </c>
      <c r="G196" s="4">
        <v>313</v>
      </c>
      <c r="H196" s="4">
        <v>2</v>
      </c>
      <c r="I196" s="7">
        <v>46198</v>
      </c>
      <c r="J196" s="7">
        <v>46206</v>
      </c>
      <c r="K196" s="4" t="s">
        <v>81</v>
      </c>
      <c r="L196" s="7">
        <f t="shared" ca="1" si="9"/>
        <v>46297</v>
      </c>
      <c r="M196" s="14">
        <f t="shared" ca="1" si="10"/>
        <v>46297.119078935182</v>
      </c>
      <c r="N196" s="4">
        <f t="shared" si="11"/>
        <v>8</v>
      </c>
    </row>
    <row r="197" spans="1:14" x14ac:dyDescent="0.3">
      <c r="A197" s="9">
        <v>1196</v>
      </c>
      <c r="B197" s="9" t="s">
        <v>46</v>
      </c>
      <c r="C197" s="4" t="s">
        <v>26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7">
        <v>46155</v>
      </c>
      <c r="J197" s="7">
        <v>46159</v>
      </c>
      <c r="K197" s="4" t="s">
        <v>79</v>
      </c>
      <c r="L197" s="7">
        <f t="shared" ca="1" si="9"/>
        <v>46297</v>
      </c>
      <c r="M197" s="14">
        <f t="shared" ca="1" si="10"/>
        <v>46297.119078935182</v>
      </c>
      <c r="N197" s="4">
        <f t="shared" si="11"/>
        <v>4</v>
      </c>
    </row>
    <row r="198" spans="1:14" x14ac:dyDescent="0.3">
      <c r="A198" s="9">
        <v>1197</v>
      </c>
      <c r="B198" s="9" t="s">
        <v>50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7">
        <v>46045</v>
      </c>
      <c r="J198" s="7">
        <v>46048</v>
      </c>
      <c r="K198" s="4" t="s">
        <v>78</v>
      </c>
      <c r="L198" s="7">
        <f t="shared" ca="1" si="9"/>
        <v>46297</v>
      </c>
      <c r="M198" s="14">
        <f t="shared" ca="1" si="10"/>
        <v>46297.119078935182</v>
      </c>
      <c r="N198" s="4">
        <f t="shared" si="11"/>
        <v>3</v>
      </c>
    </row>
    <row r="199" spans="1:14" x14ac:dyDescent="0.3">
      <c r="A199" s="9">
        <v>1198</v>
      </c>
      <c r="B199" s="9" t="s">
        <v>55</v>
      </c>
      <c r="C199" s="4" t="s">
        <v>19</v>
      </c>
      <c r="D199" s="4" t="s">
        <v>20</v>
      </c>
      <c r="E199" s="4" t="s">
        <v>21</v>
      </c>
      <c r="F199" s="4">
        <v>12</v>
      </c>
      <c r="G199" s="4">
        <v>491</v>
      </c>
      <c r="H199" s="4">
        <v>2</v>
      </c>
      <c r="I199" s="7">
        <v>46106</v>
      </c>
      <c r="J199" s="7">
        <v>46109</v>
      </c>
      <c r="K199" s="4" t="s">
        <v>81</v>
      </c>
      <c r="L199" s="7">
        <f t="shared" ca="1" si="9"/>
        <v>46297</v>
      </c>
      <c r="M199" s="14">
        <f t="shared" ca="1" si="10"/>
        <v>46297.119078935182</v>
      </c>
      <c r="N199" s="4">
        <f t="shared" si="11"/>
        <v>3</v>
      </c>
    </row>
    <row r="200" spans="1:14" x14ac:dyDescent="0.3">
      <c r="A200" s="9">
        <v>1199</v>
      </c>
      <c r="B200" s="9" t="s">
        <v>18</v>
      </c>
      <c r="C200" s="4" t="s">
        <v>27</v>
      </c>
      <c r="D200" s="4" t="s">
        <v>34</v>
      </c>
      <c r="E200" s="4" t="s">
        <v>6</v>
      </c>
      <c r="F200" s="4">
        <v>2</v>
      </c>
      <c r="G200" s="4">
        <v>4375</v>
      </c>
      <c r="H200" s="4">
        <v>7</v>
      </c>
      <c r="I200" s="7">
        <v>46178</v>
      </c>
      <c r="J200" s="7">
        <v>46180</v>
      </c>
      <c r="K200" s="4" t="s">
        <v>80</v>
      </c>
      <c r="L200" s="7">
        <f t="shared" ca="1" si="9"/>
        <v>46297</v>
      </c>
      <c r="M200" s="14">
        <f t="shared" ca="1" si="10"/>
        <v>46297.119078935182</v>
      </c>
      <c r="N200" s="4">
        <f t="shared" si="11"/>
        <v>2</v>
      </c>
    </row>
    <row r="201" spans="1:14" x14ac:dyDescent="0.3">
      <c r="A201" s="9">
        <v>1200</v>
      </c>
      <c r="B201" s="9" t="s">
        <v>49</v>
      </c>
      <c r="C201" s="4" t="s">
        <v>31</v>
      </c>
      <c r="D201" s="4" t="s">
        <v>34</v>
      </c>
      <c r="E201" s="4" t="s">
        <v>6</v>
      </c>
      <c r="F201" s="4">
        <v>13</v>
      </c>
      <c r="G201" s="4">
        <v>69422</v>
      </c>
      <c r="H201" s="4">
        <v>0</v>
      </c>
      <c r="I201" s="7">
        <v>46134</v>
      </c>
      <c r="J201" s="7">
        <v>46143</v>
      </c>
      <c r="K201" s="4" t="s">
        <v>49</v>
      </c>
      <c r="L201" s="7">
        <f t="shared" ca="1" si="9"/>
        <v>46297</v>
      </c>
      <c r="M201" s="14">
        <f t="shared" ca="1" si="10"/>
        <v>46297.119078935182</v>
      </c>
      <c r="N201" s="4">
        <f t="shared" si="11"/>
        <v>9</v>
      </c>
    </row>
    <row r="202" spans="1:14" x14ac:dyDescent="0.3">
      <c r="A202" s="9">
        <v>1201</v>
      </c>
      <c r="B202" s="9" t="s">
        <v>52</v>
      </c>
      <c r="C202" s="4" t="s">
        <v>31</v>
      </c>
      <c r="D202" s="4" t="s">
        <v>20</v>
      </c>
      <c r="E202" s="4" t="s">
        <v>51</v>
      </c>
      <c r="F202" s="4">
        <v>18</v>
      </c>
      <c r="G202" s="4">
        <v>139</v>
      </c>
      <c r="H202" s="4">
        <v>12</v>
      </c>
      <c r="I202" s="7">
        <v>46075</v>
      </c>
      <c r="J202" s="7">
        <v>46076</v>
      </c>
      <c r="K202" s="4" t="s">
        <v>79</v>
      </c>
      <c r="L202" s="7">
        <f t="shared" ca="1" si="9"/>
        <v>46297</v>
      </c>
      <c r="M202" s="14">
        <f t="shared" ca="1" si="10"/>
        <v>46297.119078935182</v>
      </c>
      <c r="N202" s="4">
        <f t="shared" si="11"/>
        <v>1</v>
      </c>
    </row>
    <row r="203" spans="1:14" x14ac:dyDescent="0.3">
      <c r="A203" s="9">
        <v>1202</v>
      </c>
      <c r="B203" s="9" t="s">
        <v>54</v>
      </c>
      <c r="C203" s="4" t="s">
        <v>26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7">
        <v>46082</v>
      </c>
      <c r="J203" s="7">
        <v>46091</v>
      </c>
      <c r="K203" s="4" t="s">
        <v>78</v>
      </c>
      <c r="L203" s="7">
        <f t="shared" ca="1" si="9"/>
        <v>46297</v>
      </c>
      <c r="M203" s="14">
        <f t="shared" ca="1" si="10"/>
        <v>46297.119078935182</v>
      </c>
      <c r="N203" s="4">
        <f t="shared" si="11"/>
        <v>9</v>
      </c>
    </row>
    <row r="204" spans="1:14" x14ac:dyDescent="0.3">
      <c r="A204" s="9">
        <v>1203</v>
      </c>
      <c r="B204" s="9" t="s">
        <v>39</v>
      </c>
      <c r="C204" s="4" t="s">
        <v>26</v>
      </c>
      <c r="D204" s="4" t="s">
        <v>24</v>
      </c>
      <c r="E204" s="4" t="s">
        <v>10</v>
      </c>
      <c r="F204" s="4">
        <v>17</v>
      </c>
      <c r="G204" s="4">
        <v>6695</v>
      </c>
      <c r="H204" s="4">
        <v>2</v>
      </c>
      <c r="I204" s="7">
        <v>46119</v>
      </c>
      <c r="J204" s="7">
        <v>46122</v>
      </c>
      <c r="K204" s="4" t="s">
        <v>81</v>
      </c>
      <c r="L204" s="7">
        <f t="shared" ca="1" si="9"/>
        <v>46297</v>
      </c>
      <c r="M204" s="14">
        <f t="shared" ca="1" si="10"/>
        <v>46297.119078935182</v>
      </c>
      <c r="N204" s="4">
        <f t="shared" si="11"/>
        <v>3</v>
      </c>
    </row>
    <row r="205" spans="1:14" x14ac:dyDescent="0.3">
      <c r="A205" s="9">
        <v>1204</v>
      </c>
      <c r="B205" s="9" t="s">
        <v>22</v>
      </c>
      <c r="C205" s="4" t="s">
        <v>31</v>
      </c>
      <c r="D205" s="4" t="s">
        <v>20</v>
      </c>
      <c r="E205" s="4" t="s">
        <v>37</v>
      </c>
      <c r="F205" s="4">
        <v>13</v>
      </c>
      <c r="G205" s="4">
        <v>416</v>
      </c>
      <c r="H205" s="4">
        <v>10</v>
      </c>
      <c r="I205" s="7">
        <v>46123</v>
      </c>
      <c r="J205" s="7">
        <v>46132</v>
      </c>
      <c r="K205" s="4" t="s">
        <v>79</v>
      </c>
      <c r="L205" s="7">
        <f t="shared" ca="1" si="9"/>
        <v>46297</v>
      </c>
      <c r="M205" s="14">
        <f t="shared" ca="1" si="10"/>
        <v>46297.119078935182</v>
      </c>
      <c r="N205" s="4">
        <f t="shared" si="11"/>
        <v>9</v>
      </c>
    </row>
    <row r="206" spans="1:14" x14ac:dyDescent="0.3">
      <c r="A206" s="9">
        <v>1205</v>
      </c>
      <c r="B206" s="9" t="s">
        <v>25</v>
      </c>
      <c r="C206" s="4" t="s">
        <v>38</v>
      </c>
      <c r="D206" s="4" t="s">
        <v>20</v>
      </c>
      <c r="E206" s="4" t="s">
        <v>36</v>
      </c>
      <c r="F206" s="4">
        <v>1</v>
      </c>
      <c r="G206" s="4">
        <v>112</v>
      </c>
      <c r="H206" s="4">
        <v>7</v>
      </c>
      <c r="I206" s="7">
        <v>46033</v>
      </c>
      <c r="J206" s="7">
        <v>46040</v>
      </c>
      <c r="K206" s="4" t="s">
        <v>81</v>
      </c>
      <c r="L206" s="7">
        <f t="shared" ca="1" si="9"/>
        <v>46297</v>
      </c>
      <c r="M206" s="14">
        <f t="shared" ca="1" si="10"/>
        <v>46297.119078935182</v>
      </c>
      <c r="N206" s="4">
        <f t="shared" si="11"/>
        <v>7</v>
      </c>
    </row>
    <row r="207" spans="1:14" x14ac:dyDescent="0.3">
      <c r="A207" s="9">
        <v>1206</v>
      </c>
      <c r="B207" s="9" t="s">
        <v>53</v>
      </c>
      <c r="C207" s="4" t="s">
        <v>33</v>
      </c>
      <c r="D207" s="4" t="s">
        <v>20</v>
      </c>
      <c r="E207" s="4" t="s">
        <v>21</v>
      </c>
      <c r="F207" s="4">
        <v>9</v>
      </c>
      <c r="G207" s="4">
        <v>60</v>
      </c>
      <c r="H207" s="4">
        <v>0</v>
      </c>
      <c r="I207" s="7">
        <v>46166</v>
      </c>
      <c r="J207" s="7">
        <v>46174</v>
      </c>
      <c r="K207" s="4" t="s">
        <v>78</v>
      </c>
      <c r="L207" s="7">
        <f t="shared" ca="1" si="9"/>
        <v>46297</v>
      </c>
      <c r="M207" s="14">
        <f t="shared" ca="1" si="10"/>
        <v>46297.119078935182</v>
      </c>
      <c r="N207" s="4">
        <f t="shared" si="11"/>
        <v>8</v>
      </c>
    </row>
    <row r="208" spans="1:14" x14ac:dyDescent="0.3">
      <c r="A208" s="9">
        <v>1207</v>
      </c>
      <c r="B208" s="9" t="s">
        <v>53</v>
      </c>
      <c r="C208" s="4" t="s">
        <v>27</v>
      </c>
      <c r="D208" s="4" t="s">
        <v>20</v>
      </c>
      <c r="E208" s="4" t="s">
        <v>51</v>
      </c>
      <c r="F208" s="4">
        <v>7</v>
      </c>
      <c r="G208" s="4">
        <v>244</v>
      </c>
      <c r="H208" s="4">
        <v>2</v>
      </c>
      <c r="I208" s="7">
        <v>46164</v>
      </c>
      <c r="J208" s="7">
        <v>46173</v>
      </c>
      <c r="K208" s="4" t="s">
        <v>80</v>
      </c>
      <c r="L208" s="7">
        <f t="shared" ca="1" si="9"/>
        <v>46297</v>
      </c>
      <c r="M208" s="14">
        <f t="shared" ca="1" si="10"/>
        <v>46297.119078935182</v>
      </c>
      <c r="N208" s="4">
        <f t="shared" si="11"/>
        <v>9</v>
      </c>
    </row>
    <row r="209" spans="1:14" x14ac:dyDescent="0.3">
      <c r="A209" s="9">
        <v>1208</v>
      </c>
      <c r="B209" s="9" t="s">
        <v>52</v>
      </c>
      <c r="C209" s="4" t="s">
        <v>42</v>
      </c>
      <c r="D209" s="4" t="s">
        <v>24</v>
      </c>
      <c r="E209" s="4" t="s">
        <v>43</v>
      </c>
      <c r="F209" s="4">
        <v>6</v>
      </c>
      <c r="G209" s="4">
        <v>7627</v>
      </c>
      <c r="H209" s="4">
        <v>10</v>
      </c>
      <c r="I209" s="7">
        <v>46042</v>
      </c>
      <c r="J209" s="7">
        <v>46047</v>
      </c>
      <c r="K209" s="4" t="s">
        <v>79</v>
      </c>
      <c r="L209" s="7">
        <f t="shared" ca="1" si="9"/>
        <v>46297</v>
      </c>
      <c r="M209" s="14">
        <f t="shared" ca="1" si="10"/>
        <v>46297.119078935182</v>
      </c>
      <c r="N209" s="4">
        <f t="shared" si="11"/>
        <v>5</v>
      </c>
    </row>
    <row r="210" spans="1:14" x14ac:dyDescent="0.3">
      <c r="A210" s="9">
        <v>1209</v>
      </c>
      <c r="B210" s="9" t="s">
        <v>46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7">
        <v>46103</v>
      </c>
      <c r="J210" s="7">
        <v>46110</v>
      </c>
      <c r="K210" s="4" t="s">
        <v>79</v>
      </c>
      <c r="L210" s="7">
        <f t="shared" ca="1" si="9"/>
        <v>46297</v>
      </c>
      <c r="M210" s="14">
        <f t="shared" ca="1" si="10"/>
        <v>46297.119078935182</v>
      </c>
      <c r="N210" s="4">
        <f t="shared" si="11"/>
        <v>7</v>
      </c>
    </row>
    <row r="211" spans="1:14" x14ac:dyDescent="0.3">
      <c r="A211" s="9">
        <v>1210</v>
      </c>
      <c r="B211" s="9" t="s">
        <v>30</v>
      </c>
      <c r="C211" s="4" t="s">
        <v>31</v>
      </c>
      <c r="D211" s="4" t="s">
        <v>20</v>
      </c>
      <c r="E211" s="4" t="s">
        <v>51</v>
      </c>
      <c r="F211" s="4">
        <v>10</v>
      </c>
      <c r="G211" s="4">
        <v>349</v>
      </c>
      <c r="H211" s="4">
        <v>0</v>
      </c>
      <c r="I211" s="7">
        <v>46052</v>
      </c>
      <c r="J211" s="7">
        <v>46060</v>
      </c>
      <c r="K211" s="4" t="s">
        <v>49</v>
      </c>
      <c r="L211" s="7">
        <f t="shared" ca="1" si="9"/>
        <v>46297</v>
      </c>
      <c r="M211" s="14">
        <f t="shared" ca="1" si="10"/>
        <v>46297.119078935182</v>
      </c>
      <c r="N211" s="4">
        <f t="shared" si="11"/>
        <v>8</v>
      </c>
    </row>
    <row r="212" spans="1:14" x14ac:dyDescent="0.3">
      <c r="A212" s="9">
        <v>1211</v>
      </c>
      <c r="B212" s="9" t="s">
        <v>46</v>
      </c>
      <c r="C212" s="4" t="s">
        <v>23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7">
        <v>46175</v>
      </c>
      <c r="J212" s="7">
        <v>46183</v>
      </c>
      <c r="K212" s="4" t="s">
        <v>78</v>
      </c>
      <c r="L212" s="7">
        <f t="shared" ca="1" si="9"/>
        <v>46297</v>
      </c>
      <c r="M212" s="14">
        <f t="shared" ca="1" si="10"/>
        <v>46297.119078935182</v>
      </c>
      <c r="N212" s="4">
        <f t="shared" si="11"/>
        <v>8</v>
      </c>
    </row>
    <row r="213" spans="1:14" x14ac:dyDescent="0.3">
      <c r="A213" s="9">
        <v>1212</v>
      </c>
      <c r="B213" s="9" t="s">
        <v>56</v>
      </c>
      <c r="C213" s="4" t="s">
        <v>27</v>
      </c>
      <c r="D213" s="4" t="s">
        <v>34</v>
      </c>
      <c r="E213" s="4" t="s">
        <v>9</v>
      </c>
      <c r="F213" s="4">
        <v>10</v>
      </c>
      <c r="G213" s="4">
        <v>34380</v>
      </c>
      <c r="H213" s="4">
        <v>7</v>
      </c>
      <c r="I213" s="7">
        <v>46194</v>
      </c>
      <c r="J213" s="7">
        <v>46195</v>
      </c>
      <c r="K213" s="4" t="s">
        <v>49</v>
      </c>
      <c r="L213" s="7">
        <f t="shared" ca="1" si="9"/>
        <v>46297</v>
      </c>
      <c r="M213" s="14">
        <f t="shared" ca="1" si="10"/>
        <v>46297.119078935182</v>
      </c>
      <c r="N213" s="4">
        <f t="shared" si="11"/>
        <v>1</v>
      </c>
    </row>
    <row r="214" spans="1:14" x14ac:dyDescent="0.3">
      <c r="A214" s="9">
        <v>1213</v>
      </c>
      <c r="B214" s="9" t="s">
        <v>32</v>
      </c>
      <c r="C214" s="4" t="s">
        <v>38</v>
      </c>
      <c r="D214" s="4" t="s">
        <v>34</v>
      </c>
      <c r="E214" s="4" t="s">
        <v>6</v>
      </c>
      <c r="F214" s="4">
        <v>16</v>
      </c>
      <c r="G214" s="4">
        <v>27741</v>
      </c>
      <c r="H214" s="4">
        <v>12</v>
      </c>
      <c r="I214" s="7">
        <v>46116</v>
      </c>
      <c r="J214" s="7">
        <v>46119</v>
      </c>
      <c r="K214" s="4" t="s">
        <v>78</v>
      </c>
      <c r="L214" s="7">
        <f t="shared" ca="1" si="9"/>
        <v>46297</v>
      </c>
      <c r="M214" s="14">
        <f t="shared" ca="1" si="10"/>
        <v>46297.119078935182</v>
      </c>
      <c r="N214" s="4">
        <f t="shared" si="11"/>
        <v>3</v>
      </c>
    </row>
    <row r="215" spans="1:14" x14ac:dyDescent="0.3">
      <c r="A215" s="9">
        <v>1214</v>
      </c>
      <c r="B215" s="9" t="s">
        <v>41</v>
      </c>
      <c r="C215" s="4" t="s">
        <v>27</v>
      </c>
      <c r="D215" s="4" t="s">
        <v>24</v>
      </c>
      <c r="E215" s="4" t="s">
        <v>8</v>
      </c>
      <c r="F215" s="4">
        <v>19</v>
      </c>
      <c r="G215" s="4">
        <v>13832</v>
      </c>
      <c r="H215" s="4">
        <v>0</v>
      </c>
      <c r="I215" s="7">
        <v>46140</v>
      </c>
      <c r="J215" s="7">
        <v>46145</v>
      </c>
      <c r="K215" s="4" t="s">
        <v>81</v>
      </c>
      <c r="L215" s="7">
        <f t="shared" ca="1" si="9"/>
        <v>46297</v>
      </c>
      <c r="M215" s="14">
        <f t="shared" ca="1" si="10"/>
        <v>46297.119078935182</v>
      </c>
      <c r="N215" s="4">
        <f t="shared" si="11"/>
        <v>5</v>
      </c>
    </row>
    <row r="216" spans="1:14" x14ac:dyDescent="0.3">
      <c r="A216" s="9">
        <v>1215</v>
      </c>
      <c r="B216" s="9" t="s">
        <v>29</v>
      </c>
      <c r="C216" s="4" t="s">
        <v>19</v>
      </c>
      <c r="D216" s="4" t="s">
        <v>24</v>
      </c>
      <c r="E216" s="4" t="s">
        <v>8</v>
      </c>
      <c r="F216" s="4">
        <v>6</v>
      </c>
      <c r="G216" s="4">
        <v>1254</v>
      </c>
      <c r="H216" s="4">
        <v>0</v>
      </c>
      <c r="I216" s="7">
        <v>46131</v>
      </c>
      <c r="J216" s="7">
        <v>46136</v>
      </c>
      <c r="K216" s="4" t="s">
        <v>49</v>
      </c>
      <c r="L216" s="7">
        <f t="shared" ca="1" si="9"/>
        <v>46297</v>
      </c>
      <c r="M216" s="14">
        <f t="shared" ca="1" si="10"/>
        <v>46297.119078935182</v>
      </c>
      <c r="N216" s="4">
        <f t="shared" si="11"/>
        <v>5</v>
      </c>
    </row>
    <row r="217" spans="1:14" x14ac:dyDescent="0.3">
      <c r="A217" s="9">
        <v>1216</v>
      </c>
      <c r="B217" s="9" t="s">
        <v>39</v>
      </c>
      <c r="C217" s="4" t="s">
        <v>26</v>
      </c>
      <c r="D217" s="4" t="s">
        <v>34</v>
      </c>
      <c r="E217" s="4" t="s">
        <v>6</v>
      </c>
      <c r="F217" s="4">
        <v>10</v>
      </c>
      <c r="G217" s="4">
        <v>56709</v>
      </c>
      <c r="H217" s="4">
        <v>15</v>
      </c>
      <c r="I217" s="7">
        <v>46135</v>
      </c>
      <c r="J217" s="7">
        <v>46139</v>
      </c>
      <c r="K217" s="4" t="s">
        <v>49</v>
      </c>
      <c r="L217" s="7">
        <f t="shared" ca="1" si="9"/>
        <v>46297</v>
      </c>
      <c r="M217" s="14">
        <f t="shared" ca="1" si="10"/>
        <v>46297.119078935182</v>
      </c>
      <c r="N217" s="4">
        <f t="shared" si="11"/>
        <v>4</v>
      </c>
    </row>
    <row r="218" spans="1:14" x14ac:dyDescent="0.3">
      <c r="A218" s="9">
        <v>1217</v>
      </c>
      <c r="B218" s="9" t="s">
        <v>30</v>
      </c>
      <c r="C218" s="4" t="s">
        <v>26</v>
      </c>
      <c r="D218" s="4" t="s">
        <v>20</v>
      </c>
      <c r="E218" s="4" t="s">
        <v>48</v>
      </c>
      <c r="F218" s="4">
        <v>18</v>
      </c>
      <c r="G218" s="4">
        <v>60</v>
      </c>
      <c r="H218" s="4">
        <v>0</v>
      </c>
      <c r="I218" s="7">
        <v>46171</v>
      </c>
      <c r="J218" s="7">
        <v>46172</v>
      </c>
      <c r="K218" s="4" t="s">
        <v>49</v>
      </c>
      <c r="L218" s="7">
        <f t="shared" ca="1" si="9"/>
        <v>46297</v>
      </c>
      <c r="M218" s="14">
        <f t="shared" ca="1" si="10"/>
        <v>46297.119078935182</v>
      </c>
      <c r="N218" s="4">
        <f t="shared" si="11"/>
        <v>1</v>
      </c>
    </row>
    <row r="219" spans="1:14" x14ac:dyDescent="0.3">
      <c r="A219" s="9">
        <v>1218</v>
      </c>
      <c r="B219" s="9" t="s">
        <v>53</v>
      </c>
      <c r="C219" s="4" t="s">
        <v>38</v>
      </c>
      <c r="D219" s="4" t="s">
        <v>20</v>
      </c>
      <c r="E219" s="4" t="s">
        <v>21</v>
      </c>
      <c r="F219" s="4">
        <v>1</v>
      </c>
      <c r="G219" s="4">
        <v>134</v>
      </c>
      <c r="H219" s="4">
        <v>10</v>
      </c>
      <c r="I219" s="7">
        <v>46143</v>
      </c>
      <c r="J219" s="7">
        <v>46151</v>
      </c>
      <c r="K219" s="4" t="s">
        <v>81</v>
      </c>
      <c r="L219" s="7">
        <f t="shared" ca="1" si="9"/>
        <v>46297</v>
      </c>
      <c r="M219" s="14">
        <f t="shared" ca="1" si="10"/>
        <v>46297.119078935182</v>
      </c>
      <c r="N219" s="4">
        <f t="shared" si="11"/>
        <v>8</v>
      </c>
    </row>
    <row r="220" spans="1:14" x14ac:dyDescent="0.3">
      <c r="A220" s="9">
        <v>1219</v>
      </c>
      <c r="B220" s="9" t="s">
        <v>44</v>
      </c>
      <c r="C220" s="4" t="s">
        <v>26</v>
      </c>
      <c r="D220" s="4" t="s">
        <v>20</v>
      </c>
      <c r="E220" s="4" t="s">
        <v>21</v>
      </c>
      <c r="F220" s="4">
        <v>4</v>
      </c>
      <c r="G220" s="4">
        <v>117</v>
      </c>
      <c r="H220" s="4">
        <v>15</v>
      </c>
      <c r="I220" s="7">
        <v>46202</v>
      </c>
      <c r="J220" s="7">
        <v>46206</v>
      </c>
      <c r="K220" s="4" t="s">
        <v>49</v>
      </c>
      <c r="L220" s="7">
        <f t="shared" ca="1" si="9"/>
        <v>46297</v>
      </c>
      <c r="M220" s="14">
        <f t="shared" ca="1" si="10"/>
        <v>46297.119078935182</v>
      </c>
      <c r="N220" s="4">
        <f t="shared" si="11"/>
        <v>4</v>
      </c>
    </row>
    <row r="221" spans="1:14" x14ac:dyDescent="0.3">
      <c r="A221" s="9">
        <v>1220</v>
      </c>
      <c r="B221" s="9" t="s">
        <v>18</v>
      </c>
      <c r="C221" s="4" t="s">
        <v>27</v>
      </c>
      <c r="D221" s="4" t="s">
        <v>24</v>
      </c>
      <c r="E221" s="4" t="s">
        <v>11</v>
      </c>
      <c r="F221" s="4">
        <v>2</v>
      </c>
      <c r="G221" s="4">
        <v>8861</v>
      </c>
      <c r="H221" s="4">
        <v>2</v>
      </c>
      <c r="I221" s="7">
        <v>46170</v>
      </c>
      <c r="J221" s="7">
        <v>46174</v>
      </c>
      <c r="K221" s="4" t="s">
        <v>80</v>
      </c>
      <c r="L221" s="7">
        <f t="shared" ca="1" si="9"/>
        <v>46297</v>
      </c>
      <c r="M221" s="14">
        <f t="shared" ca="1" si="10"/>
        <v>46297.119078935182</v>
      </c>
      <c r="N221" s="4">
        <f t="shared" si="11"/>
        <v>4</v>
      </c>
    </row>
    <row r="222" spans="1:14" x14ac:dyDescent="0.3">
      <c r="A222" s="9">
        <v>1221</v>
      </c>
      <c r="B222" s="9" t="s">
        <v>18</v>
      </c>
      <c r="C222" s="4" t="s">
        <v>31</v>
      </c>
      <c r="D222" s="4" t="s">
        <v>24</v>
      </c>
      <c r="E222" s="4" t="s">
        <v>11</v>
      </c>
      <c r="F222" s="4">
        <v>18</v>
      </c>
      <c r="G222" s="4">
        <v>2681</v>
      </c>
      <c r="H222" s="4">
        <v>10</v>
      </c>
      <c r="I222" s="7">
        <v>46122</v>
      </c>
      <c r="J222" s="7">
        <v>46125</v>
      </c>
      <c r="K222" s="4" t="s">
        <v>81</v>
      </c>
      <c r="L222" s="7">
        <f t="shared" ca="1" si="9"/>
        <v>46297</v>
      </c>
      <c r="M222" s="14">
        <f t="shared" ca="1" si="10"/>
        <v>46297.119078935182</v>
      </c>
      <c r="N222" s="4">
        <f t="shared" si="11"/>
        <v>3</v>
      </c>
    </row>
    <row r="223" spans="1:14" x14ac:dyDescent="0.3">
      <c r="A223" s="9">
        <v>1222</v>
      </c>
      <c r="B223" s="9" t="s">
        <v>30</v>
      </c>
      <c r="C223" s="4" t="s">
        <v>33</v>
      </c>
      <c r="D223" s="4" t="s">
        <v>24</v>
      </c>
      <c r="E223" s="4" t="s">
        <v>10</v>
      </c>
      <c r="F223" s="4">
        <v>9</v>
      </c>
      <c r="G223" s="4">
        <v>2712</v>
      </c>
      <c r="H223" s="4">
        <v>12</v>
      </c>
      <c r="I223" s="7">
        <v>46154</v>
      </c>
      <c r="J223" s="7">
        <v>46163</v>
      </c>
      <c r="K223" s="4" t="s">
        <v>78</v>
      </c>
      <c r="L223" s="7">
        <f t="shared" ca="1" si="9"/>
        <v>46297</v>
      </c>
      <c r="M223" s="14">
        <f t="shared" ca="1" si="10"/>
        <v>46297.119078935182</v>
      </c>
      <c r="N223" s="4">
        <f t="shared" si="11"/>
        <v>9</v>
      </c>
    </row>
    <row r="224" spans="1:14" x14ac:dyDescent="0.3">
      <c r="A224" s="9">
        <v>1223</v>
      </c>
      <c r="B224" s="9" t="s">
        <v>56</v>
      </c>
      <c r="C224" s="4" t="s">
        <v>23</v>
      </c>
      <c r="D224" s="4" t="s">
        <v>24</v>
      </c>
      <c r="E224" s="4" t="s">
        <v>10</v>
      </c>
      <c r="F224" s="4">
        <v>4</v>
      </c>
      <c r="G224" s="4">
        <v>2249</v>
      </c>
      <c r="H224" s="4">
        <v>7</v>
      </c>
      <c r="I224" s="7">
        <v>46077</v>
      </c>
      <c r="J224" s="7">
        <v>46084</v>
      </c>
      <c r="K224" s="4" t="s">
        <v>78</v>
      </c>
      <c r="L224" s="7">
        <f t="shared" ca="1" si="9"/>
        <v>46297</v>
      </c>
      <c r="M224" s="14">
        <f t="shared" ca="1" si="10"/>
        <v>46297.119078935182</v>
      </c>
      <c r="N224" s="4">
        <f t="shared" si="11"/>
        <v>7</v>
      </c>
    </row>
    <row r="225" spans="1:14" x14ac:dyDescent="0.3">
      <c r="A225" s="9">
        <v>1224</v>
      </c>
      <c r="B225" s="9" t="s">
        <v>30</v>
      </c>
      <c r="C225" s="4" t="s">
        <v>38</v>
      </c>
      <c r="D225" s="4" t="s">
        <v>34</v>
      </c>
      <c r="E225" s="4" t="s">
        <v>6</v>
      </c>
      <c r="F225" s="4">
        <v>16</v>
      </c>
      <c r="G225" s="4">
        <v>18378</v>
      </c>
      <c r="H225" s="4">
        <v>10</v>
      </c>
      <c r="I225" s="7">
        <v>46045</v>
      </c>
      <c r="J225" s="7">
        <v>46052</v>
      </c>
      <c r="K225" s="4" t="s">
        <v>80</v>
      </c>
      <c r="L225" s="7">
        <f t="shared" ca="1" si="9"/>
        <v>46297</v>
      </c>
      <c r="M225" s="14">
        <f t="shared" ca="1" si="10"/>
        <v>46297.119078935182</v>
      </c>
      <c r="N225" s="4">
        <f t="shared" si="11"/>
        <v>7</v>
      </c>
    </row>
    <row r="226" spans="1:14" x14ac:dyDescent="0.3">
      <c r="A226" s="9">
        <v>1225</v>
      </c>
      <c r="B226" s="9" t="s">
        <v>41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7">
        <v>46125</v>
      </c>
      <c r="J226" s="7">
        <v>46126</v>
      </c>
      <c r="K226" s="4" t="s">
        <v>79</v>
      </c>
      <c r="L226" s="7">
        <f t="shared" ca="1" si="9"/>
        <v>46297</v>
      </c>
      <c r="M226" s="14">
        <f t="shared" ca="1" si="10"/>
        <v>46297.119078935182</v>
      </c>
      <c r="N226" s="4">
        <f t="shared" si="11"/>
        <v>1</v>
      </c>
    </row>
    <row r="227" spans="1:14" x14ac:dyDescent="0.3">
      <c r="A227" s="9">
        <v>1226</v>
      </c>
      <c r="B227" s="9" t="s">
        <v>49</v>
      </c>
      <c r="C227" s="4" t="s">
        <v>31</v>
      </c>
      <c r="D227" s="4" t="s">
        <v>34</v>
      </c>
      <c r="E227" s="4" t="s">
        <v>40</v>
      </c>
      <c r="F227" s="4">
        <v>13</v>
      </c>
      <c r="G227" s="4">
        <v>21332</v>
      </c>
      <c r="H227" s="4">
        <v>0</v>
      </c>
      <c r="I227" s="7">
        <v>46044</v>
      </c>
      <c r="J227" s="7">
        <v>46048</v>
      </c>
      <c r="K227" s="4" t="s">
        <v>49</v>
      </c>
      <c r="L227" s="7">
        <f t="shared" ca="1" si="9"/>
        <v>46297</v>
      </c>
      <c r="M227" s="14">
        <f t="shared" ca="1" si="10"/>
        <v>46297.119078935182</v>
      </c>
      <c r="N227" s="4">
        <f t="shared" si="11"/>
        <v>4</v>
      </c>
    </row>
    <row r="228" spans="1:14" x14ac:dyDescent="0.3">
      <c r="A228" s="9">
        <v>1227</v>
      </c>
      <c r="B228" s="9" t="s">
        <v>55</v>
      </c>
      <c r="C228" s="4" t="s">
        <v>26</v>
      </c>
      <c r="D228" s="4" t="s">
        <v>34</v>
      </c>
      <c r="E228" s="4" t="s">
        <v>6</v>
      </c>
      <c r="F228" s="4">
        <v>16</v>
      </c>
      <c r="G228" s="4">
        <v>1321</v>
      </c>
      <c r="H228" s="4">
        <v>12</v>
      </c>
      <c r="I228" s="7">
        <v>46113</v>
      </c>
      <c r="J228" s="7">
        <v>46116</v>
      </c>
      <c r="K228" s="4" t="s">
        <v>78</v>
      </c>
      <c r="L228" s="7">
        <f t="shared" ca="1" si="9"/>
        <v>46297</v>
      </c>
      <c r="M228" s="14">
        <f t="shared" ca="1" si="10"/>
        <v>46297.119078935182</v>
      </c>
      <c r="N228" s="4">
        <f t="shared" si="11"/>
        <v>3</v>
      </c>
    </row>
    <row r="229" spans="1:14" x14ac:dyDescent="0.3">
      <c r="A229" s="9">
        <v>1228</v>
      </c>
      <c r="B229" s="9" t="s">
        <v>49</v>
      </c>
      <c r="C229" s="4" t="s">
        <v>27</v>
      </c>
      <c r="D229" s="4" t="s">
        <v>34</v>
      </c>
      <c r="E229" s="4" t="s">
        <v>6</v>
      </c>
      <c r="F229" s="4">
        <v>16</v>
      </c>
      <c r="G229" s="4">
        <v>17477</v>
      </c>
      <c r="H229" s="4">
        <v>10</v>
      </c>
      <c r="I229" s="7">
        <v>46041</v>
      </c>
      <c r="J229" s="7">
        <v>46043</v>
      </c>
      <c r="K229" s="4" t="s">
        <v>80</v>
      </c>
      <c r="L229" s="7">
        <f t="shared" ca="1" si="9"/>
        <v>46297</v>
      </c>
      <c r="M229" s="14">
        <f t="shared" ca="1" si="10"/>
        <v>46297.119078935182</v>
      </c>
      <c r="N229" s="4">
        <f t="shared" si="11"/>
        <v>2</v>
      </c>
    </row>
    <row r="230" spans="1:14" x14ac:dyDescent="0.3">
      <c r="A230" s="9">
        <v>1229</v>
      </c>
      <c r="B230" s="9" t="s">
        <v>54</v>
      </c>
      <c r="C230" s="4" t="s">
        <v>19</v>
      </c>
      <c r="D230" s="4" t="s">
        <v>24</v>
      </c>
      <c r="E230" s="4" t="s">
        <v>11</v>
      </c>
      <c r="F230" s="4">
        <v>14</v>
      </c>
      <c r="G230" s="4">
        <v>5859</v>
      </c>
      <c r="H230" s="4">
        <v>12</v>
      </c>
      <c r="I230" s="7">
        <v>46027</v>
      </c>
      <c r="J230" s="7">
        <v>46036</v>
      </c>
      <c r="K230" s="4" t="s">
        <v>79</v>
      </c>
      <c r="L230" s="7">
        <f t="shared" ca="1" si="9"/>
        <v>46297</v>
      </c>
      <c r="M230" s="14">
        <f t="shared" ca="1" si="10"/>
        <v>46297.119078935182</v>
      </c>
      <c r="N230" s="4">
        <f t="shared" si="11"/>
        <v>9</v>
      </c>
    </row>
    <row r="231" spans="1:14" x14ac:dyDescent="0.3">
      <c r="A231" s="9">
        <v>1230</v>
      </c>
      <c r="B231" s="9" t="s">
        <v>56</v>
      </c>
      <c r="C231" s="4" t="s">
        <v>33</v>
      </c>
      <c r="D231" s="4" t="s">
        <v>34</v>
      </c>
      <c r="E231" s="4" t="s">
        <v>9</v>
      </c>
      <c r="F231" s="4">
        <v>7</v>
      </c>
      <c r="G231" s="4">
        <v>2932</v>
      </c>
      <c r="H231" s="4">
        <v>7</v>
      </c>
      <c r="I231" s="7">
        <v>46050</v>
      </c>
      <c r="J231" s="7">
        <v>46059</v>
      </c>
      <c r="K231" s="4" t="s">
        <v>80</v>
      </c>
      <c r="L231" s="7">
        <f t="shared" ca="1" si="9"/>
        <v>46297</v>
      </c>
      <c r="M231" s="14">
        <f t="shared" ca="1" si="10"/>
        <v>46297.119078935182</v>
      </c>
      <c r="N231" s="4">
        <f t="shared" si="11"/>
        <v>9</v>
      </c>
    </row>
    <row r="232" spans="1:14" x14ac:dyDescent="0.3">
      <c r="A232" s="9">
        <v>1231</v>
      </c>
      <c r="B232" s="9" t="s">
        <v>46</v>
      </c>
      <c r="C232" s="4" t="s">
        <v>38</v>
      </c>
      <c r="D232" s="4" t="s">
        <v>24</v>
      </c>
      <c r="E232" s="4" t="s">
        <v>7</v>
      </c>
      <c r="F232" s="4">
        <v>13</v>
      </c>
      <c r="G232" s="4">
        <v>10297</v>
      </c>
      <c r="H232" s="4">
        <v>12</v>
      </c>
      <c r="I232" s="7">
        <v>46178</v>
      </c>
      <c r="J232" s="7">
        <v>46186</v>
      </c>
      <c r="K232" s="4" t="s">
        <v>79</v>
      </c>
      <c r="L232" s="7">
        <f t="shared" ca="1" si="9"/>
        <v>46297</v>
      </c>
      <c r="M232" s="14">
        <f t="shared" ca="1" si="10"/>
        <v>46297.119078935182</v>
      </c>
      <c r="N232" s="4">
        <f t="shared" si="11"/>
        <v>8</v>
      </c>
    </row>
    <row r="233" spans="1:14" x14ac:dyDescent="0.3">
      <c r="A233" s="9">
        <v>1232</v>
      </c>
      <c r="B233" s="9" t="s">
        <v>25</v>
      </c>
      <c r="C233" s="4" t="s">
        <v>19</v>
      </c>
      <c r="D233" s="4" t="s">
        <v>34</v>
      </c>
      <c r="E233" s="4" t="s">
        <v>9</v>
      </c>
      <c r="F233" s="4">
        <v>3</v>
      </c>
      <c r="G233" s="4">
        <v>13272</v>
      </c>
      <c r="H233" s="4">
        <v>2</v>
      </c>
      <c r="I233" s="7">
        <v>46060</v>
      </c>
      <c r="J233" s="7">
        <v>46065</v>
      </c>
      <c r="K233" s="4" t="s">
        <v>78</v>
      </c>
      <c r="L233" s="7">
        <f t="shared" ca="1" si="9"/>
        <v>46297</v>
      </c>
      <c r="M233" s="14">
        <f t="shared" ca="1" si="10"/>
        <v>46297.119078935182</v>
      </c>
      <c r="N233" s="4">
        <f t="shared" si="11"/>
        <v>5</v>
      </c>
    </row>
    <row r="234" spans="1:14" x14ac:dyDescent="0.3">
      <c r="A234" s="9">
        <v>1233</v>
      </c>
      <c r="B234" s="9" t="s">
        <v>55</v>
      </c>
      <c r="C234" s="4" t="s">
        <v>26</v>
      </c>
      <c r="D234" s="4" t="s">
        <v>24</v>
      </c>
      <c r="E234" s="4" t="s">
        <v>7</v>
      </c>
      <c r="F234" s="4">
        <v>20</v>
      </c>
      <c r="G234" s="4">
        <v>13941</v>
      </c>
      <c r="H234" s="4">
        <v>15</v>
      </c>
      <c r="I234" s="7">
        <v>46198</v>
      </c>
      <c r="J234" s="7">
        <v>46202</v>
      </c>
      <c r="K234" s="4" t="s">
        <v>80</v>
      </c>
      <c r="L234" s="7">
        <f t="shared" ca="1" si="9"/>
        <v>46297</v>
      </c>
      <c r="M234" s="14">
        <f t="shared" ca="1" si="10"/>
        <v>46297.119078935182</v>
      </c>
      <c r="N234" s="4">
        <f t="shared" si="11"/>
        <v>4</v>
      </c>
    </row>
    <row r="235" spans="1:14" x14ac:dyDescent="0.3">
      <c r="A235" s="9">
        <v>1234</v>
      </c>
      <c r="B235" s="9" t="s">
        <v>18</v>
      </c>
      <c r="C235" s="4" t="s">
        <v>27</v>
      </c>
      <c r="D235" s="4" t="s">
        <v>24</v>
      </c>
      <c r="E235" s="4" t="s">
        <v>8</v>
      </c>
      <c r="F235" s="4">
        <v>1</v>
      </c>
      <c r="G235" s="4">
        <v>14320</v>
      </c>
      <c r="H235" s="4">
        <v>12</v>
      </c>
      <c r="I235" s="7">
        <v>46114</v>
      </c>
      <c r="J235" s="7">
        <v>46121</v>
      </c>
      <c r="K235" s="4" t="s">
        <v>81</v>
      </c>
      <c r="L235" s="7">
        <f t="shared" ca="1" si="9"/>
        <v>46297</v>
      </c>
      <c r="M235" s="14">
        <f t="shared" ca="1" si="10"/>
        <v>46297.119078935182</v>
      </c>
      <c r="N235" s="4">
        <f t="shared" si="11"/>
        <v>7</v>
      </c>
    </row>
    <row r="236" spans="1:14" x14ac:dyDescent="0.3">
      <c r="A236" s="9">
        <v>1235</v>
      </c>
      <c r="B236" s="9" t="s">
        <v>54</v>
      </c>
      <c r="C236" s="4" t="s">
        <v>27</v>
      </c>
      <c r="D236" s="4" t="s">
        <v>20</v>
      </c>
      <c r="E236" s="4" t="s">
        <v>48</v>
      </c>
      <c r="F236" s="4">
        <v>15</v>
      </c>
      <c r="G236" s="4">
        <v>267</v>
      </c>
      <c r="H236" s="4">
        <v>15</v>
      </c>
      <c r="I236" s="7">
        <v>46172</v>
      </c>
      <c r="J236" s="7">
        <v>46177</v>
      </c>
      <c r="K236" s="4" t="s">
        <v>49</v>
      </c>
      <c r="L236" s="7">
        <f t="shared" ca="1" si="9"/>
        <v>46297</v>
      </c>
      <c r="M236" s="14">
        <f t="shared" ca="1" si="10"/>
        <v>46297.119078935182</v>
      </c>
      <c r="N236" s="4">
        <f t="shared" si="11"/>
        <v>5</v>
      </c>
    </row>
    <row r="237" spans="1:14" x14ac:dyDescent="0.3">
      <c r="A237" s="9">
        <v>1236</v>
      </c>
      <c r="B237" s="9" t="s">
        <v>52</v>
      </c>
      <c r="C237" s="4" t="s">
        <v>42</v>
      </c>
      <c r="D237" s="4" t="s">
        <v>20</v>
      </c>
      <c r="E237" s="4" t="s">
        <v>37</v>
      </c>
      <c r="F237" s="4">
        <v>12</v>
      </c>
      <c r="G237" s="4">
        <v>189</v>
      </c>
      <c r="H237" s="4">
        <v>7</v>
      </c>
      <c r="I237" s="7">
        <v>46164</v>
      </c>
      <c r="J237" s="7">
        <v>46169</v>
      </c>
      <c r="K237" s="4" t="s">
        <v>49</v>
      </c>
      <c r="L237" s="7">
        <f t="shared" ca="1" si="9"/>
        <v>46297</v>
      </c>
      <c r="M237" s="14">
        <f t="shared" ca="1" si="10"/>
        <v>46297.119078935182</v>
      </c>
      <c r="N237" s="4">
        <f t="shared" si="11"/>
        <v>5</v>
      </c>
    </row>
    <row r="238" spans="1:14" x14ac:dyDescent="0.3">
      <c r="A238" s="9">
        <v>1237</v>
      </c>
      <c r="B238" s="9" t="s">
        <v>44</v>
      </c>
      <c r="C238" s="4" t="s">
        <v>38</v>
      </c>
      <c r="D238" s="4" t="s">
        <v>24</v>
      </c>
      <c r="E238" s="4" t="s">
        <v>11</v>
      </c>
      <c r="F238" s="4">
        <v>8</v>
      </c>
      <c r="G238" s="4">
        <v>12123</v>
      </c>
      <c r="H238" s="4">
        <v>2</v>
      </c>
      <c r="I238" s="7">
        <v>46137</v>
      </c>
      <c r="J238" s="7">
        <v>46145</v>
      </c>
      <c r="K238" s="4" t="s">
        <v>78</v>
      </c>
      <c r="L238" s="7">
        <f t="shared" ca="1" si="9"/>
        <v>46297</v>
      </c>
      <c r="M238" s="14">
        <f t="shared" ca="1" si="10"/>
        <v>46297.119078935182</v>
      </c>
      <c r="N238" s="4">
        <f t="shared" si="11"/>
        <v>8</v>
      </c>
    </row>
    <row r="239" spans="1:14" x14ac:dyDescent="0.3">
      <c r="A239" s="9">
        <v>1238</v>
      </c>
      <c r="B239" s="9" t="s">
        <v>30</v>
      </c>
      <c r="C239" s="4" t="s">
        <v>31</v>
      </c>
      <c r="D239" s="4" t="s">
        <v>20</v>
      </c>
      <c r="E239" s="4" t="s">
        <v>21</v>
      </c>
      <c r="F239" s="4">
        <v>6</v>
      </c>
      <c r="G239" s="4">
        <v>180</v>
      </c>
      <c r="H239" s="4">
        <v>12</v>
      </c>
      <c r="I239" s="7">
        <v>46096</v>
      </c>
      <c r="J239" s="7">
        <v>46097</v>
      </c>
      <c r="K239" s="4" t="s">
        <v>81</v>
      </c>
      <c r="L239" s="7">
        <f t="shared" ca="1" si="9"/>
        <v>46297</v>
      </c>
      <c r="M239" s="14">
        <f t="shared" ca="1" si="10"/>
        <v>46297.119078935182</v>
      </c>
      <c r="N239" s="4">
        <f t="shared" si="11"/>
        <v>1</v>
      </c>
    </row>
    <row r="240" spans="1:14" x14ac:dyDescent="0.3">
      <c r="A240" s="9">
        <v>1239</v>
      </c>
      <c r="B240" s="9" t="s">
        <v>46</v>
      </c>
      <c r="C240" s="4" t="s">
        <v>23</v>
      </c>
      <c r="D240" s="4" t="s">
        <v>24</v>
      </c>
      <c r="E240" s="4" t="s">
        <v>11</v>
      </c>
      <c r="F240" s="4">
        <v>2</v>
      </c>
      <c r="G240" s="4">
        <v>12330</v>
      </c>
      <c r="H240" s="4">
        <v>12</v>
      </c>
      <c r="I240" s="7">
        <v>46122</v>
      </c>
      <c r="J240" s="7">
        <v>46125</v>
      </c>
      <c r="K240" s="4" t="s">
        <v>78</v>
      </c>
      <c r="L240" s="7">
        <f t="shared" ca="1" si="9"/>
        <v>46297</v>
      </c>
      <c r="M240" s="14">
        <f t="shared" ca="1" si="10"/>
        <v>46297.119078935182</v>
      </c>
      <c r="N240" s="4">
        <f t="shared" si="11"/>
        <v>3</v>
      </c>
    </row>
    <row r="241" spans="1:14" x14ac:dyDescent="0.3">
      <c r="A241" s="9">
        <v>1240</v>
      </c>
      <c r="B241" s="9" t="s">
        <v>53</v>
      </c>
      <c r="C241" s="4" t="s">
        <v>33</v>
      </c>
      <c r="D241" s="4" t="s">
        <v>24</v>
      </c>
      <c r="E241" s="4" t="s">
        <v>10</v>
      </c>
      <c r="F241" s="4">
        <v>2</v>
      </c>
      <c r="G241" s="4">
        <v>5475</v>
      </c>
      <c r="H241" s="4">
        <v>2</v>
      </c>
      <c r="I241" s="7">
        <v>46142</v>
      </c>
      <c r="J241" s="7">
        <v>46146</v>
      </c>
      <c r="K241" s="4" t="s">
        <v>49</v>
      </c>
      <c r="L241" s="7">
        <f t="shared" ca="1" si="9"/>
        <v>46297</v>
      </c>
      <c r="M241" s="14">
        <f t="shared" ca="1" si="10"/>
        <v>46297.119078935182</v>
      </c>
      <c r="N241" s="4">
        <f t="shared" si="11"/>
        <v>4</v>
      </c>
    </row>
    <row r="242" spans="1:14" x14ac:dyDescent="0.3">
      <c r="A242" s="9">
        <v>1241</v>
      </c>
      <c r="B242" s="9" t="s">
        <v>44</v>
      </c>
      <c r="C242" s="4" t="s">
        <v>31</v>
      </c>
      <c r="D242" s="4" t="s">
        <v>24</v>
      </c>
      <c r="E242" s="4" t="s">
        <v>43</v>
      </c>
      <c r="F242" s="4">
        <v>1</v>
      </c>
      <c r="G242" s="4">
        <v>12537</v>
      </c>
      <c r="H242" s="4">
        <v>0</v>
      </c>
      <c r="I242" s="7">
        <v>46119</v>
      </c>
      <c r="J242" s="7">
        <v>46122</v>
      </c>
      <c r="K242" s="4" t="s">
        <v>78</v>
      </c>
      <c r="L242" s="7">
        <f t="shared" ca="1" si="9"/>
        <v>46297</v>
      </c>
      <c r="M242" s="14">
        <f t="shared" ca="1" si="10"/>
        <v>46297.119078935182</v>
      </c>
      <c r="N242" s="4">
        <f t="shared" si="11"/>
        <v>3</v>
      </c>
    </row>
    <row r="243" spans="1:14" x14ac:dyDescent="0.3">
      <c r="A243" s="9">
        <v>1242</v>
      </c>
      <c r="B243" s="9" t="s">
        <v>52</v>
      </c>
      <c r="C243" s="4" t="s">
        <v>38</v>
      </c>
      <c r="D243" s="4" t="s">
        <v>20</v>
      </c>
      <c r="E243" s="4" t="s">
        <v>48</v>
      </c>
      <c r="F243" s="4">
        <v>7</v>
      </c>
      <c r="G243" s="4">
        <v>168</v>
      </c>
      <c r="H243" s="4">
        <v>10</v>
      </c>
      <c r="I243" s="7">
        <v>46191</v>
      </c>
      <c r="J243" s="7">
        <v>46196</v>
      </c>
      <c r="K243" s="4" t="s">
        <v>81</v>
      </c>
      <c r="L243" s="7">
        <f t="shared" ca="1" si="9"/>
        <v>46297</v>
      </c>
      <c r="M243" s="14">
        <f t="shared" ca="1" si="10"/>
        <v>46297.119078935182</v>
      </c>
      <c r="N243" s="4">
        <f t="shared" si="11"/>
        <v>5</v>
      </c>
    </row>
    <row r="244" spans="1:14" x14ac:dyDescent="0.3">
      <c r="A244" s="9">
        <v>1243</v>
      </c>
      <c r="B244" s="9" t="s">
        <v>30</v>
      </c>
      <c r="C244" s="4" t="s">
        <v>31</v>
      </c>
      <c r="D244" s="4" t="s">
        <v>34</v>
      </c>
      <c r="E244" s="4" t="s">
        <v>40</v>
      </c>
      <c r="F244" s="4">
        <v>5</v>
      </c>
      <c r="G244" s="4">
        <v>11570</v>
      </c>
      <c r="H244" s="4">
        <v>15</v>
      </c>
      <c r="I244" s="7">
        <v>46069</v>
      </c>
      <c r="J244" s="7">
        <v>46077</v>
      </c>
      <c r="K244" s="4" t="s">
        <v>80</v>
      </c>
      <c r="L244" s="7">
        <f t="shared" ca="1" si="9"/>
        <v>46297</v>
      </c>
      <c r="M244" s="14">
        <f t="shared" ca="1" si="10"/>
        <v>46297.119078935182</v>
      </c>
      <c r="N244" s="4">
        <f t="shared" si="11"/>
        <v>8</v>
      </c>
    </row>
    <row r="245" spans="1:14" x14ac:dyDescent="0.3">
      <c r="A245" s="9">
        <v>1244</v>
      </c>
      <c r="B245" s="9" t="s">
        <v>54</v>
      </c>
      <c r="C245" s="4" t="s">
        <v>38</v>
      </c>
      <c r="D245" s="4" t="s">
        <v>24</v>
      </c>
      <c r="E245" s="4" t="s">
        <v>8</v>
      </c>
      <c r="F245" s="4">
        <v>10</v>
      </c>
      <c r="G245" s="4">
        <v>6339</v>
      </c>
      <c r="H245" s="4">
        <v>12</v>
      </c>
      <c r="I245" s="7">
        <v>46200</v>
      </c>
      <c r="J245" s="7">
        <v>46205</v>
      </c>
      <c r="K245" s="4" t="s">
        <v>78</v>
      </c>
      <c r="L245" s="7">
        <f t="shared" ca="1" si="9"/>
        <v>46297</v>
      </c>
      <c r="M245" s="14">
        <f t="shared" ca="1" si="10"/>
        <v>46297.119078935182</v>
      </c>
      <c r="N245" s="4">
        <f t="shared" si="11"/>
        <v>5</v>
      </c>
    </row>
    <row r="246" spans="1:14" x14ac:dyDescent="0.3">
      <c r="A246" s="9">
        <v>1245</v>
      </c>
      <c r="B246" s="9" t="s">
        <v>53</v>
      </c>
      <c r="C246" s="4" t="s">
        <v>42</v>
      </c>
      <c r="D246" s="4" t="s">
        <v>34</v>
      </c>
      <c r="E246" s="4" t="s">
        <v>40</v>
      </c>
      <c r="F246" s="4">
        <v>19</v>
      </c>
      <c r="G246" s="4">
        <v>69029</v>
      </c>
      <c r="H246" s="4">
        <v>7</v>
      </c>
      <c r="I246" s="7">
        <v>46176</v>
      </c>
      <c r="J246" s="7">
        <v>46179</v>
      </c>
      <c r="K246" s="4" t="s">
        <v>49</v>
      </c>
      <c r="L246" s="7">
        <f t="shared" ca="1" si="9"/>
        <v>46297</v>
      </c>
      <c r="M246" s="14">
        <f t="shared" ca="1" si="10"/>
        <v>46297.119078935182</v>
      </c>
      <c r="N246" s="4">
        <f t="shared" si="11"/>
        <v>3</v>
      </c>
    </row>
    <row r="247" spans="1:14" x14ac:dyDescent="0.3">
      <c r="A247" s="9">
        <v>1246</v>
      </c>
      <c r="B247" s="9" t="s">
        <v>53</v>
      </c>
      <c r="C247" s="4" t="s">
        <v>26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7">
        <v>46039</v>
      </c>
      <c r="J247" s="7">
        <v>46045</v>
      </c>
      <c r="K247" s="4" t="s">
        <v>81</v>
      </c>
      <c r="L247" s="7">
        <f t="shared" ca="1" si="9"/>
        <v>46297</v>
      </c>
      <c r="M247" s="14">
        <f t="shared" ca="1" si="10"/>
        <v>46297.119078935182</v>
      </c>
      <c r="N247" s="4">
        <f t="shared" si="11"/>
        <v>6</v>
      </c>
    </row>
    <row r="248" spans="1:14" x14ac:dyDescent="0.3">
      <c r="A248" s="9">
        <v>1247</v>
      </c>
      <c r="B248" s="9" t="s">
        <v>28</v>
      </c>
      <c r="C248" s="4" t="s">
        <v>19</v>
      </c>
      <c r="D248" s="4" t="s">
        <v>20</v>
      </c>
      <c r="E248" s="4" t="s">
        <v>48</v>
      </c>
      <c r="F248" s="4">
        <v>10</v>
      </c>
      <c r="G248" s="4">
        <v>336</v>
      </c>
      <c r="H248" s="4">
        <v>7</v>
      </c>
      <c r="I248" s="7">
        <v>46173</v>
      </c>
      <c r="J248" s="7">
        <v>46175</v>
      </c>
      <c r="K248" s="4" t="s">
        <v>79</v>
      </c>
      <c r="L248" s="7">
        <f t="shared" ca="1" si="9"/>
        <v>46297</v>
      </c>
      <c r="M248" s="14">
        <f t="shared" ca="1" si="10"/>
        <v>46297.119078935182</v>
      </c>
      <c r="N248" s="4">
        <f t="shared" si="11"/>
        <v>2</v>
      </c>
    </row>
    <row r="249" spans="1:14" x14ac:dyDescent="0.3">
      <c r="A249" s="9">
        <v>1248</v>
      </c>
      <c r="B249" s="9" t="s">
        <v>29</v>
      </c>
      <c r="C249" s="4" t="s">
        <v>42</v>
      </c>
      <c r="D249" s="4" t="s">
        <v>20</v>
      </c>
      <c r="E249" s="4" t="s">
        <v>37</v>
      </c>
      <c r="F249" s="4">
        <v>5</v>
      </c>
      <c r="G249" s="4">
        <v>398</v>
      </c>
      <c r="H249" s="4">
        <v>7</v>
      </c>
      <c r="I249" s="7">
        <v>46161</v>
      </c>
      <c r="J249" s="7">
        <v>46171</v>
      </c>
      <c r="K249" s="4" t="s">
        <v>49</v>
      </c>
      <c r="L249" s="7">
        <f t="shared" ca="1" si="9"/>
        <v>46297</v>
      </c>
      <c r="M249" s="14">
        <f t="shared" ca="1" si="10"/>
        <v>46297.119078935182</v>
      </c>
      <c r="N249" s="4">
        <f t="shared" si="11"/>
        <v>10</v>
      </c>
    </row>
    <row r="250" spans="1:14" x14ac:dyDescent="0.3">
      <c r="A250" s="9">
        <v>1249</v>
      </c>
      <c r="B250" s="9" t="s">
        <v>22</v>
      </c>
      <c r="C250" s="4" t="s">
        <v>27</v>
      </c>
      <c r="D250" s="4" t="s">
        <v>34</v>
      </c>
      <c r="E250" s="4" t="s">
        <v>40</v>
      </c>
      <c r="F250" s="4">
        <v>18</v>
      </c>
      <c r="G250" s="4">
        <v>6360</v>
      </c>
      <c r="H250" s="4">
        <v>12</v>
      </c>
      <c r="I250" s="7">
        <v>46163</v>
      </c>
      <c r="J250" s="7">
        <v>46165</v>
      </c>
      <c r="K250" s="4" t="s">
        <v>79</v>
      </c>
      <c r="L250" s="7">
        <f t="shared" ca="1" si="9"/>
        <v>46297</v>
      </c>
      <c r="M250" s="14">
        <f t="shared" ca="1" si="10"/>
        <v>46297.119078935182</v>
      </c>
      <c r="N250" s="4">
        <f t="shared" si="11"/>
        <v>2</v>
      </c>
    </row>
    <row r="251" spans="1:14" x14ac:dyDescent="0.3">
      <c r="A251" s="9">
        <v>1250</v>
      </c>
      <c r="B251" s="9" t="s">
        <v>18</v>
      </c>
      <c r="C251" s="4" t="s">
        <v>23</v>
      </c>
      <c r="D251" s="4" t="s">
        <v>34</v>
      </c>
      <c r="E251" s="4" t="s">
        <v>6</v>
      </c>
      <c r="F251" s="4">
        <v>2</v>
      </c>
      <c r="G251" s="4">
        <v>65953</v>
      </c>
      <c r="H251" s="4">
        <v>7</v>
      </c>
      <c r="I251" s="7">
        <v>46051</v>
      </c>
      <c r="J251" s="7">
        <v>46053</v>
      </c>
      <c r="K251" s="4" t="s">
        <v>49</v>
      </c>
      <c r="L251" s="7">
        <f t="shared" ca="1" si="9"/>
        <v>46297</v>
      </c>
      <c r="M251" s="14">
        <f t="shared" ca="1" si="10"/>
        <v>46297.119078935182</v>
      </c>
      <c r="N251" s="4">
        <f t="shared" si="11"/>
        <v>2</v>
      </c>
    </row>
    <row r="252" spans="1:14" x14ac:dyDescent="0.3">
      <c r="A252" s="9">
        <v>1251</v>
      </c>
      <c r="B252" s="9" t="s">
        <v>53</v>
      </c>
      <c r="C252" s="4" t="s">
        <v>38</v>
      </c>
      <c r="D252" s="4" t="s">
        <v>34</v>
      </c>
      <c r="E252" s="4" t="s">
        <v>12</v>
      </c>
      <c r="F252" s="4">
        <v>19</v>
      </c>
      <c r="G252" s="4">
        <v>48548</v>
      </c>
      <c r="H252" s="4">
        <v>0</v>
      </c>
      <c r="I252" s="7">
        <v>46112</v>
      </c>
      <c r="J252" s="7">
        <v>46121</v>
      </c>
      <c r="K252" s="4" t="s">
        <v>81</v>
      </c>
      <c r="L252" s="7">
        <f t="shared" ca="1" si="9"/>
        <v>46297</v>
      </c>
      <c r="M252" s="14">
        <f t="shared" ca="1" si="10"/>
        <v>46297.119078935182</v>
      </c>
      <c r="N252" s="4">
        <f t="shared" si="11"/>
        <v>9</v>
      </c>
    </row>
    <row r="253" spans="1:14" x14ac:dyDescent="0.3">
      <c r="A253" s="9">
        <v>1252</v>
      </c>
      <c r="B253" s="9" t="s">
        <v>45</v>
      </c>
      <c r="C253" s="4" t="s">
        <v>27</v>
      </c>
      <c r="D253" s="4" t="s">
        <v>20</v>
      </c>
      <c r="E253" s="4" t="s">
        <v>36</v>
      </c>
      <c r="F253" s="4">
        <v>15</v>
      </c>
      <c r="G253" s="4">
        <v>257</v>
      </c>
      <c r="H253" s="4">
        <v>5</v>
      </c>
      <c r="I253" s="7">
        <v>46166</v>
      </c>
      <c r="J253" s="7">
        <v>46173</v>
      </c>
      <c r="K253" s="4" t="s">
        <v>79</v>
      </c>
      <c r="L253" s="7">
        <f t="shared" ca="1" si="9"/>
        <v>46297</v>
      </c>
      <c r="M253" s="14">
        <f t="shared" ca="1" si="10"/>
        <v>46297.119078935182</v>
      </c>
      <c r="N253" s="4">
        <f t="shared" si="11"/>
        <v>7</v>
      </c>
    </row>
    <row r="254" spans="1:14" x14ac:dyDescent="0.3">
      <c r="A254" s="9">
        <v>1253</v>
      </c>
      <c r="B254" s="9" t="s">
        <v>25</v>
      </c>
      <c r="C254" s="4" t="s">
        <v>31</v>
      </c>
      <c r="D254" s="4" t="s">
        <v>34</v>
      </c>
      <c r="E254" s="4" t="s">
        <v>6</v>
      </c>
      <c r="F254" s="4">
        <v>20</v>
      </c>
      <c r="G254" s="4">
        <v>47880</v>
      </c>
      <c r="H254" s="4">
        <v>7</v>
      </c>
      <c r="I254" s="7">
        <v>46074</v>
      </c>
      <c r="J254" s="7">
        <v>46075</v>
      </c>
      <c r="K254" s="4" t="s">
        <v>49</v>
      </c>
      <c r="L254" s="7">
        <f t="shared" ca="1" si="9"/>
        <v>46297</v>
      </c>
      <c r="M254" s="14">
        <f t="shared" ca="1" si="10"/>
        <v>46297.119078935182</v>
      </c>
      <c r="N254" s="4">
        <f t="shared" si="11"/>
        <v>1</v>
      </c>
    </row>
    <row r="255" spans="1:14" x14ac:dyDescent="0.3">
      <c r="A255" s="9">
        <v>1254</v>
      </c>
      <c r="B255" s="9" t="s">
        <v>50</v>
      </c>
      <c r="C255" s="4" t="s">
        <v>26</v>
      </c>
      <c r="D255" s="4" t="s">
        <v>20</v>
      </c>
      <c r="E255" s="4" t="s">
        <v>48</v>
      </c>
      <c r="F255" s="4">
        <v>18</v>
      </c>
      <c r="G255" s="4">
        <v>447</v>
      </c>
      <c r="H255" s="4">
        <v>15</v>
      </c>
      <c r="I255" s="7">
        <v>46141</v>
      </c>
      <c r="J255" s="7">
        <v>46149</v>
      </c>
      <c r="K255" s="4" t="s">
        <v>80</v>
      </c>
      <c r="L255" s="7">
        <f t="shared" ca="1" si="9"/>
        <v>46297</v>
      </c>
      <c r="M255" s="14">
        <f t="shared" ca="1" si="10"/>
        <v>46297.119078935182</v>
      </c>
      <c r="N255" s="4">
        <f t="shared" si="11"/>
        <v>8</v>
      </c>
    </row>
    <row r="256" spans="1:14" x14ac:dyDescent="0.3">
      <c r="A256" s="9">
        <v>1255</v>
      </c>
      <c r="B256" s="9" t="s">
        <v>32</v>
      </c>
      <c r="C256" s="4" t="s">
        <v>23</v>
      </c>
      <c r="D256" s="4" t="s">
        <v>24</v>
      </c>
      <c r="E256" s="4" t="s">
        <v>7</v>
      </c>
      <c r="F256" s="4">
        <v>1</v>
      </c>
      <c r="G256" s="4">
        <v>2240</v>
      </c>
      <c r="H256" s="4">
        <v>5</v>
      </c>
      <c r="I256" s="7">
        <v>46091</v>
      </c>
      <c r="J256" s="7">
        <v>46095</v>
      </c>
      <c r="K256" s="4" t="s">
        <v>79</v>
      </c>
      <c r="L256" s="7">
        <f t="shared" ca="1" si="9"/>
        <v>46297</v>
      </c>
      <c r="M256" s="14">
        <f t="shared" ca="1" si="10"/>
        <v>46297.119078935182</v>
      </c>
      <c r="N256" s="4">
        <f t="shared" si="11"/>
        <v>4</v>
      </c>
    </row>
    <row r="257" spans="1:14" x14ac:dyDescent="0.3">
      <c r="A257" s="9">
        <v>1256</v>
      </c>
      <c r="B257" s="9" t="s">
        <v>46</v>
      </c>
      <c r="C257" s="4" t="s">
        <v>31</v>
      </c>
      <c r="D257" s="4" t="s">
        <v>20</v>
      </c>
      <c r="E257" s="4" t="s">
        <v>48</v>
      </c>
      <c r="F257" s="4">
        <v>19</v>
      </c>
      <c r="G257" s="4">
        <v>406</v>
      </c>
      <c r="H257" s="4">
        <v>7</v>
      </c>
      <c r="I257" s="7">
        <v>46057</v>
      </c>
      <c r="J257" s="7">
        <v>46061</v>
      </c>
      <c r="K257" s="4" t="s">
        <v>78</v>
      </c>
      <c r="L257" s="7">
        <f t="shared" ca="1" si="9"/>
        <v>46297</v>
      </c>
      <c r="M257" s="14">
        <f t="shared" ca="1" si="10"/>
        <v>46297.119078935182</v>
      </c>
      <c r="N257" s="4">
        <f t="shared" si="11"/>
        <v>4</v>
      </c>
    </row>
    <row r="258" spans="1:14" x14ac:dyDescent="0.3">
      <c r="A258" s="9">
        <v>1257</v>
      </c>
      <c r="B258" s="9" t="s">
        <v>52</v>
      </c>
      <c r="C258" s="4" t="s">
        <v>27</v>
      </c>
      <c r="D258" s="4" t="s">
        <v>34</v>
      </c>
      <c r="E258" s="4" t="s">
        <v>12</v>
      </c>
      <c r="F258" s="4">
        <v>7</v>
      </c>
      <c r="G258" s="4">
        <v>53243</v>
      </c>
      <c r="H258" s="4">
        <v>12</v>
      </c>
      <c r="I258" s="7">
        <v>46161</v>
      </c>
      <c r="J258" s="7">
        <v>46171</v>
      </c>
      <c r="K258" s="4" t="s">
        <v>78</v>
      </c>
      <c r="L258" s="7">
        <f t="shared" ca="1" si="9"/>
        <v>46297</v>
      </c>
      <c r="M258" s="14">
        <f t="shared" ca="1" si="10"/>
        <v>46297.119078935182</v>
      </c>
      <c r="N258" s="4">
        <f t="shared" si="11"/>
        <v>10</v>
      </c>
    </row>
    <row r="259" spans="1:14" x14ac:dyDescent="0.3">
      <c r="A259" s="9">
        <v>1258</v>
      </c>
      <c r="B259" s="9" t="s">
        <v>32</v>
      </c>
      <c r="C259" s="4" t="s">
        <v>31</v>
      </c>
      <c r="D259" s="4" t="s">
        <v>34</v>
      </c>
      <c r="E259" s="4" t="s">
        <v>9</v>
      </c>
      <c r="F259" s="4">
        <v>1</v>
      </c>
      <c r="G259" s="4">
        <v>10600</v>
      </c>
      <c r="H259" s="4">
        <v>5</v>
      </c>
      <c r="I259" s="7">
        <v>46137</v>
      </c>
      <c r="J259" s="7">
        <v>46138</v>
      </c>
      <c r="K259" s="4" t="s">
        <v>49</v>
      </c>
      <c r="L259" s="7">
        <f t="shared" ref="L259:L322" ca="1" si="12">TODAY()</f>
        <v>46297</v>
      </c>
      <c r="M259" s="14">
        <f t="shared" ref="M259:M322" ca="1" si="13">NOW()</f>
        <v>46297.119078935182</v>
      </c>
      <c r="N259" s="4">
        <f t="shared" ref="N259:N322" si="14">DATEDIF(I259,J259, "d")</f>
        <v>1</v>
      </c>
    </row>
    <row r="260" spans="1:14" x14ac:dyDescent="0.3">
      <c r="A260" s="9">
        <v>1259</v>
      </c>
      <c r="B260" s="9" t="s">
        <v>41</v>
      </c>
      <c r="C260" s="4" t="s">
        <v>26</v>
      </c>
      <c r="D260" s="4" t="s">
        <v>34</v>
      </c>
      <c r="E260" s="4" t="s">
        <v>6</v>
      </c>
      <c r="F260" s="4">
        <v>10</v>
      </c>
      <c r="G260" s="4">
        <v>38771</v>
      </c>
      <c r="H260" s="4">
        <v>15</v>
      </c>
      <c r="I260" s="7">
        <v>46172</v>
      </c>
      <c r="J260" s="7">
        <v>46182</v>
      </c>
      <c r="K260" s="4" t="s">
        <v>78</v>
      </c>
      <c r="L260" s="7">
        <f t="shared" ca="1" si="12"/>
        <v>46297</v>
      </c>
      <c r="M260" s="14">
        <f t="shared" ca="1" si="13"/>
        <v>46297.119078935182</v>
      </c>
      <c r="N260" s="4">
        <f t="shared" si="14"/>
        <v>10</v>
      </c>
    </row>
    <row r="261" spans="1:14" x14ac:dyDescent="0.3">
      <c r="A261" s="9">
        <v>1260</v>
      </c>
      <c r="B261" s="9" t="s">
        <v>52</v>
      </c>
      <c r="C261" s="4" t="s">
        <v>38</v>
      </c>
      <c r="D261" s="4" t="s">
        <v>34</v>
      </c>
      <c r="E261" s="4" t="s">
        <v>40</v>
      </c>
      <c r="F261" s="4">
        <v>19</v>
      </c>
      <c r="G261" s="4">
        <v>54981</v>
      </c>
      <c r="H261" s="4">
        <v>10</v>
      </c>
      <c r="I261" s="7">
        <v>46040</v>
      </c>
      <c r="J261" s="7">
        <v>46045</v>
      </c>
      <c r="K261" s="4" t="s">
        <v>49</v>
      </c>
      <c r="L261" s="7">
        <f t="shared" ca="1" si="12"/>
        <v>46297</v>
      </c>
      <c r="M261" s="14">
        <f t="shared" ca="1" si="13"/>
        <v>46297.119078935182</v>
      </c>
      <c r="N261" s="4">
        <f t="shared" si="14"/>
        <v>5</v>
      </c>
    </row>
    <row r="262" spans="1:14" x14ac:dyDescent="0.3">
      <c r="A262" s="9">
        <v>1261</v>
      </c>
      <c r="B262" s="9" t="s">
        <v>39</v>
      </c>
      <c r="C262" s="4" t="s">
        <v>23</v>
      </c>
      <c r="D262" s="4" t="s">
        <v>20</v>
      </c>
      <c r="E262" s="4" t="s">
        <v>48</v>
      </c>
      <c r="F262" s="4">
        <v>20</v>
      </c>
      <c r="G262" s="4">
        <v>162</v>
      </c>
      <c r="H262" s="4">
        <v>7</v>
      </c>
      <c r="I262" s="7">
        <v>46119</v>
      </c>
      <c r="J262" s="7">
        <v>46120</v>
      </c>
      <c r="K262" s="4" t="s">
        <v>81</v>
      </c>
      <c r="L262" s="7">
        <f t="shared" ca="1" si="12"/>
        <v>46297</v>
      </c>
      <c r="M262" s="14">
        <f t="shared" ca="1" si="13"/>
        <v>46297.119078935182</v>
      </c>
      <c r="N262" s="4">
        <f t="shared" si="14"/>
        <v>1</v>
      </c>
    </row>
    <row r="263" spans="1:14" x14ac:dyDescent="0.3">
      <c r="A263" s="9">
        <v>1262</v>
      </c>
      <c r="B263" s="9" t="s">
        <v>22</v>
      </c>
      <c r="C263" s="4" t="s">
        <v>26</v>
      </c>
      <c r="D263" s="4" t="s">
        <v>24</v>
      </c>
      <c r="E263" s="4" t="s">
        <v>8</v>
      </c>
      <c r="F263" s="4">
        <v>9</v>
      </c>
      <c r="G263" s="4">
        <v>2231</v>
      </c>
      <c r="H263" s="4">
        <v>15</v>
      </c>
      <c r="I263" s="7">
        <v>46174</v>
      </c>
      <c r="J263" s="7">
        <v>46183</v>
      </c>
      <c r="K263" s="4" t="s">
        <v>78</v>
      </c>
      <c r="L263" s="7">
        <f t="shared" ca="1" si="12"/>
        <v>46297</v>
      </c>
      <c r="M263" s="14">
        <f t="shared" ca="1" si="13"/>
        <v>46297.119078935182</v>
      </c>
      <c r="N263" s="4">
        <f t="shared" si="14"/>
        <v>9</v>
      </c>
    </row>
    <row r="264" spans="1:14" x14ac:dyDescent="0.3">
      <c r="A264" s="9">
        <v>1263</v>
      </c>
      <c r="B264" s="9" t="s">
        <v>49</v>
      </c>
      <c r="C264" s="4" t="s">
        <v>38</v>
      </c>
      <c r="D264" s="4" t="s">
        <v>24</v>
      </c>
      <c r="E264" s="4" t="s">
        <v>8</v>
      </c>
      <c r="F264" s="4">
        <v>10</v>
      </c>
      <c r="G264" s="4">
        <v>1505</v>
      </c>
      <c r="H264" s="4">
        <v>0</v>
      </c>
      <c r="I264" s="7">
        <v>46130</v>
      </c>
      <c r="J264" s="7">
        <v>46138</v>
      </c>
      <c r="K264" s="4" t="s">
        <v>81</v>
      </c>
      <c r="L264" s="7">
        <f t="shared" ca="1" si="12"/>
        <v>46297</v>
      </c>
      <c r="M264" s="14">
        <f t="shared" ca="1" si="13"/>
        <v>46297.119078935182</v>
      </c>
      <c r="N264" s="4">
        <f t="shared" si="14"/>
        <v>8</v>
      </c>
    </row>
    <row r="265" spans="1:14" x14ac:dyDescent="0.3">
      <c r="A265" s="9">
        <v>1264</v>
      </c>
      <c r="B265" s="9" t="s">
        <v>18</v>
      </c>
      <c r="C265" s="4" t="s">
        <v>26</v>
      </c>
      <c r="D265" s="4" t="s">
        <v>24</v>
      </c>
      <c r="E265" s="4" t="s">
        <v>8</v>
      </c>
      <c r="F265" s="4">
        <v>15</v>
      </c>
      <c r="G265" s="4">
        <v>6365</v>
      </c>
      <c r="H265" s="4">
        <v>10</v>
      </c>
      <c r="I265" s="7">
        <v>46200</v>
      </c>
      <c r="J265" s="7">
        <v>46206</v>
      </c>
      <c r="K265" s="4" t="s">
        <v>79</v>
      </c>
      <c r="L265" s="7">
        <f t="shared" ca="1" si="12"/>
        <v>46297</v>
      </c>
      <c r="M265" s="14">
        <f t="shared" ca="1" si="13"/>
        <v>46297.119078935182</v>
      </c>
      <c r="N265" s="4">
        <f t="shared" si="14"/>
        <v>6</v>
      </c>
    </row>
    <row r="266" spans="1:14" x14ac:dyDescent="0.3">
      <c r="A266" s="9">
        <v>1265</v>
      </c>
      <c r="B266" s="9" t="s">
        <v>55</v>
      </c>
      <c r="C266" s="4" t="s">
        <v>26</v>
      </c>
      <c r="D266" s="4" t="s">
        <v>24</v>
      </c>
      <c r="E266" s="4" t="s">
        <v>7</v>
      </c>
      <c r="F266" s="4">
        <v>1</v>
      </c>
      <c r="G266" s="4">
        <v>1052</v>
      </c>
      <c r="H266" s="4">
        <v>7</v>
      </c>
      <c r="I266" s="7">
        <v>46117</v>
      </c>
      <c r="J266" s="7">
        <v>46127</v>
      </c>
      <c r="K266" s="4" t="s">
        <v>81</v>
      </c>
      <c r="L266" s="7">
        <f t="shared" ca="1" si="12"/>
        <v>46297</v>
      </c>
      <c r="M266" s="14">
        <f t="shared" ca="1" si="13"/>
        <v>46297.119078935182</v>
      </c>
      <c r="N266" s="4">
        <f t="shared" si="14"/>
        <v>10</v>
      </c>
    </row>
    <row r="267" spans="1:14" x14ac:dyDescent="0.3">
      <c r="A267" s="9">
        <v>1266</v>
      </c>
      <c r="B267" s="9" t="s">
        <v>49</v>
      </c>
      <c r="C267" s="4" t="s">
        <v>33</v>
      </c>
      <c r="D267" s="4" t="s">
        <v>20</v>
      </c>
      <c r="E267" s="4" t="s">
        <v>21</v>
      </c>
      <c r="F267" s="4">
        <v>17</v>
      </c>
      <c r="G267" s="4">
        <v>365</v>
      </c>
      <c r="H267" s="4">
        <v>2</v>
      </c>
      <c r="I267" s="7">
        <v>46096</v>
      </c>
      <c r="J267" s="7">
        <v>46104</v>
      </c>
      <c r="K267" s="4" t="s">
        <v>81</v>
      </c>
      <c r="L267" s="7">
        <f t="shared" ca="1" si="12"/>
        <v>46297</v>
      </c>
      <c r="M267" s="14">
        <f t="shared" ca="1" si="13"/>
        <v>46297.119078935182</v>
      </c>
      <c r="N267" s="4">
        <f t="shared" si="14"/>
        <v>8</v>
      </c>
    </row>
    <row r="268" spans="1:14" x14ac:dyDescent="0.3">
      <c r="A268" s="9">
        <v>1267</v>
      </c>
      <c r="B268" s="9" t="s">
        <v>29</v>
      </c>
      <c r="C268" s="4" t="s">
        <v>38</v>
      </c>
      <c r="D268" s="4" t="s">
        <v>20</v>
      </c>
      <c r="E268" s="4" t="s">
        <v>48</v>
      </c>
      <c r="F268" s="4">
        <v>1</v>
      </c>
      <c r="G268" s="4">
        <v>50</v>
      </c>
      <c r="H268" s="4">
        <v>0</v>
      </c>
      <c r="I268" s="7">
        <v>46129</v>
      </c>
      <c r="J268" s="7">
        <v>46138</v>
      </c>
      <c r="K268" s="4" t="s">
        <v>79</v>
      </c>
      <c r="L268" s="7">
        <f t="shared" ca="1" si="12"/>
        <v>46297</v>
      </c>
      <c r="M268" s="14">
        <f t="shared" ca="1" si="13"/>
        <v>46297.119078935182</v>
      </c>
      <c r="N268" s="4">
        <f t="shared" si="14"/>
        <v>9</v>
      </c>
    </row>
    <row r="269" spans="1:14" x14ac:dyDescent="0.3">
      <c r="A269" s="9">
        <v>1268</v>
      </c>
      <c r="B269" s="9" t="s">
        <v>41</v>
      </c>
      <c r="C269" s="4" t="s">
        <v>38</v>
      </c>
      <c r="D269" s="4" t="s">
        <v>34</v>
      </c>
      <c r="E269" s="4" t="s">
        <v>6</v>
      </c>
      <c r="F269" s="4">
        <v>10</v>
      </c>
      <c r="G269" s="4">
        <v>46291</v>
      </c>
      <c r="H269" s="4">
        <v>12</v>
      </c>
      <c r="I269" s="7">
        <v>46199</v>
      </c>
      <c r="J269" s="7">
        <v>46202</v>
      </c>
      <c r="K269" s="4" t="s">
        <v>79</v>
      </c>
      <c r="L269" s="7">
        <f t="shared" ca="1" si="12"/>
        <v>46297</v>
      </c>
      <c r="M269" s="14">
        <f t="shared" ca="1" si="13"/>
        <v>46297.119078935182</v>
      </c>
      <c r="N269" s="4">
        <f t="shared" si="14"/>
        <v>3</v>
      </c>
    </row>
    <row r="270" spans="1:14" x14ac:dyDescent="0.3">
      <c r="A270" s="9">
        <v>1269</v>
      </c>
      <c r="B270" s="9" t="s">
        <v>50</v>
      </c>
      <c r="C270" s="4" t="s">
        <v>42</v>
      </c>
      <c r="D270" s="4" t="s">
        <v>24</v>
      </c>
      <c r="E270" s="4" t="s">
        <v>7</v>
      </c>
      <c r="F270" s="4">
        <v>14</v>
      </c>
      <c r="G270" s="4">
        <v>5704</v>
      </c>
      <c r="H270" s="4">
        <v>2</v>
      </c>
      <c r="I270" s="7">
        <v>46129</v>
      </c>
      <c r="J270" s="7">
        <v>46131</v>
      </c>
      <c r="K270" s="4" t="s">
        <v>78</v>
      </c>
      <c r="L270" s="7">
        <f t="shared" ca="1" si="12"/>
        <v>46297</v>
      </c>
      <c r="M270" s="14">
        <f t="shared" ca="1" si="13"/>
        <v>46297.119078935182</v>
      </c>
      <c r="N270" s="4">
        <f t="shared" si="14"/>
        <v>2</v>
      </c>
    </row>
    <row r="271" spans="1:14" x14ac:dyDescent="0.3">
      <c r="A271" s="9">
        <v>1270</v>
      </c>
      <c r="B271" s="9" t="s">
        <v>47</v>
      </c>
      <c r="C271" s="4" t="s">
        <v>42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7">
        <v>46135</v>
      </c>
      <c r="J271" s="7">
        <v>46141</v>
      </c>
      <c r="K271" s="4" t="s">
        <v>81</v>
      </c>
      <c r="L271" s="7">
        <f t="shared" ca="1" si="12"/>
        <v>46297</v>
      </c>
      <c r="M271" s="14">
        <f t="shared" ca="1" si="13"/>
        <v>46297.119078935182</v>
      </c>
      <c r="N271" s="4">
        <f t="shared" si="14"/>
        <v>6</v>
      </c>
    </row>
    <row r="272" spans="1:14" x14ac:dyDescent="0.3">
      <c r="A272" s="9">
        <v>1271</v>
      </c>
      <c r="B272" s="9" t="s">
        <v>39</v>
      </c>
      <c r="C272" s="4" t="s">
        <v>33</v>
      </c>
      <c r="D272" s="4" t="s">
        <v>34</v>
      </c>
      <c r="E272" s="4" t="s">
        <v>9</v>
      </c>
      <c r="F272" s="4">
        <v>20</v>
      </c>
      <c r="G272" s="4">
        <v>36941</v>
      </c>
      <c r="H272" s="4">
        <v>15</v>
      </c>
      <c r="I272" s="7">
        <v>46083</v>
      </c>
      <c r="J272" s="7">
        <v>46085</v>
      </c>
      <c r="K272" s="4" t="s">
        <v>49</v>
      </c>
      <c r="L272" s="7">
        <f t="shared" ca="1" si="12"/>
        <v>46297</v>
      </c>
      <c r="M272" s="14">
        <f t="shared" ca="1" si="13"/>
        <v>46297.119078935182</v>
      </c>
      <c r="N272" s="4">
        <f t="shared" si="14"/>
        <v>2</v>
      </c>
    </row>
    <row r="273" spans="1:14" x14ac:dyDescent="0.3">
      <c r="A273" s="9">
        <v>1272</v>
      </c>
      <c r="B273" s="9" t="s">
        <v>50</v>
      </c>
      <c r="C273" s="4" t="s">
        <v>38</v>
      </c>
      <c r="D273" s="4" t="s">
        <v>34</v>
      </c>
      <c r="E273" s="4" t="s">
        <v>40</v>
      </c>
      <c r="F273" s="4">
        <v>13</v>
      </c>
      <c r="G273" s="4">
        <v>42179</v>
      </c>
      <c r="H273" s="4">
        <v>0</v>
      </c>
      <c r="I273" s="7">
        <v>46078</v>
      </c>
      <c r="J273" s="7">
        <v>46084</v>
      </c>
      <c r="K273" s="4" t="s">
        <v>79</v>
      </c>
      <c r="L273" s="7">
        <f t="shared" ca="1" si="12"/>
        <v>46297</v>
      </c>
      <c r="M273" s="14">
        <f t="shared" ca="1" si="13"/>
        <v>46297.119078935182</v>
      </c>
      <c r="N273" s="4">
        <f t="shared" si="14"/>
        <v>6</v>
      </c>
    </row>
    <row r="274" spans="1:14" x14ac:dyDescent="0.3">
      <c r="A274" s="9">
        <v>1273</v>
      </c>
      <c r="B274" s="9" t="s">
        <v>44</v>
      </c>
      <c r="C274" s="4" t="s">
        <v>27</v>
      </c>
      <c r="D274" s="4" t="s">
        <v>34</v>
      </c>
      <c r="E274" s="4" t="s">
        <v>5</v>
      </c>
      <c r="F274" s="4">
        <v>12</v>
      </c>
      <c r="G274" s="4">
        <v>20618</v>
      </c>
      <c r="H274" s="4">
        <v>12</v>
      </c>
      <c r="I274" s="7">
        <v>46172</v>
      </c>
      <c r="J274" s="7">
        <v>46174</v>
      </c>
      <c r="K274" s="4" t="s">
        <v>79</v>
      </c>
      <c r="L274" s="7">
        <f t="shared" ca="1" si="12"/>
        <v>46297</v>
      </c>
      <c r="M274" s="14">
        <f t="shared" ca="1" si="13"/>
        <v>46297.119078935182</v>
      </c>
      <c r="N274" s="4">
        <f t="shared" si="14"/>
        <v>2</v>
      </c>
    </row>
    <row r="275" spans="1:14" x14ac:dyDescent="0.3">
      <c r="A275" s="9">
        <v>1274</v>
      </c>
      <c r="B275" s="9" t="s">
        <v>28</v>
      </c>
      <c r="C275" s="4" t="s">
        <v>27</v>
      </c>
      <c r="D275" s="4" t="s">
        <v>34</v>
      </c>
      <c r="E275" s="4" t="s">
        <v>40</v>
      </c>
      <c r="F275" s="4">
        <v>13</v>
      </c>
      <c r="G275" s="4">
        <v>36652</v>
      </c>
      <c r="H275" s="4">
        <v>12</v>
      </c>
      <c r="I275" s="7">
        <v>46179</v>
      </c>
      <c r="J275" s="7">
        <v>46186</v>
      </c>
      <c r="K275" s="4" t="s">
        <v>79</v>
      </c>
      <c r="L275" s="7">
        <f t="shared" ca="1" si="12"/>
        <v>46297</v>
      </c>
      <c r="M275" s="14">
        <f t="shared" ca="1" si="13"/>
        <v>46297.119078935182</v>
      </c>
      <c r="N275" s="4">
        <f t="shared" si="14"/>
        <v>7</v>
      </c>
    </row>
    <row r="276" spans="1:14" x14ac:dyDescent="0.3">
      <c r="A276" s="9">
        <v>1275</v>
      </c>
      <c r="B276" s="9" t="s">
        <v>22</v>
      </c>
      <c r="C276" s="4" t="s">
        <v>31</v>
      </c>
      <c r="D276" s="4" t="s">
        <v>20</v>
      </c>
      <c r="E276" s="4" t="s">
        <v>48</v>
      </c>
      <c r="F276" s="4">
        <v>20</v>
      </c>
      <c r="G276" s="4">
        <v>451</v>
      </c>
      <c r="H276" s="4">
        <v>15</v>
      </c>
      <c r="I276" s="7">
        <v>46092</v>
      </c>
      <c r="J276" s="7">
        <v>46094</v>
      </c>
      <c r="K276" s="4" t="s">
        <v>79</v>
      </c>
      <c r="L276" s="7">
        <f t="shared" ca="1" si="12"/>
        <v>46297</v>
      </c>
      <c r="M276" s="14">
        <f t="shared" ca="1" si="13"/>
        <v>46297.119078935182</v>
      </c>
      <c r="N276" s="4">
        <f t="shared" si="14"/>
        <v>2</v>
      </c>
    </row>
    <row r="277" spans="1:14" x14ac:dyDescent="0.3">
      <c r="A277" s="9">
        <v>1276</v>
      </c>
      <c r="B277" s="9" t="s">
        <v>39</v>
      </c>
      <c r="C277" s="4" t="s">
        <v>19</v>
      </c>
      <c r="D277" s="4" t="s">
        <v>24</v>
      </c>
      <c r="E277" s="4" t="s">
        <v>7</v>
      </c>
      <c r="F277" s="4">
        <v>1</v>
      </c>
      <c r="G277" s="4">
        <v>13437</v>
      </c>
      <c r="H277" s="4">
        <v>15</v>
      </c>
      <c r="I277" s="7">
        <v>46097</v>
      </c>
      <c r="J277" s="7">
        <v>46099</v>
      </c>
      <c r="K277" s="4" t="s">
        <v>80</v>
      </c>
      <c r="L277" s="7">
        <f t="shared" ca="1" si="12"/>
        <v>46297</v>
      </c>
      <c r="M277" s="14">
        <f t="shared" ca="1" si="13"/>
        <v>46297.119078935182</v>
      </c>
      <c r="N277" s="4">
        <f t="shared" si="14"/>
        <v>2</v>
      </c>
    </row>
    <row r="278" spans="1:14" x14ac:dyDescent="0.3">
      <c r="A278" s="9">
        <v>1277</v>
      </c>
      <c r="B278" s="9" t="s">
        <v>56</v>
      </c>
      <c r="C278" s="4" t="s">
        <v>23</v>
      </c>
      <c r="D278" s="4" t="s">
        <v>20</v>
      </c>
      <c r="E278" s="4" t="s">
        <v>36</v>
      </c>
      <c r="F278" s="4">
        <v>14</v>
      </c>
      <c r="G278" s="4">
        <v>276</v>
      </c>
      <c r="H278" s="4">
        <v>0</v>
      </c>
      <c r="I278" s="7">
        <v>46086</v>
      </c>
      <c r="J278" s="7">
        <v>46089</v>
      </c>
      <c r="K278" s="4" t="s">
        <v>78</v>
      </c>
      <c r="L278" s="7">
        <f t="shared" ca="1" si="12"/>
        <v>46297</v>
      </c>
      <c r="M278" s="14">
        <f t="shared" ca="1" si="13"/>
        <v>46297.119078935182</v>
      </c>
      <c r="N278" s="4">
        <f t="shared" si="14"/>
        <v>3</v>
      </c>
    </row>
    <row r="279" spans="1:14" x14ac:dyDescent="0.3">
      <c r="A279" s="9">
        <v>1278</v>
      </c>
      <c r="B279" s="9" t="s">
        <v>45</v>
      </c>
      <c r="C279" s="4" t="s">
        <v>26</v>
      </c>
      <c r="D279" s="4" t="s">
        <v>34</v>
      </c>
      <c r="E279" s="4" t="s">
        <v>12</v>
      </c>
      <c r="F279" s="4">
        <v>4</v>
      </c>
      <c r="G279" s="4">
        <v>20639</v>
      </c>
      <c r="H279" s="4">
        <v>7</v>
      </c>
      <c r="I279" s="7">
        <v>46180</v>
      </c>
      <c r="J279" s="7">
        <v>46186</v>
      </c>
      <c r="K279" s="4" t="s">
        <v>79</v>
      </c>
      <c r="L279" s="7">
        <f t="shared" ca="1" si="12"/>
        <v>46297</v>
      </c>
      <c r="M279" s="14">
        <f t="shared" ca="1" si="13"/>
        <v>46297.119078935182</v>
      </c>
      <c r="N279" s="4">
        <f t="shared" si="14"/>
        <v>6</v>
      </c>
    </row>
    <row r="280" spans="1:14" x14ac:dyDescent="0.3">
      <c r="A280" s="9">
        <v>1279</v>
      </c>
      <c r="B280" s="9" t="s">
        <v>53</v>
      </c>
      <c r="C280" s="4" t="s">
        <v>33</v>
      </c>
      <c r="D280" s="4" t="s">
        <v>34</v>
      </c>
      <c r="E280" s="4" t="s">
        <v>6</v>
      </c>
      <c r="F280" s="4">
        <v>20</v>
      </c>
      <c r="G280" s="4">
        <v>49042</v>
      </c>
      <c r="H280" s="4">
        <v>2</v>
      </c>
      <c r="I280" s="7">
        <v>46124</v>
      </c>
      <c r="J280" s="7">
        <v>46126</v>
      </c>
      <c r="K280" s="4" t="s">
        <v>78</v>
      </c>
      <c r="L280" s="7">
        <f t="shared" ca="1" si="12"/>
        <v>46297</v>
      </c>
      <c r="M280" s="14">
        <f t="shared" ca="1" si="13"/>
        <v>46297.119078935182</v>
      </c>
      <c r="N280" s="4">
        <f t="shared" si="14"/>
        <v>2</v>
      </c>
    </row>
    <row r="281" spans="1:14" x14ac:dyDescent="0.3">
      <c r="A281" s="9">
        <v>1280</v>
      </c>
      <c r="B281" s="9" t="s">
        <v>56</v>
      </c>
      <c r="C281" s="4" t="s">
        <v>38</v>
      </c>
      <c r="D281" s="4" t="s">
        <v>20</v>
      </c>
      <c r="E281" s="4" t="s">
        <v>51</v>
      </c>
      <c r="F281" s="4">
        <v>9</v>
      </c>
      <c r="G281" s="4">
        <v>50</v>
      </c>
      <c r="H281" s="4">
        <v>7</v>
      </c>
      <c r="I281" s="7">
        <v>46085</v>
      </c>
      <c r="J281" s="7">
        <v>46095</v>
      </c>
      <c r="K281" s="4" t="s">
        <v>81</v>
      </c>
      <c r="L281" s="7">
        <f t="shared" ca="1" si="12"/>
        <v>46297</v>
      </c>
      <c r="M281" s="14">
        <f t="shared" ca="1" si="13"/>
        <v>46297.119078935182</v>
      </c>
      <c r="N281" s="4">
        <f t="shared" si="14"/>
        <v>10</v>
      </c>
    </row>
    <row r="282" spans="1:14" x14ac:dyDescent="0.3">
      <c r="A282" s="9">
        <v>1281</v>
      </c>
      <c r="B282" s="9" t="s">
        <v>53</v>
      </c>
      <c r="C282" s="4" t="s">
        <v>23</v>
      </c>
      <c r="D282" s="4" t="s">
        <v>20</v>
      </c>
      <c r="E282" s="4" t="s">
        <v>48</v>
      </c>
      <c r="F282" s="4">
        <v>6</v>
      </c>
      <c r="G282" s="4">
        <v>253</v>
      </c>
      <c r="H282" s="4">
        <v>0</v>
      </c>
      <c r="I282" s="7">
        <v>46055</v>
      </c>
      <c r="J282" s="7">
        <v>46063</v>
      </c>
      <c r="K282" s="4" t="s">
        <v>80</v>
      </c>
      <c r="L282" s="7">
        <f t="shared" ca="1" si="12"/>
        <v>46297</v>
      </c>
      <c r="M282" s="14">
        <f t="shared" ca="1" si="13"/>
        <v>46297.119078935182</v>
      </c>
      <c r="N282" s="4">
        <f t="shared" si="14"/>
        <v>8</v>
      </c>
    </row>
    <row r="283" spans="1:14" x14ac:dyDescent="0.3">
      <c r="A283" s="9">
        <v>1282</v>
      </c>
      <c r="B283" s="9" t="s">
        <v>54</v>
      </c>
      <c r="C283" s="4" t="s">
        <v>42</v>
      </c>
      <c r="D283" s="4" t="s">
        <v>24</v>
      </c>
      <c r="E283" s="4" t="s">
        <v>43</v>
      </c>
      <c r="F283" s="4">
        <v>12</v>
      </c>
      <c r="G283" s="4">
        <v>3178</v>
      </c>
      <c r="H283" s="4">
        <v>10</v>
      </c>
      <c r="I283" s="7">
        <v>46176</v>
      </c>
      <c r="J283" s="7">
        <v>46177</v>
      </c>
      <c r="K283" s="4" t="s">
        <v>49</v>
      </c>
      <c r="L283" s="7">
        <f t="shared" ca="1" si="12"/>
        <v>46297</v>
      </c>
      <c r="M283" s="14">
        <f t="shared" ca="1" si="13"/>
        <v>46297.119078935182</v>
      </c>
      <c r="N283" s="4">
        <f t="shared" si="14"/>
        <v>1</v>
      </c>
    </row>
    <row r="284" spans="1:14" x14ac:dyDescent="0.3">
      <c r="A284" s="9">
        <v>1283</v>
      </c>
      <c r="B284" s="9" t="s">
        <v>39</v>
      </c>
      <c r="C284" s="4" t="s">
        <v>19</v>
      </c>
      <c r="D284" s="4" t="s">
        <v>24</v>
      </c>
      <c r="E284" s="4" t="s">
        <v>10</v>
      </c>
      <c r="F284" s="4">
        <v>6</v>
      </c>
      <c r="G284" s="4">
        <v>1167</v>
      </c>
      <c r="H284" s="4">
        <v>2</v>
      </c>
      <c r="I284" s="7">
        <v>46100</v>
      </c>
      <c r="J284" s="7">
        <v>46106</v>
      </c>
      <c r="K284" s="4" t="s">
        <v>78</v>
      </c>
      <c r="L284" s="7">
        <f t="shared" ca="1" si="12"/>
        <v>46297</v>
      </c>
      <c r="M284" s="14">
        <f t="shared" ca="1" si="13"/>
        <v>46297.119078935182</v>
      </c>
      <c r="N284" s="4">
        <f t="shared" si="14"/>
        <v>6</v>
      </c>
    </row>
    <row r="285" spans="1:14" x14ac:dyDescent="0.3">
      <c r="A285" s="9">
        <v>1284</v>
      </c>
      <c r="B285" s="9" t="s">
        <v>39</v>
      </c>
      <c r="C285" s="4" t="s">
        <v>27</v>
      </c>
      <c r="D285" s="4" t="s">
        <v>20</v>
      </c>
      <c r="E285" s="4" t="s">
        <v>37</v>
      </c>
      <c r="F285" s="4">
        <v>16</v>
      </c>
      <c r="G285" s="4">
        <v>419</v>
      </c>
      <c r="H285" s="4">
        <v>2</v>
      </c>
      <c r="I285" s="7">
        <v>46082</v>
      </c>
      <c r="J285" s="7">
        <v>46090</v>
      </c>
      <c r="K285" s="4" t="s">
        <v>78</v>
      </c>
      <c r="L285" s="7">
        <f t="shared" ca="1" si="12"/>
        <v>46297</v>
      </c>
      <c r="M285" s="14">
        <f t="shared" ca="1" si="13"/>
        <v>46297.119078935182</v>
      </c>
      <c r="N285" s="4">
        <f t="shared" si="14"/>
        <v>8</v>
      </c>
    </row>
    <row r="286" spans="1:14" x14ac:dyDescent="0.3">
      <c r="A286" s="9">
        <v>1285</v>
      </c>
      <c r="B286" s="9" t="s">
        <v>32</v>
      </c>
      <c r="C286" s="4" t="s">
        <v>38</v>
      </c>
      <c r="D286" s="4" t="s">
        <v>20</v>
      </c>
      <c r="E286" s="4" t="s">
        <v>36</v>
      </c>
      <c r="F286" s="4">
        <v>7</v>
      </c>
      <c r="G286" s="4">
        <v>439</v>
      </c>
      <c r="H286" s="4">
        <v>15</v>
      </c>
      <c r="I286" s="7">
        <v>46055</v>
      </c>
      <c r="J286" s="7">
        <v>46058</v>
      </c>
      <c r="K286" s="4" t="s">
        <v>79</v>
      </c>
      <c r="L286" s="7">
        <f t="shared" ca="1" si="12"/>
        <v>46297</v>
      </c>
      <c r="M286" s="14">
        <f t="shared" ca="1" si="13"/>
        <v>46297.119078935182</v>
      </c>
      <c r="N286" s="4">
        <f t="shared" si="14"/>
        <v>3</v>
      </c>
    </row>
    <row r="287" spans="1:14" x14ac:dyDescent="0.3">
      <c r="A287" s="9">
        <v>1286</v>
      </c>
      <c r="B287" s="9" t="s">
        <v>44</v>
      </c>
      <c r="C287" s="4" t="s">
        <v>23</v>
      </c>
      <c r="D287" s="4" t="s">
        <v>24</v>
      </c>
      <c r="E287" s="4" t="s">
        <v>11</v>
      </c>
      <c r="F287" s="4">
        <v>9</v>
      </c>
      <c r="G287" s="4">
        <v>1340</v>
      </c>
      <c r="H287" s="4">
        <v>2</v>
      </c>
      <c r="I287" s="7">
        <v>46168</v>
      </c>
      <c r="J287" s="7">
        <v>46173</v>
      </c>
      <c r="K287" s="4" t="s">
        <v>78</v>
      </c>
      <c r="L287" s="7">
        <f t="shared" ca="1" si="12"/>
        <v>46297</v>
      </c>
      <c r="M287" s="14">
        <f t="shared" ca="1" si="13"/>
        <v>46297.119078935182</v>
      </c>
      <c r="N287" s="4">
        <f t="shared" si="14"/>
        <v>5</v>
      </c>
    </row>
    <row r="288" spans="1:14" x14ac:dyDescent="0.3">
      <c r="A288" s="9">
        <v>1287</v>
      </c>
      <c r="B288" s="9" t="s">
        <v>56</v>
      </c>
      <c r="C288" s="4" t="s">
        <v>31</v>
      </c>
      <c r="D288" s="4" t="s">
        <v>20</v>
      </c>
      <c r="E288" s="4" t="s">
        <v>21</v>
      </c>
      <c r="F288" s="4">
        <v>15</v>
      </c>
      <c r="G288" s="4">
        <v>251</v>
      </c>
      <c r="H288" s="4">
        <v>2</v>
      </c>
      <c r="I288" s="7">
        <v>46116</v>
      </c>
      <c r="J288" s="7">
        <v>46122</v>
      </c>
      <c r="K288" s="4" t="s">
        <v>81</v>
      </c>
      <c r="L288" s="7">
        <f t="shared" ca="1" si="12"/>
        <v>46297</v>
      </c>
      <c r="M288" s="14">
        <f t="shared" ca="1" si="13"/>
        <v>46297.119078935182</v>
      </c>
      <c r="N288" s="4">
        <f t="shared" si="14"/>
        <v>6</v>
      </c>
    </row>
    <row r="289" spans="1:14" x14ac:dyDescent="0.3">
      <c r="A289" s="9">
        <v>1288</v>
      </c>
      <c r="B289" s="9" t="s">
        <v>52</v>
      </c>
      <c r="C289" s="4" t="s">
        <v>26</v>
      </c>
      <c r="D289" s="4" t="s">
        <v>34</v>
      </c>
      <c r="E289" s="4" t="s">
        <v>9</v>
      </c>
      <c r="F289" s="4">
        <v>14</v>
      </c>
      <c r="G289" s="4">
        <v>35601</v>
      </c>
      <c r="H289" s="4">
        <v>10</v>
      </c>
      <c r="I289" s="7">
        <v>46179</v>
      </c>
      <c r="J289" s="7">
        <v>46187</v>
      </c>
      <c r="K289" s="4" t="s">
        <v>49</v>
      </c>
      <c r="L289" s="7">
        <f t="shared" ca="1" si="12"/>
        <v>46297</v>
      </c>
      <c r="M289" s="14">
        <f t="shared" ca="1" si="13"/>
        <v>46297.119078935182</v>
      </c>
      <c r="N289" s="4">
        <f t="shared" si="14"/>
        <v>8</v>
      </c>
    </row>
    <row r="290" spans="1:14" x14ac:dyDescent="0.3">
      <c r="A290" s="9">
        <v>1289</v>
      </c>
      <c r="B290" s="9" t="s">
        <v>28</v>
      </c>
      <c r="C290" s="4" t="s">
        <v>26</v>
      </c>
      <c r="D290" s="4" t="s">
        <v>34</v>
      </c>
      <c r="E290" s="4" t="s">
        <v>6</v>
      </c>
      <c r="F290" s="4">
        <v>19</v>
      </c>
      <c r="G290" s="4">
        <v>25336</v>
      </c>
      <c r="H290" s="4">
        <v>2</v>
      </c>
      <c r="I290" s="7">
        <v>46122</v>
      </c>
      <c r="J290" s="7">
        <v>46130</v>
      </c>
      <c r="K290" s="4" t="s">
        <v>80</v>
      </c>
      <c r="L290" s="7">
        <f t="shared" ca="1" si="12"/>
        <v>46297</v>
      </c>
      <c r="M290" s="14">
        <f t="shared" ca="1" si="13"/>
        <v>46297.119078935182</v>
      </c>
      <c r="N290" s="4">
        <f t="shared" si="14"/>
        <v>8</v>
      </c>
    </row>
    <row r="291" spans="1:14" x14ac:dyDescent="0.3">
      <c r="A291" s="9">
        <v>1290</v>
      </c>
      <c r="B291" s="9" t="s">
        <v>28</v>
      </c>
      <c r="C291" s="4" t="s">
        <v>26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7">
        <v>46110</v>
      </c>
      <c r="J291" s="7">
        <v>46111</v>
      </c>
      <c r="K291" s="4" t="s">
        <v>49</v>
      </c>
      <c r="L291" s="7">
        <f t="shared" ca="1" si="12"/>
        <v>46297</v>
      </c>
      <c r="M291" s="14">
        <f t="shared" ca="1" si="13"/>
        <v>46297.119078935182</v>
      </c>
      <c r="N291" s="4">
        <f t="shared" si="14"/>
        <v>1</v>
      </c>
    </row>
    <row r="292" spans="1:14" x14ac:dyDescent="0.3">
      <c r="A292" s="9">
        <v>1291</v>
      </c>
      <c r="B292" s="9" t="s">
        <v>25</v>
      </c>
      <c r="C292" s="4" t="s">
        <v>23</v>
      </c>
      <c r="D292" s="4" t="s">
        <v>20</v>
      </c>
      <c r="E292" s="4" t="s">
        <v>36</v>
      </c>
      <c r="F292" s="4">
        <v>17</v>
      </c>
      <c r="G292" s="4">
        <v>415</v>
      </c>
      <c r="H292" s="4">
        <v>5</v>
      </c>
      <c r="I292" s="7">
        <v>46137</v>
      </c>
      <c r="J292" s="7">
        <v>46141</v>
      </c>
      <c r="K292" s="4" t="s">
        <v>79</v>
      </c>
      <c r="L292" s="7">
        <f t="shared" ca="1" si="12"/>
        <v>46297</v>
      </c>
      <c r="M292" s="14">
        <f t="shared" ca="1" si="13"/>
        <v>46297.119078935182</v>
      </c>
      <c r="N292" s="4">
        <f t="shared" si="14"/>
        <v>4</v>
      </c>
    </row>
    <row r="293" spans="1:14" x14ac:dyDescent="0.3">
      <c r="A293" s="9">
        <v>1292</v>
      </c>
      <c r="B293" s="9" t="s">
        <v>52</v>
      </c>
      <c r="C293" s="4" t="s">
        <v>33</v>
      </c>
      <c r="D293" s="4" t="s">
        <v>34</v>
      </c>
      <c r="E293" s="4" t="s">
        <v>12</v>
      </c>
      <c r="F293" s="4">
        <v>11</v>
      </c>
      <c r="G293" s="4">
        <v>25158</v>
      </c>
      <c r="H293" s="4">
        <v>5</v>
      </c>
      <c r="I293" s="7">
        <v>46186</v>
      </c>
      <c r="J293" s="7">
        <v>46193</v>
      </c>
      <c r="K293" s="4" t="s">
        <v>79</v>
      </c>
      <c r="L293" s="7">
        <f t="shared" ca="1" si="12"/>
        <v>46297</v>
      </c>
      <c r="M293" s="14">
        <f t="shared" ca="1" si="13"/>
        <v>46297.119078935182</v>
      </c>
      <c r="N293" s="4">
        <f t="shared" si="14"/>
        <v>7</v>
      </c>
    </row>
    <row r="294" spans="1:14" x14ac:dyDescent="0.3">
      <c r="A294" s="9">
        <v>1293</v>
      </c>
      <c r="B294" s="9" t="s">
        <v>47</v>
      </c>
      <c r="C294" s="4" t="s">
        <v>42</v>
      </c>
      <c r="D294" s="4" t="s">
        <v>24</v>
      </c>
      <c r="E294" s="4" t="s">
        <v>10</v>
      </c>
      <c r="F294" s="4">
        <v>7</v>
      </c>
      <c r="G294" s="4">
        <v>11481</v>
      </c>
      <c r="H294" s="4">
        <v>15</v>
      </c>
      <c r="I294" s="7">
        <v>46045</v>
      </c>
      <c r="J294" s="7">
        <v>46050</v>
      </c>
      <c r="K294" s="4" t="s">
        <v>79</v>
      </c>
      <c r="L294" s="7">
        <f t="shared" ca="1" si="12"/>
        <v>46297</v>
      </c>
      <c r="M294" s="14">
        <f t="shared" ca="1" si="13"/>
        <v>46297.119078935182</v>
      </c>
      <c r="N294" s="4">
        <f t="shared" si="14"/>
        <v>5</v>
      </c>
    </row>
    <row r="295" spans="1:14" x14ac:dyDescent="0.3">
      <c r="A295" s="9">
        <v>1294</v>
      </c>
      <c r="B295" s="9" t="s">
        <v>25</v>
      </c>
      <c r="C295" s="4" t="s">
        <v>19</v>
      </c>
      <c r="D295" s="4" t="s">
        <v>24</v>
      </c>
      <c r="E295" s="4" t="s">
        <v>7</v>
      </c>
      <c r="F295" s="4">
        <v>8</v>
      </c>
      <c r="G295" s="4">
        <v>14448</v>
      </c>
      <c r="H295" s="4">
        <v>10</v>
      </c>
      <c r="I295" s="7">
        <v>46181</v>
      </c>
      <c r="J295" s="7">
        <v>46189</v>
      </c>
      <c r="K295" s="4" t="s">
        <v>78</v>
      </c>
      <c r="L295" s="7">
        <f t="shared" ca="1" si="12"/>
        <v>46297</v>
      </c>
      <c r="M295" s="14">
        <f t="shared" ca="1" si="13"/>
        <v>46297.119078935182</v>
      </c>
      <c r="N295" s="4">
        <f t="shared" si="14"/>
        <v>8</v>
      </c>
    </row>
    <row r="296" spans="1:14" x14ac:dyDescent="0.3">
      <c r="A296" s="9">
        <v>1295</v>
      </c>
      <c r="B296" s="9" t="s">
        <v>50</v>
      </c>
      <c r="C296" s="4" t="s">
        <v>38</v>
      </c>
      <c r="D296" s="4" t="s">
        <v>24</v>
      </c>
      <c r="E296" s="4" t="s">
        <v>8</v>
      </c>
      <c r="F296" s="4">
        <v>16</v>
      </c>
      <c r="G296" s="4">
        <v>11935</v>
      </c>
      <c r="H296" s="4">
        <v>12</v>
      </c>
      <c r="I296" s="7">
        <v>46157</v>
      </c>
      <c r="J296" s="7">
        <v>46162</v>
      </c>
      <c r="K296" s="4" t="s">
        <v>78</v>
      </c>
      <c r="L296" s="7">
        <f t="shared" ca="1" si="12"/>
        <v>46297</v>
      </c>
      <c r="M296" s="14">
        <f t="shared" ca="1" si="13"/>
        <v>46297.119078935182</v>
      </c>
      <c r="N296" s="4">
        <f t="shared" si="14"/>
        <v>5</v>
      </c>
    </row>
    <row r="297" spans="1:14" x14ac:dyDescent="0.3">
      <c r="A297" s="9">
        <v>1296</v>
      </c>
      <c r="B297" s="9" t="s">
        <v>28</v>
      </c>
      <c r="C297" s="4" t="s">
        <v>38</v>
      </c>
      <c r="D297" s="4" t="s">
        <v>20</v>
      </c>
      <c r="E297" s="4" t="s">
        <v>48</v>
      </c>
      <c r="F297" s="4">
        <v>6</v>
      </c>
      <c r="G297" s="4">
        <v>201</v>
      </c>
      <c r="H297" s="4">
        <v>0</v>
      </c>
      <c r="I297" s="7">
        <v>46063</v>
      </c>
      <c r="J297" s="7">
        <v>46072</v>
      </c>
      <c r="K297" s="4" t="s">
        <v>81</v>
      </c>
      <c r="L297" s="7">
        <f t="shared" ca="1" si="12"/>
        <v>46297</v>
      </c>
      <c r="M297" s="14">
        <f t="shared" ca="1" si="13"/>
        <v>46297.119078935182</v>
      </c>
      <c r="N297" s="4">
        <f t="shared" si="14"/>
        <v>9</v>
      </c>
    </row>
    <row r="298" spans="1:14" x14ac:dyDescent="0.3">
      <c r="A298" s="9">
        <v>1297</v>
      </c>
      <c r="B298" s="9" t="s">
        <v>52</v>
      </c>
      <c r="C298" s="4" t="s">
        <v>27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7">
        <v>46178</v>
      </c>
      <c r="J298" s="7">
        <v>46187</v>
      </c>
      <c r="K298" s="4" t="s">
        <v>49</v>
      </c>
      <c r="L298" s="7">
        <f t="shared" ca="1" si="12"/>
        <v>46297</v>
      </c>
      <c r="M298" s="14">
        <f t="shared" ca="1" si="13"/>
        <v>46297.119078935182</v>
      </c>
      <c r="N298" s="4">
        <f t="shared" si="14"/>
        <v>9</v>
      </c>
    </row>
    <row r="299" spans="1:14" x14ac:dyDescent="0.3">
      <c r="A299" s="9">
        <v>1298</v>
      </c>
      <c r="B299" s="9" t="s">
        <v>25</v>
      </c>
      <c r="C299" s="4" t="s">
        <v>19</v>
      </c>
      <c r="D299" s="4" t="s">
        <v>34</v>
      </c>
      <c r="E299" s="4" t="s">
        <v>12</v>
      </c>
      <c r="F299" s="4">
        <v>19</v>
      </c>
      <c r="G299" s="4">
        <v>20745</v>
      </c>
      <c r="H299" s="4">
        <v>2</v>
      </c>
      <c r="I299" s="7">
        <v>46083</v>
      </c>
      <c r="J299" s="7">
        <v>46093</v>
      </c>
      <c r="K299" s="4" t="s">
        <v>80</v>
      </c>
      <c r="L299" s="7">
        <f t="shared" ca="1" si="12"/>
        <v>46297</v>
      </c>
      <c r="M299" s="14">
        <f t="shared" ca="1" si="13"/>
        <v>46297.119078935182</v>
      </c>
      <c r="N299" s="4">
        <f t="shared" si="14"/>
        <v>10</v>
      </c>
    </row>
    <row r="300" spans="1:14" x14ac:dyDescent="0.3">
      <c r="A300" s="9">
        <v>1299</v>
      </c>
      <c r="B300" s="9" t="s">
        <v>28</v>
      </c>
      <c r="C300" s="4" t="s">
        <v>23</v>
      </c>
      <c r="D300" s="4" t="s">
        <v>24</v>
      </c>
      <c r="E300" s="4" t="s">
        <v>11</v>
      </c>
      <c r="F300" s="4">
        <v>8</v>
      </c>
      <c r="G300" s="4">
        <v>8783</v>
      </c>
      <c r="H300" s="4">
        <v>2</v>
      </c>
      <c r="I300" s="7">
        <v>46123</v>
      </c>
      <c r="J300" s="7">
        <v>46132</v>
      </c>
      <c r="K300" s="4" t="s">
        <v>78</v>
      </c>
      <c r="L300" s="7">
        <f t="shared" ca="1" si="12"/>
        <v>46297</v>
      </c>
      <c r="M300" s="14">
        <f t="shared" ca="1" si="13"/>
        <v>46297.119078935182</v>
      </c>
      <c r="N300" s="4">
        <f t="shared" si="14"/>
        <v>9</v>
      </c>
    </row>
    <row r="301" spans="1:14" x14ac:dyDescent="0.3">
      <c r="A301" s="9">
        <v>1300</v>
      </c>
      <c r="B301" s="9" t="s">
        <v>45</v>
      </c>
      <c r="C301" s="4" t="s">
        <v>33</v>
      </c>
      <c r="D301" s="4" t="s">
        <v>34</v>
      </c>
      <c r="E301" s="4" t="s">
        <v>6</v>
      </c>
      <c r="F301" s="4">
        <v>20</v>
      </c>
      <c r="G301" s="4">
        <v>1392</v>
      </c>
      <c r="H301" s="4">
        <v>2</v>
      </c>
      <c r="I301" s="7">
        <v>46110</v>
      </c>
      <c r="J301" s="7">
        <v>46117</v>
      </c>
      <c r="K301" s="4" t="s">
        <v>80</v>
      </c>
      <c r="L301" s="7">
        <f t="shared" ca="1" si="12"/>
        <v>46297</v>
      </c>
      <c r="M301" s="14">
        <f t="shared" ca="1" si="13"/>
        <v>46297.119078935182</v>
      </c>
      <c r="N301" s="4">
        <f t="shared" si="14"/>
        <v>7</v>
      </c>
    </row>
    <row r="302" spans="1:14" x14ac:dyDescent="0.3">
      <c r="A302" s="9">
        <v>1301</v>
      </c>
      <c r="B302" s="9" t="s">
        <v>52</v>
      </c>
      <c r="C302" s="4" t="s">
        <v>23</v>
      </c>
      <c r="D302" s="4" t="s">
        <v>24</v>
      </c>
      <c r="E302" s="4" t="s">
        <v>8</v>
      </c>
      <c r="F302" s="4">
        <v>3</v>
      </c>
      <c r="G302" s="4">
        <v>7020</v>
      </c>
      <c r="H302" s="4">
        <v>10</v>
      </c>
      <c r="I302" s="7">
        <v>46028</v>
      </c>
      <c r="J302" s="7">
        <v>46038</v>
      </c>
      <c r="K302" s="4" t="s">
        <v>80</v>
      </c>
      <c r="L302" s="7">
        <f t="shared" ca="1" si="12"/>
        <v>46297</v>
      </c>
      <c r="M302" s="14">
        <f t="shared" ca="1" si="13"/>
        <v>46297.119078935182</v>
      </c>
      <c r="N302" s="4">
        <f t="shared" si="14"/>
        <v>10</v>
      </c>
    </row>
    <row r="303" spans="1:14" x14ac:dyDescent="0.3">
      <c r="A303" s="9">
        <v>1302</v>
      </c>
      <c r="B303" s="9" t="s">
        <v>54</v>
      </c>
      <c r="C303" s="4" t="s">
        <v>19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7">
        <v>46163</v>
      </c>
      <c r="J303" s="7">
        <v>46172</v>
      </c>
      <c r="K303" s="4" t="s">
        <v>80</v>
      </c>
      <c r="L303" s="7">
        <f t="shared" ca="1" si="12"/>
        <v>46297</v>
      </c>
      <c r="M303" s="14">
        <f t="shared" ca="1" si="13"/>
        <v>46297.119078935182</v>
      </c>
      <c r="N303" s="4">
        <f t="shared" si="14"/>
        <v>9</v>
      </c>
    </row>
    <row r="304" spans="1:14" x14ac:dyDescent="0.3">
      <c r="A304" s="9">
        <v>1303</v>
      </c>
      <c r="B304" s="9" t="s">
        <v>54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7">
        <v>46124</v>
      </c>
      <c r="J304" s="7">
        <v>46127</v>
      </c>
      <c r="K304" s="4" t="s">
        <v>78</v>
      </c>
      <c r="L304" s="7">
        <f t="shared" ca="1" si="12"/>
        <v>46297</v>
      </c>
      <c r="M304" s="14">
        <f t="shared" ca="1" si="13"/>
        <v>46297.119078935182</v>
      </c>
      <c r="N304" s="4">
        <f t="shared" si="14"/>
        <v>3</v>
      </c>
    </row>
    <row r="305" spans="1:14" x14ac:dyDescent="0.3">
      <c r="A305" s="9">
        <v>1304</v>
      </c>
      <c r="B305" s="9" t="s">
        <v>56</v>
      </c>
      <c r="C305" s="4" t="s">
        <v>27</v>
      </c>
      <c r="D305" s="4" t="s">
        <v>20</v>
      </c>
      <c r="E305" s="4" t="s">
        <v>36</v>
      </c>
      <c r="F305" s="4">
        <v>20</v>
      </c>
      <c r="G305" s="4">
        <v>368</v>
      </c>
      <c r="H305" s="4">
        <v>7</v>
      </c>
      <c r="I305" s="7">
        <v>46042</v>
      </c>
      <c r="J305" s="7">
        <v>46051</v>
      </c>
      <c r="K305" s="4" t="s">
        <v>81</v>
      </c>
      <c r="L305" s="7">
        <f t="shared" ca="1" si="12"/>
        <v>46297</v>
      </c>
      <c r="M305" s="14">
        <f t="shared" ca="1" si="13"/>
        <v>46297.119078935182</v>
      </c>
      <c r="N305" s="4">
        <f t="shared" si="14"/>
        <v>9</v>
      </c>
    </row>
    <row r="306" spans="1:14" x14ac:dyDescent="0.3">
      <c r="A306" s="9">
        <v>1305</v>
      </c>
      <c r="B306" s="9" t="s">
        <v>55</v>
      </c>
      <c r="C306" s="4" t="s">
        <v>31</v>
      </c>
      <c r="D306" s="4" t="s">
        <v>34</v>
      </c>
      <c r="E306" s="4" t="s">
        <v>9</v>
      </c>
      <c r="F306" s="4">
        <v>20</v>
      </c>
      <c r="G306" s="4">
        <v>31406</v>
      </c>
      <c r="H306" s="4">
        <v>15</v>
      </c>
      <c r="I306" s="7">
        <v>46146</v>
      </c>
      <c r="J306" s="7">
        <v>46154</v>
      </c>
      <c r="K306" s="4" t="s">
        <v>81</v>
      </c>
      <c r="L306" s="7">
        <f t="shared" ca="1" si="12"/>
        <v>46297</v>
      </c>
      <c r="M306" s="14">
        <f t="shared" ca="1" si="13"/>
        <v>46297.119078935182</v>
      </c>
      <c r="N306" s="4">
        <f t="shared" si="14"/>
        <v>8</v>
      </c>
    </row>
    <row r="307" spans="1:14" x14ac:dyDescent="0.3">
      <c r="A307" s="9">
        <v>1306</v>
      </c>
      <c r="B307" s="9" t="s">
        <v>52</v>
      </c>
      <c r="C307" s="4" t="s">
        <v>42</v>
      </c>
      <c r="D307" s="4" t="s">
        <v>20</v>
      </c>
      <c r="E307" s="4" t="s">
        <v>36</v>
      </c>
      <c r="F307" s="4">
        <v>1</v>
      </c>
      <c r="G307" s="4">
        <v>332</v>
      </c>
      <c r="H307" s="4">
        <v>0</v>
      </c>
      <c r="I307" s="7">
        <v>46191</v>
      </c>
      <c r="J307" s="7">
        <v>46194</v>
      </c>
      <c r="K307" s="4" t="s">
        <v>79</v>
      </c>
      <c r="L307" s="7">
        <f t="shared" ca="1" si="12"/>
        <v>46297</v>
      </c>
      <c r="M307" s="14">
        <f t="shared" ca="1" si="13"/>
        <v>46297.119078935182</v>
      </c>
      <c r="N307" s="4">
        <f t="shared" si="14"/>
        <v>3</v>
      </c>
    </row>
    <row r="308" spans="1:14" x14ac:dyDescent="0.3">
      <c r="A308" s="9">
        <v>1307</v>
      </c>
      <c r="B308" s="9" t="s">
        <v>54</v>
      </c>
      <c r="C308" s="4" t="s">
        <v>42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7">
        <v>46048</v>
      </c>
      <c r="J308" s="7">
        <v>46051</v>
      </c>
      <c r="K308" s="4" t="s">
        <v>81</v>
      </c>
      <c r="L308" s="7">
        <f t="shared" ca="1" si="12"/>
        <v>46297</v>
      </c>
      <c r="M308" s="14">
        <f t="shared" ca="1" si="13"/>
        <v>46297.119078935182</v>
      </c>
      <c r="N308" s="4">
        <f t="shared" si="14"/>
        <v>3</v>
      </c>
    </row>
    <row r="309" spans="1:14" x14ac:dyDescent="0.3">
      <c r="A309" s="9">
        <v>1308</v>
      </c>
      <c r="B309" s="9" t="s">
        <v>30</v>
      </c>
      <c r="C309" s="4" t="s">
        <v>26</v>
      </c>
      <c r="D309" s="4" t="s">
        <v>34</v>
      </c>
      <c r="E309" s="4" t="s">
        <v>40</v>
      </c>
      <c r="F309" s="4">
        <v>12</v>
      </c>
      <c r="G309" s="4">
        <v>66075</v>
      </c>
      <c r="H309" s="4">
        <v>5</v>
      </c>
      <c r="I309" s="7">
        <v>46129</v>
      </c>
      <c r="J309" s="7">
        <v>46135</v>
      </c>
      <c r="K309" s="4" t="s">
        <v>79</v>
      </c>
      <c r="L309" s="7">
        <f t="shared" ca="1" si="12"/>
        <v>46297</v>
      </c>
      <c r="M309" s="14">
        <f t="shared" ca="1" si="13"/>
        <v>46297.119078935182</v>
      </c>
      <c r="N309" s="4">
        <f t="shared" si="14"/>
        <v>6</v>
      </c>
    </row>
    <row r="310" spans="1:14" x14ac:dyDescent="0.3">
      <c r="A310" s="9">
        <v>1309</v>
      </c>
      <c r="B310" s="9" t="s">
        <v>49</v>
      </c>
      <c r="C310" s="4" t="s">
        <v>31</v>
      </c>
      <c r="D310" s="4" t="s">
        <v>20</v>
      </c>
      <c r="E310" s="4" t="s">
        <v>48</v>
      </c>
      <c r="F310" s="4">
        <v>2</v>
      </c>
      <c r="G310" s="4">
        <v>35</v>
      </c>
      <c r="H310" s="4">
        <v>5</v>
      </c>
      <c r="I310" s="7">
        <v>46197</v>
      </c>
      <c r="J310" s="7">
        <v>46198</v>
      </c>
      <c r="K310" s="4" t="s">
        <v>80</v>
      </c>
      <c r="L310" s="7">
        <f t="shared" ca="1" si="12"/>
        <v>46297</v>
      </c>
      <c r="M310" s="14">
        <f t="shared" ca="1" si="13"/>
        <v>46297.119078935182</v>
      </c>
      <c r="N310" s="4">
        <f t="shared" si="14"/>
        <v>1</v>
      </c>
    </row>
    <row r="311" spans="1:14" x14ac:dyDescent="0.3">
      <c r="A311" s="9">
        <v>1310</v>
      </c>
      <c r="B311" s="9" t="s">
        <v>47</v>
      </c>
      <c r="C311" s="4" t="s">
        <v>23</v>
      </c>
      <c r="D311" s="4" t="s">
        <v>24</v>
      </c>
      <c r="E311" s="4" t="s">
        <v>11</v>
      </c>
      <c r="F311" s="4">
        <v>19</v>
      </c>
      <c r="G311" s="4">
        <v>12691</v>
      </c>
      <c r="H311" s="4">
        <v>0</v>
      </c>
      <c r="I311" s="7">
        <v>46181</v>
      </c>
      <c r="J311" s="7">
        <v>46189</v>
      </c>
      <c r="K311" s="4" t="s">
        <v>49</v>
      </c>
      <c r="L311" s="7">
        <f t="shared" ca="1" si="12"/>
        <v>46297</v>
      </c>
      <c r="M311" s="14">
        <f t="shared" ca="1" si="13"/>
        <v>46297.119078935182</v>
      </c>
      <c r="N311" s="4">
        <f t="shared" si="14"/>
        <v>8</v>
      </c>
    </row>
    <row r="312" spans="1:14" x14ac:dyDescent="0.3">
      <c r="A312" s="9">
        <v>1311</v>
      </c>
      <c r="B312" s="9" t="s">
        <v>53</v>
      </c>
      <c r="C312" s="4" t="s">
        <v>19</v>
      </c>
      <c r="D312" s="4" t="s">
        <v>20</v>
      </c>
      <c r="E312" s="4" t="s">
        <v>21</v>
      </c>
      <c r="F312" s="4">
        <v>2</v>
      </c>
      <c r="G312" s="4">
        <v>209</v>
      </c>
      <c r="H312" s="4">
        <v>0</v>
      </c>
      <c r="I312" s="7">
        <v>46173</v>
      </c>
      <c r="J312" s="7">
        <v>46176</v>
      </c>
      <c r="K312" s="4" t="s">
        <v>79</v>
      </c>
      <c r="L312" s="7">
        <f t="shared" ca="1" si="12"/>
        <v>46297</v>
      </c>
      <c r="M312" s="14">
        <f t="shared" ca="1" si="13"/>
        <v>46297.119078935182</v>
      </c>
      <c r="N312" s="4">
        <f t="shared" si="14"/>
        <v>3</v>
      </c>
    </row>
    <row r="313" spans="1:14" x14ac:dyDescent="0.3">
      <c r="A313" s="9">
        <v>1312</v>
      </c>
      <c r="B313" s="9" t="s">
        <v>54</v>
      </c>
      <c r="C313" s="4" t="s">
        <v>26</v>
      </c>
      <c r="D313" s="4" t="s">
        <v>24</v>
      </c>
      <c r="E313" s="4" t="s">
        <v>11</v>
      </c>
      <c r="F313" s="4">
        <v>20</v>
      </c>
      <c r="G313" s="4">
        <v>3274</v>
      </c>
      <c r="H313" s="4">
        <v>2</v>
      </c>
      <c r="I313" s="7">
        <v>46148</v>
      </c>
      <c r="J313" s="7">
        <v>46156</v>
      </c>
      <c r="K313" s="4" t="s">
        <v>80</v>
      </c>
      <c r="L313" s="7">
        <f t="shared" ca="1" si="12"/>
        <v>46297</v>
      </c>
      <c r="M313" s="14">
        <f t="shared" ca="1" si="13"/>
        <v>46297.119078935182</v>
      </c>
      <c r="N313" s="4">
        <f t="shared" si="14"/>
        <v>8</v>
      </c>
    </row>
    <row r="314" spans="1:14" x14ac:dyDescent="0.3">
      <c r="A314" s="9">
        <v>1313</v>
      </c>
      <c r="B314" s="9" t="s">
        <v>56</v>
      </c>
      <c r="C314" s="4" t="s">
        <v>26</v>
      </c>
      <c r="D314" s="4" t="s">
        <v>24</v>
      </c>
      <c r="E314" s="4" t="s">
        <v>11</v>
      </c>
      <c r="F314" s="4">
        <v>6</v>
      </c>
      <c r="G314" s="4">
        <v>10864</v>
      </c>
      <c r="H314" s="4">
        <v>10</v>
      </c>
      <c r="I314" s="7">
        <v>46041</v>
      </c>
      <c r="J314" s="7">
        <v>46049</v>
      </c>
      <c r="K314" s="4" t="s">
        <v>78</v>
      </c>
      <c r="L314" s="7">
        <f t="shared" ca="1" si="12"/>
        <v>46297</v>
      </c>
      <c r="M314" s="14">
        <f t="shared" ca="1" si="13"/>
        <v>46297.119078935182</v>
      </c>
      <c r="N314" s="4">
        <f t="shared" si="14"/>
        <v>8</v>
      </c>
    </row>
    <row r="315" spans="1:14" x14ac:dyDescent="0.3">
      <c r="A315" s="9">
        <v>1314</v>
      </c>
      <c r="B315" s="9" t="s">
        <v>50</v>
      </c>
      <c r="C315" s="4" t="s">
        <v>33</v>
      </c>
      <c r="D315" s="4" t="s">
        <v>24</v>
      </c>
      <c r="E315" s="4" t="s">
        <v>7</v>
      </c>
      <c r="F315" s="4">
        <v>10</v>
      </c>
      <c r="G315" s="4">
        <v>6328</v>
      </c>
      <c r="H315" s="4">
        <v>2</v>
      </c>
      <c r="I315" s="7">
        <v>46196</v>
      </c>
      <c r="J315" s="7">
        <v>46197</v>
      </c>
      <c r="K315" s="4" t="s">
        <v>49</v>
      </c>
      <c r="L315" s="7">
        <f t="shared" ca="1" si="12"/>
        <v>46297</v>
      </c>
      <c r="M315" s="14">
        <f t="shared" ca="1" si="13"/>
        <v>46297.119078935182</v>
      </c>
      <c r="N315" s="4">
        <f t="shared" si="14"/>
        <v>1</v>
      </c>
    </row>
    <row r="316" spans="1:14" x14ac:dyDescent="0.3">
      <c r="A316" s="9">
        <v>1315</v>
      </c>
      <c r="B316" s="9" t="s">
        <v>47</v>
      </c>
      <c r="C316" s="4" t="s">
        <v>31</v>
      </c>
      <c r="D316" s="4" t="s">
        <v>34</v>
      </c>
      <c r="E316" s="4" t="s">
        <v>40</v>
      </c>
      <c r="F316" s="4">
        <v>14</v>
      </c>
      <c r="G316" s="4">
        <v>57670</v>
      </c>
      <c r="H316" s="4">
        <v>2</v>
      </c>
      <c r="I316" s="7">
        <v>46186</v>
      </c>
      <c r="J316" s="7">
        <v>46196</v>
      </c>
      <c r="K316" s="4" t="s">
        <v>78</v>
      </c>
      <c r="L316" s="7">
        <f t="shared" ca="1" si="12"/>
        <v>46297</v>
      </c>
      <c r="M316" s="14">
        <f t="shared" ca="1" si="13"/>
        <v>46297.119078935182</v>
      </c>
      <c r="N316" s="4">
        <f t="shared" si="14"/>
        <v>10</v>
      </c>
    </row>
    <row r="317" spans="1:14" x14ac:dyDescent="0.3">
      <c r="A317" s="9">
        <v>1316</v>
      </c>
      <c r="B317" s="9" t="s">
        <v>44</v>
      </c>
      <c r="C317" s="4" t="s">
        <v>19</v>
      </c>
      <c r="D317" s="4" t="s">
        <v>24</v>
      </c>
      <c r="E317" s="4" t="s">
        <v>8</v>
      </c>
      <c r="F317" s="4">
        <v>7</v>
      </c>
      <c r="G317" s="4">
        <v>9838</v>
      </c>
      <c r="H317" s="4">
        <v>7</v>
      </c>
      <c r="I317" s="7">
        <v>46078</v>
      </c>
      <c r="J317" s="7">
        <v>46085</v>
      </c>
      <c r="K317" s="4" t="s">
        <v>79</v>
      </c>
      <c r="L317" s="7">
        <f t="shared" ca="1" si="12"/>
        <v>46297</v>
      </c>
      <c r="M317" s="14">
        <f t="shared" ca="1" si="13"/>
        <v>46297.119078935182</v>
      </c>
      <c r="N317" s="4">
        <f t="shared" si="14"/>
        <v>7</v>
      </c>
    </row>
    <row r="318" spans="1:14" x14ac:dyDescent="0.3">
      <c r="A318" s="9">
        <v>1317</v>
      </c>
      <c r="B318" s="9" t="s">
        <v>56</v>
      </c>
      <c r="C318" s="4" t="s">
        <v>33</v>
      </c>
      <c r="D318" s="4" t="s">
        <v>34</v>
      </c>
      <c r="E318" s="4" t="s">
        <v>40</v>
      </c>
      <c r="F318" s="4">
        <v>7</v>
      </c>
      <c r="G318" s="4">
        <v>67339</v>
      </c>
      <c r="H318" s="4">
        <v>5</v>
      </c>
      <c r="I318" s="7">
        <v>46159</v>
      </c>
      <c r="J318" s="7">
        <v>46169</v>
      </c>
      <c r="K318" s="4" t="s">
        <v>81</v>
      </c>
      <c r="L318" s="7">
        <f t="shared" ca="1" si="12"/>
        <v>46297</v>
      </c>
      <c r="M318" s="14">
        <f t="shared" ca="1" si="13"/>
        <v>46297.119078935182</v>
      </c>
      <c r="N318" s="4">
        <f t="shared" si="14"/>
        <v>10</v>
      </c>
    </row>
    <row r="319" spans="1:14" x14ac:dyDescent="0.3">
      <c r="A319" s="9">
        <v>1318</v>
      </c>
      <c r="B319" s="9" t="s">
        <v>18</v>
      </c>
      <c r="C319" s="4" t="s">
        <v>42</v>
      </c>
      <c r="D319" s="4" t="s">
        <v>20</v>
      </c>
      <c r="E319" s="4" t="s">
        <v>48</v>
      </c>
      <c r="F319" s="4">
        <v>4</v>
      </c>
      <c r="G319" s="4">
        <v>38</v>
      </c>
      <c r="H319" s="4">
        <v>12</v>
      </c>
      <c r="I319" s="7">
        <v>46169</v>
      </c>
      <c r="J319" s="7">
        <v>46175</v>
      </c>
      <c r="K319" s="4" t="s">
        <v>49</v>
      </c>
      <c r="L319" s="7">
        <f t="shared" ca="1" si="12"/>
        <v>46297</v>
      </c>
      <c r="M319" s="14">
        <f t="shared" ca="1" si="13"/>
        <v>46297.119078935182</v>
      </c>
      <c r="N319" s="4">
        <f t="shared" si="14"/>
        <v>6</v>
      </c>
    </row>
    <row r="320" spans="1:14" x14ac:dyDescent="0.3">
      <c r="A320" s="9">
        <v>1319</v>
      </c>
      <c r="B320" s="9" t="s">
        <v>25</v>
      </c>
      <c r="C320" s="4" t="s">
        <v>23</v>
      </c>
      <c r="D320" s="4" t="s">
        <v>34</v>
      </c>
      <c r="E320" s="4" t="s">
        <v>12</v>
      </c>
      <c r="F320" s="4">
        <v>17</v>
      </c>
      <c r="G320" s="4">
        <v>58407</v>
      </c>
      <c r="H320" s="4">
        <v>7</v>
      </c>
      <c r="I320" s="7">
        <v>46094</v>
      </c>
      <c r="J320" s="7">
        <v>46102</v>
      </c>
      <c r="K320" s="4" t="s">
        <v>78</v>
      </c>
      <c r="L320" s="7">
        <f t="shared" ca="1" si="12"/>
        <v>46297</v>
      </c>
      <c r="M320" s="14">
        <f t="shared" ca="1" si="13"/>
        <v>46297.119078935182</v>
      </c>
      <c r="N320" s="4">
        <f t="shared" si="14"/>
        <v>8</v>
      </c>
    </row>
    <row r="321" spans="1:14" x14ac:dyDescent="0.3">
      <c r="A321" s="9">
        <v>1320</v>
      </c>
      <c r="B321" s="9" t="s">
        <v>45</v>
      </c>
      <c r="C321" s="4" t="s">
        <v>38</v>
      </c>
      <c r="D321" s="4" t="s">
        <v>20</v>
      </c>
      <c r="E321" s="4" t="s">
        <v>36</v>
      </c>
      <c r="F321" s="4">
        <v>20</v>
      </c>
      <c r="G321" s="4">
        <v>55</v>
      </c>
      <c r="H321" s="4">
        <v>7</v>
      </c>
      <c r="I321" s="7">
        <v>46183</v>
      </c>
      <c r="J321" s="7">
        <v>46186</v>
      </c>
      <c r="K321" s="4" t="s">
        <v>79</v>
      </c>
      <c r="L321" s="7">
        <f t="shared" ca="1" si="12"/>
        <v>46297</v>
      </c>
      <c r="M321" s="14">
        <f t="shared" ca="1" si="13"/>
        <v>46297.119078935182</v>
      </c>
      <c r="N321" s="4">
        <f t="shared" si="14"/>
        <v>3</v>
      </c>
    </row>
    <row r="322" spans="1:14" x14ac:dyDescent="0.3">
      <c r="A322" s="9">
        <v>1321</v>
      </c>
      <c r="B322" s="9" t="s">
        <v>32</v>
      </c>
      <c r="C322" s="4" t="s">
        <v>26</v>
      </c>
      <c r="D322" s="4" t="s">
        <v>24</v>
      </c>
      <c r="E322" s="4" t="s">
        <v>7</v>
      </c>
      <c r="F322" s="4">
        <v>8</v>
      </c>
      <c r="G322" s="4">
        <v>5619</v>
      </c>
      <c r="H322" s="4">
        <v>7</v>
      </c>
      <c r="I322" s="7">
        <v>46107</v>
      </c>
      <c r="J322" s="7">
        <v>46109</v>
      </c>
      <c r="K322" s="4" t="s">
        <v>81</v>
      </c>
      <c r="L322" s="7">
        <f t="shared" ca="1" si="12"/>
        <v>46297</v>
      </c>
      <c r="M322" s="14">
        <f t="shared" ca="1" si="13"/>
        <v>46297.119078935182</v>
      </c>
      <c r="N322" s="4">
        <f t="shared" si="14"/>
        <v>2</v>
      </c>
    </row>
    <row r="323" spans="1:14" x14ac:dyDescent="0.3">
      <c r="A323" s="9">
        <v>1322</v>
      </c>
      <c r="B323" s="9" t="s">
        <v>29</v>
      </c>
      <c r="C323" s="4" t="s">
        <v>19</v>
      </c>
      <c r="D323" s="4" t="s">
        <v>24</v>
      </c>
      <c r="E323" s="4" t="s">
        <v>10</v>
      </c>
      <c r="F323" s="4">
        <v>14</v>
      </c>
      <c r="G323" s="4">
        <v>9081</v>
      </c>
      <c r="H323" s="4">
        <v>15</v>
      </c>
      <c r="I323" s="7">
        <v>46141</v>
      </c>
      <c r="J323" s="7">
        <v>46146</v>
      </c>
      <c r="K323" s="4" t="s">
        <v>78</v>
      </c>
      <c r="L323" s="7">
        <f t="shared" ref="L323:L386" ca="1" si="15">TODAY()</f>
        <v>46297</v>
      </c>
      <c r="M323" s="14">
        <f t="shared" ref="M323:M386" ca="1" si="16">NOW()</f>
        <v>46297.119078935182</v>
      </c>
      <c r="N323" s="4">
        <f t="shared" ref="N323:N386" si="17">DATEDIF(I323,J323, "d")</f>
        <v>5</v>
      </c>
    </row>
    <row r="324" spans="1:14" x14ac:dyDescent="0.3">
      <c r="A324" s="9">
        <v>1323</v>
      </c>
      <c r="B324" s="9" t="s">
        <v>54</v>
      </c>
      <c r="C324" s="4" t="s">
        <v>38</v>
      </c>
      <c r="D324" s="4" t="s">
        <v>34</v>
      </c>
      <c r="E324" s="4" t="s">
        <v>12</v>
      </c>
      <c r="F324" s="4">
        <v>2</v>
      </c>
      <c r="G324" s="4">
        <v>32074</v>
      </c>
      <c r="H324" s="4">
        <v>10</v>
      </c>
      <c r="I324" s="7">
        <v>46073</v>
      </c>
      <c r="J324" s="7">
        <v>46078</v>
      </c>
      <c r="K324" s="4" t="s">
        <v>78</v>
      </c>
      <c r="L324" s="7">
        <f t="shared" ca="1" si="15"/>
        <v>46297</v>
      </c>
      <c r="M324" s="14">
        <f t="shared" ca="1" si="16"/>
        <v>46297.119078935182</v>
      </c>
      <c r="N324" s="4">
        <f t="shared" si="17"/>
        <v>5</v>
      </c>
    </row>
    <row r="325" spans="1:14" x14ac:dyDescent="0.3">
      <c r="A325" s="9">
        <v>1324</v>
      </c>
      <c r="B325" s="9" t="s">
        <v>32</v>
      </c>
      <c r="C325" s="4" t="s">
        <v>26</v>
      </c>
      <c r="D325" s="4" t="s">
        <v>24</v>
      </c>
      <c r="E325" s="4" t="s">
        <v>7</v>
      </c>
      <c r="F325" s="4">
        <v>1</v>
      </c>
      <c r="G325" s="4">
        <v>4286</v>
      </c>
      <c r="H325" s="4">
        <v>15</v>
      </c>
      <c r="I325" s="7">
        <v>46053</v>
      </c>
      <c r="J325" s="7">
        <v>46056</v>
      </c>
      <c r="K325" s="4" t="s">
        <v>79</v>
      </c>
      <c r="L325" s="7">
        <f t="shared" ca="1" si="15"/>
        <v>46297</v>
      </c>
      <c r="M325" s="14">
        <f t="shared" ca="1" si="16"/>
        <v>46297.119078935182</v>
      </c>
      <c r="N325" s="4">
        <f t="shared" si="17"/>
        <v>3</v>
      </c>
    </row>
    <row r="326" spans="1:14" x14ac:dyDescent="0.3">
      <c r="A326" s="9">
        <v>1325</v>
      </c>
      <c r="B326" s="9" t="s">
        <v>46</v>
      </c>
      <c r="C326" s="4" t="s">
        <v>42</v>
      </c>
      <c r="D326" s="4" t="s">
        <v>34</v>
      </c>
      <c r="E326" s="4" t="s">
        <v>5</v>
      </c>
      <c r="F326" s="4">
        <v>9</v>
      </c>
      <c r="G326" s="4">
        <v>58442</v>
      </c>
      <c r="H326" s="4">
        <v>12</v>
      </c>
      <c r="I326" s="7">
        <v>46076</v>
      </c>
      <c r="J326" s="7">
        <v>46085</v>
      </c>
      <c r="K326" s="4" t="s">
        <v>79</v>
      </c>
      <c r="L326" s="7">
        <f t="shared" ca="1" si="15"/>
        <v>46297</v>
      </c>
      <c r="M326" s="14">
        <f t="shared" ca="1" si="16"/>
        <v>46297.119078935182</v>
      </c>
      <c r="N326" s="4">
        <f t="shared" si="17"/>
        <v>9</v>
      </c>
    </row>
    <row r="327" spans="1:14" x14ac:dyDescent="0.3">
      <c r="A327" s="9">
        <v>1326</v>
      </c>
      <c r="B327" s="9" t="s">
        <v>28</v>
      </c>
      <c r="C327" s="4" t="s">
        <v>23</v>
      </c>
      <c r="D327" s="4" t="s">
        <v>24</v>
      </c>
      <c r="E327" s="4" t="s">
        <v>43</v>
      </c>
      <c r="F327" s="4">
        <v>18</v>
      </c>
      <c r="G327" s="4">
        <v>1830</v>
      </c>
      <c r="H327" s="4">
        <v>10</v>
      </c>
      <c r="I327" s="7">
        <v>46165</v>
      </c>
      <c r="J327" s="7">
        <v>46172</v>
      </c>
      <c r="K327" s="4" t="s">
        <v>78</v>
      </c>
      <c r="L327" s="7">
        <f t="shared" ca="1" si="15"/>
        <v>46297</v>
      </c>
      <c r="M327" s="14">
        <f t="shared" ca="1" si="16"/>
        <v>46297.119078935182</v>
      </c>
      <c r="N327" s="4">
        <f t="shared" si="17"/>
        <v>7</v>
      </c>
    </row>
    <row r="328" spans="1:14" x14ac:dyDescent="0.3">
      <c r="A328" s="9">
        <v>1327</v>
      </c>
      <c r="B328" s="9" t="s">
        <v>46</v>
      </c>
      <c r="C328" s="4" t="s">
        <v>19</v>
      </c>
      <c r="D328" s="4" t="s">
        <v>20</v>
      </c>
      <c r="E328" s="4" t="s">
        <v>51</v>
      </c>
      <c r="F328" s="4">
        <v>15</v>
      </c>
      <c r="G328" s="4">
        <v>449</v>
      </c>
      <c r="H328" s="4">
        <v>5</v>
      </c>
      <c r="I328" s="7">
        <v>46152</v>
      </c>
      <c r="J328" s="7">
        <v>46153</v>
      </c>
      <c r="K328" s="4" t="s">
        <v>78</v>
      </c>
      <c r="L328" s="7">
        <f t="shared" ca="1" si="15"/>
        <v>46297</v>
      </c>
      <c r="M328" s="14">
        <f t="shared" ca="1" si="16"/>
        <v>46297.119078935182</v>
      </c>
      <c r="N328" s="4">
        <f t="shared" si="17"/>
        <v>1</v>
      </c>
    </row>
    <row r="329" spans="1:14" x14ac:dyDescent="0.3">
      <c r="A329" s="9">
        <v>1328</v>
      </c>
      <c r="B329" s="9" t="s">
        <v>22</v>
      </c>
      <c r="C329" s="4" t="s">
        <v>38</v>
      </c>
      <c r="D329" s="4" t="s">
        <v>20</v>
      </c>
      <c r="E329" s="4" t="s">
        <v>36</v>
      </c>
      <c r="F329" s="4">
        <v>4</v>
      </c>
      <c r="G329" s="4">
        <v>132</v>
      </c>
      <c r="H329" s="4">
        <v>0</v>
      </c>
      <c r="I329" s="7">
        <v>46109</v>
      </c>
      <c r="J329" s="7">
        <v>46114</v>
      </c>
      <c r="K329" s="4" t="s">
        <v>49</v>
      </c>
      <c r="L329" s="7">
        <f t="shared" ca="1" si="15"/>
        <v>46297</v>
      </c>
      <c r="M329" s="14">
        <f t="shared" ca="1" si="16"/>
        <v>46297.119078935182</v>
      </c>
      <c r="N329" s="4">
        <f t="shared" si="17"/>
        <v>5</v>
      </c>
    </row>
    <row r="330" spans="1:14" x14ac:dyDescent="0.3">
      <c r="A330" s="9">
        <v>1329</v>
      </c>
      <c r="B330" s="9" t="s">
        <v>30</v>
      </c>
      <c r="C330" s="4" t="s">
        <v>42</v>
      </c>
      <c r="D330" s="4" t="s">
        <v>20</v>
      </c>
      <c r="E330" s="4" t="s">
        <v>51</v>
      </c>
      <c r="F330" s="4">
        <v>18</v>
      </c>
      <c r="G330" s="4">
        <v>227</v>
      </c>
      <c r="H330" s="4">
        <v>5</v>
      </c>
      <c r="I330" s="7">
        <v>46126</v>
      </c>
      <c r="J330" s="7">
        <v>46136</v>
      </c>
      <c r="K330" s="4" t="s">
        <v>49</v>
      </c>
      <c r="L330" s="7">
        <f t="shared" ca="1" si="15"/>
        <v>46297</v>
      </c>
      <c r="M330" s="14">
        <f t="shared" ca="1" si="16"/>
        <v>46297.119078935182</v>
      </c>
      <c r="N330" s="4">
        <f t="shared" si="17"/>
        <v>10</v>
      </c>
    </row>
    <row r="331" spans="1:14" x14ac:dyDescent="0.3">
      <c r="A331" s="9">
        <v>1330</v>
      </c>
      <c r="B331" s="9" t="s">
        <v>47</v>
      </c>
      <c r="C331" s="4" t="s">
        <v>23</v>
      </c>
      <c r="D331" s="4" t="s">
        <v>24</v>
      </c>
      <c r="E331" s="4" t="s">
        <v>7</v>
      </c>
      <c r="F331" s="4">
        <v>13</v>
      </c>
      <c r="G331" s="4">
        <v>12071</v>
      </c>
      <c r="H331" s="4">
        <v>0</v>
      </c>
      <c r="I331" s="7">
        <v>46032</v>
      </c>
      <c r="J331" s="7">
        <v>46036</v>
      </c>
      <c r="K331" s="4" t="s">
        <v>81</v>
      </c>
      <c r="L331" s="7">
        <f t="shared" ca="1" si="15"/>
        <v>46297</v>
      </c>
      <c r="M331" s="14">
        <f t="shared" ca="1" si="16"/>
        <v>46297.119078935182</v>
      </c>
      <c r="N331" s="4">
        <f t="shared" si="17"/>
        <v>4</v>
      </c>
    </row>
    <row r="332" spans="1:14" x14ac:dyDescent="0.3">
      <c r="A332" s="9">
        <v>1331</v>
      </c>
      <c r="B332" s="9" t="s">
        <v>25</v>
      </c>
      <c r="C332" s="4" t="s">
        <v>27</v>
      </c>
      <c r="D332" s="4" t="s">
        <v>34</v>
      </c>
      <c r="E332" s="4" t="s">
        <v>12</v>
      </c>
      <c r="F332" s="4">
        <v>2</v>
      </c>
      <c r="G332" s="4">
        <v>43557</v>
      </c>
      <c r="H332" s="4">
        <v>2</v>
      </c>
      <c r="I332" s="7">
        <v>46190</v>
      </c>
      <c r="J332" s="7">
        <v>46200</v>
      </c>
      <c r="K332" s="4" t="s">
        <v>78</v>
      </c>
      <c r="L332" s="7">
        <f t="shared" ca="1" si="15"/>
        <v>46297</v>
      </c>
      <c r="M332" s="14">
        <f t="shared" ca="1" si="16"/>
        <v>46297.119078935182</v>
      </c>
      <c r="N332" s="4">
        <f t="shared" si="17"/>
        <v>10</v>
      </c>
    </row>
    <row r="333" spans="1:14" x14ac:dyDescent="0.3">
      <c r="A333" s="9">
        <v>1332</v>
      </c>
      <c r="B333" s="9" t="s">
        <v>49</v>
      </c>
      <c r="C333" s="4" t="s">
        <v>42</v>
      </c>
      <c r="D333" s="4" t="s">
        <v>20</v>
      </c>
      <c r="E333" s="4" t="s">
        <v>48</v>
      </c>
      <c r="F333" s="4">
        <v>7</v>
      </c>
      <c r="G333" s="4">
        <v>439</v>
      </c>
      <c r="H333" s="4">
        <v>2</v>
      </c>
      <c r="I333" s="7">
        <v>46154</v>
      </c>
      <c r="J333" s="7">
        <v>46157</v>
      </c>
      <c r="K333" s="4" t="s">
        <v>78</v>
      </c>
      <c r="L333" s="7">
        <f t="shared" ca="1" si="15"/>
        <v>46297</v>
      </c>
      <c r="M333" s="14">
        <f t="shared" ca="1" si="16"/>
        <v>46297.119078935182</v>
      </c>
      <c r="N333" s="4">
        <f t="shared" si="17"/>
        <v>3</v>
      </c>
    </row>
    <row r="334" spans="1:14" x14ac:dyDescent="0.3">
      <c r="A334" s="9">
        <v>1333</v>
      </c>
      <c r="B334" s="9" t="s">
        <v>49</v>
      </c>
      <c r="C334" s="4" t="s">
        <v>38</v>
      </c>
      <c r="D334" s="4" t="s">
        <v>20</v>
      </c>
      <c r="E334" s="4" t="s">
        <v>51</v>
      </c>
      <c r="F334" s="4">
        <v>20</v>
      </c>
      <c r="G334" s="4">
        <v>416</v>
      </c>
      <c r="H334" s="4">
        <v>12</v>
      </c>
      <c r="I334" s="7">
        <v>46145</v>
      </c>
      <c r="J334" s="7">
        <v>46146</v>
      </c>
      <c r="K334" s="4" t="s">
        <v>81</v>
      </c>
      <c r="L334" s="7">
        <f t="shared" ca="1" si="15"/>
        <v>46297</v>
      </c>
      <c r="M334" s="14">
        <f t="shared" ca="1" si="16"/>
        <v>46297.119078935182</v>
      </c>
      <c r="N334" s="4">
        <f t="shared" si="17"/>
        <v>1</v>
      </c>
    </row>
    <row r="335" spans="1:14" x14ac:dyDescent="0.3">
      <c r="A335" s="9">
        <v>1334</v>
      </c>
      <c r="B335" s="9" t="s">
        <v>39</v>
      </c>
      <c r="C335" s="4" t="s">
        <v>19</v>
      </c>
      <c r="D335" s="4" t="s">
        <v>34</v>
      </c>
      <c r="E335" s="4" t="s">
        <v>40</v>
      </c>
      <c r="F335" s="4">
        <v>15</v>
      </c>
      <c r="G335" s="4">
        <v>39853</v>
      </c>
      <c r="H335" s="4">
        <v>7</v>
      </c>
      <c r="I335" s="7">
        <v>46038</v>
      </c>
      <c r="J335" s="7">
        <v>46047</v>
      </c>
      <c r="K335" s="4" t="s">
        <v>81</v>
      </c>
      <c r="L335" s="7">
        <f t="shared" ca="1" si="15"/>
        <v>46297</v>
      </c>
      <c r="M335" s="14">
        <f t="shared" ca="1" si="16"/>
        <v>46297.119078935182</v>
      </c>
      <c r="N335" s="4">
        <f t="shared" si="17"/>
        <v>9</v>
      </c>
    </row>
    <row r="336" spans="1:14" x14ac:dyDescent="0.3">
      <c r="A336" s="9">
        <v>1335</v>
      </c>
      <c r="B336" s="9" t="s">
        <v>45</v>
      </c>
      <c r="C336" s="4" t="s">
        <v>23</v>
      </c>
      <c r="D336" s="4" t="s">
        <v>24</v>
      </c>
      <c r="E336" s="4" t="s">
        <v>7</v>
      </c>
      <c r="F336" s="4">
        <v>9</v>
      </c>
      <c r="G336" s="4">
        <v>1495</v>
      </c>
      <c r="H336" s="4">
        <v>12</v>
      </c>
      <c r="I336" s="7">
        <v>46168</v>
      </c>
      <c r="J336" s="7">
        <v>46173</v>
      </c>
      <c r="K336" s="4" t="s">
        <v>78</v>
      </c>
      <c r="L336" s="7">
        <f t="shared" ca="1" si="15"/>
        <v>46297</v>
      </c>
      <c r="M336" s="14">
        <f t="shared" ca="1" si="16"/>
        <v>46297.119078935182</v>
      </c>
      <c r="N336" s="4">
        <f t="shared" si="17"/>
        <v>5</v>
      </c>
    </row>
    <row r="337" spans="1:14" x14ac:dyDescent="0.3">
      <c r="A337" s="9">
        <v>1336</v>
      </c>
      <c r="B337" s="9" t="s">
        <v>22</v>
      </c>
      <c r="C337" s="4" t="s">
        <v>27</v>
      </c>
      <c r="D337" s="4" t="s">
        <v>24</v>
      </c>
      <c r="E337" s="4" t="s">
        <v>11</v>
      </c>
      <c r="F337" s="4">
        <v>10</v>
      </c>
      <c r="G337" s="4">
        <v>5624</v>
      </c>
      <c r="H337" s="4">
        <v>0</v>
      </c>
      <c r="I337" s="7">
        <v>46086</v>
      </c>
      <c r="J337" s="7">
        <v>46092</v>
      </c>
      <c r="K337" s="4" t="s">
        <v>49</v>
      </c>
      <c r="L337" s="7">
        <f t="shared" ca="1" si="15"/>
        <v>46297</v>
      </c>
      <c r="M337" s="14">
        <f t="shared" ca="1" si="16"/>
        <v>46297.119078935182</v>
      </c>
      <c r="N337" s="4">
        <f t="shared" si="17"/>
        <v>6</v>
      </c>
    </row>
    <row r="338" spans="1:14" x14ac:dyDescent="0.3">
      <c r="A338" s="9">
        <v>1337</v>
      </c>
      <c r="B338" s="9" t="s">
        <v>22</v>
      </c>
      <c r="C338" s="4" t="s">
        <v>19</v>
      </c>
      <c r="D338" s="4" t="s">
        <v>20</v>
      </c>
      <c r="E338" s="4" t="s">
        <v>51</v>
      </c>
      <c r="F338" s="4">
        <v>14</v>
      </c>
      <c r="G338" s="4">
        <v>373</v>
      </c>
      <c r="H338" s="4">
        <v>10</v>
      </c>
      <c r="I338" s="7">
        <v>46074</v>
      </c>
      <c r="J338" s="7">
        <v>46080</v>
      </c>
      <c r="K338" s="4" t="s">
        <v>49</v>
      </c>
      <c r="L338" s="7">
        <f t="shared" ca="1" si="15"/>
        <v>46297</v>
      </c>
      <c r="M338" s="14">
        <f t="shared" ca="1" si="16"/>
        <v>46297.119078935182</v>
      </c>
      <c r="N338" s="4">
        <f t="shared" si="17"/>
        <v>6</v>
      </c>
    </row>
    <row r="339" spans="1:14" x14ac:dyDescent="0.3">
      <c r="A339" s="9">
        <v>1338</v>
      </c>
      <c r="B339" s="9" t="s">
        <v>56</v>
      </c>
      <c r="C339" s="4" t="s">
        <v>27</v>
      </c>
      <c r="D339" s="4" t="s">
        <v>34</v>
      </c>
      <c r="E339" s="4" t="s">
        <v>9</v>
      </c>
      <c r="F339" s="4">
        <v>10</v>
      </c>
      <c r="G339" s="4">
        <v>16719</v>
      </c>
      <c r="H339" s="4">
        <v>5</v>
      </c>
      <c r="I339" s="7">
        <v>46177</v>
      </c>
      <c r="J339" s="7">
        <v>46179</v>
      </c>
      <c r="K339" s="4" t="s">
        <v>78</v>
      </c>
      <c r="L339" s="7">
        <f t="shared" ca="1" si="15"/>
        <v>46297</v>
      </c>
      <c r="M339" s="14">
        <f t="shared" ca="1" si="16"/>
        <v>46297.119078935182</v>
      </c>
      <c r="N339" s="4">
        <f t="shared" si="17"/>
        <v>2</v>
      </c>
    </row>
    <row r="340" spans="1:14" x14ac:dyDescent="0.3">
      <c r="A340" s="9">
        <v>1339</v>
      </c>
      <c r="B340" s="9" t="s">
        <v>32</v>
      </c>
      <c r="C340" s="4" t="s">
        <v>27</v>
      </c>
      <c r="D340" s="4" t="s">
        <v>20</v>
      </c>
      <c r="E340" s="4" t="s">
        <v>21</v>
      </c>
      <c r="F340" s="4">
        <v>6</v>
      </c>
      <c r="G340" s="4">
        <v>302</v>
      </c>
      <c r="H340" s="4">
        <v>5</v>
      </c>
      <c r="I340" s="7">
        <v>46142</v>
      </c>
      <c r="J340" s="7">
        <v>46148</v>
      </c>
      <c r="K340" s="4" t="s">
        <v>79</v>
      </c>
      <c r="L340" s="7">
        <f t="shared" ca="1" si="15"/>
        <v>46297</v>
      </c>
      <c r="M340" s="14">
        <f t="shared" ca="1" si="16"/>
        <v>46297.119078935182</v>
      </c>
      <c r="N340" s="4">
        <f t="shared" si="17"/>
        <v>6</v>
      </c>
    </row>
    <row r="341" spans="1:14" x14ac:dyDescent="0.3">
      <c r="A341" s="9">
        <v>1340</v>
      </c>
      <c r="B341" s="9" t="s">
        <v>46</v>
      </c>
      <c r="C341" s="4" t="s">
        <v>23</v>
      </c>
      <c r="D341" s="4" t="s">
        <v>24</v>
      </c>
      <c r="E341" s="4" t="s">
        <v>7</v>
      </c>
      <c r="F341" s="4">
        <v>12</v>
      </c>
      <c r="G341" s="4">
        <v>3857</v>
      </c>
      <c r="H341" s="4">
        <v>12</v>
      </c>
      <c r="I341" s="7">
        <v>46196</v>
      </c>
      <c r="J341" s="7">
        <v>46198</v>
      </c>
      <c r="K341" s="4" t="s">
        <v>81</v>
      </c>
      <c r="L341" s="7">
        <f t="shared" ca="1" si="15"/>
        <v>46297</v>
      </c>
      <c r="M341" s="14">
        <f t="shared" ca="1" si="16"/>
        <v>46297.119078935182</v>
      </c>
      <c r="N341" s="4">
        <f t="shared" si="17"/>
        <v>2</v>
      </c>
    </row>
    <row r="342" spans="1:14" x14ac:dyDescent="0.3">
      <c r="A342" s="9">
        <v>1341</v>
      </c>
      <c r="B342" s="9" t="s">
        <v>54</v>
      </c>
      <c r="C342" s="4" t="s">
        <v>38</v>
      </c>
      <c r="D342" s="4" t="s">
        <v>24</v>
      </c>
      <c r="E342" s="4" t="s">
        <v>7</v>
      </c>
      <c r="F342" s="4">
        <v>19</v>
      </c>
      <c r="G342" s="4">
        <v>6488</v>
      </c>
      <c r="H342" s="4">
        <v>15</v>
      </c>
      <c r="I342" s="7">
        <v>46026</v>
      </c>
      <c r="J342" s="7">
        <v>46030</v>
      </c>
      <c r="K342" s="4" t="s">
        <v>79</v>
      </c>
      <c r="L342" s="7">
        <f t="shared" ca="1" si="15"/>
        <v>46297</v>
      </c>
      <c r="M342" s="14">
        <f t="shared" ca="1" si="16"/>
        <v>46297.119078935182</v>
      </c>
      <c r="N342" s="4">
        <f t="shared" si="17"/>
        <v>4</v>
      </c>
    </row>
    <row r="343" spans="1:14" x14ac:dyDescent="0.3">
      <c r="A343" s="9">
        <v>1342</v>
      </c>
      <c r="B343" s="9" t="s">
        <v>56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7">
        <v>46132</v>
      </c>
      <c r="J343" s="7">
        <v>46139</v>
      </c>
      <c r="K343" s="4" t="s">
        <v>49</v>
      </c>
      <c r="L343" s="7">
        <f t="shared" ca="1" si="15"/>
        <v>46297</v>
      </c>
      <c r="M343" s="14">
        <f t="shared" ca="1" si="16"/>
        <v>46297.119078935182</v>
      </c>
      <c r="N343" s="4">
        <f t="shared" si="17"/>
        <v>7</v>
      </c>
    </row>
    <row r="344" spans="1:14" x14ac:dyDescent="0.3">
      <c r="A344" s="9">
        <v>1343</v>
      </c>
      <c r="B344" s="9" t="s">
        <v>56</v>
      </c>
      <c r="C344" s="4" t="s">
        <v>31</v>
      </c>
      <c r="D344" s="4" t="s">
        <v>34</v>
      </c>
      <c r="E344" s="4" t="s">
        <v>5</v>
      </c>
      <c r="F344" s="4">
        <v>14</v>
      </c>
      <c r="G344" s="4">
        <v>32719</v>
      </c>
      <c r="H344" s="4">
        <v>15</v>
      </c>
      <c r="I344" s="7">
        <v>46174</v>
      </c>
      <c r="J344" s="7">
        <v>46179</v>
      </c>
      <c r="K344" s="4" t="s">
        <v>78</v>
      </c>
      <c r="L344" s="7">
        <f t="shared" ca="1" si="15"/>
        <v>46297</v>
      </c>
      <c r="M344" s="14">
        <f t="shared" ca="1" si="16"/>
        <v>46297.119078935182</v>
      </c>
      <c r="N344" s="4">
        <f t="shared" si="17"/>
        <v>5</v>
      </c>
    </row>
    <row r="345" spans="1:14" x14ac:dyDescent="0.3">
      <c r="A345" s="9">
        <v>1344</v>
      </c>
      <c r="B345" s="9" t="s">
        <v>30</v>
      </c>
      <c r="C345" s="4" t="s">
        <v>23</v>
      </c>
      <c r="D345" s="4" t="s">
        <v>20</v>
      </c>
      <c r="E345" s="4" t="s">
        <v>51</v>
      </c>
      <c r="F345" s="4">
        <v>18</v>
      </c>
      <c r="G345" s="4">
        <v>240</v>
      </c>
      <c r="H345" s="4">
        <v>10</v>
      </c>
      <c r="I345" s="7">
        <v>46155</v>
      </c>
      <c r="J345" s="7">
        <v>46156</v>
      </c>
      <c r="K345" s="4" t="s">
        <v>80</v>
      </c>
      <c r="L345" s="7">
        <f t="shared" ca="1" si="15"/>
        <v>46297</v>
      </c>
      <c r="M345" s="14">
        <f t="shared" ca="1" si="16"/>
        <v>46297.119078935182</v>
      </c>
      <c r="N345" s="4">
        <f t="shared" si="17"/>
        <v>1</v>
      </c>
    </row>
    <row r="346" spans="1:14" x14ac:dyDescent="0.3">
      <c r="A346" s="9">
        <v>1345</v>
      </c>
      <c r="B346" s="9" t="s">
        <v>32</v>
      </c>
      <c r="C346" s="4" t="s">
        <v>19</v>
      </c>
      <c r="D346" s="4" t="s">
        <v>34</v>
      </c>
      <c r="E346" s="4" t="s">
        <v>6</v>
      </c>
      <c r="F346" s="4">
        <v>12</v>
      </c>
      <c r="G346" s="4">
        <v>50544</v>
      </c>
      <c r="H346" s="4">
        <v>10</v>
      </c>
      <c r="I346" s="7">
        <v>46095</v>
      </c>
      <c r="J346" s="7">
        <v>46097</v>
      </c>
      <c r="K346" s="4" t="s">
        <v>49</v>
      </c>
      <c r="L346" s="7">
        <f t="shared" ca="1" si="15"/>
        <v>46297</v>
      </c>
      <c r="M346" s="14">
        <f t="shared" ca="1" si="16"/>
        <v>46297.119078935182</v>
      </c>
      <c r="N346" s="4">
        <f t="shared" si="17"/>
        <v>2</v>
      </c>
    </row>
    <row r="347" spans="1:14" x14ac:dyDescent="0.3">
      <c r="A347" s="9">
        <v>1346</v>
      </c>
      <c r="B347" s="9" t="s">
        <v>32</v>
      </c>
      <c r="C347" s="4" t="s">
        <v>26</v>
      </c>
      <c r="D347" s="4" t="s">
        <v>24</v>
      </c>
      <c r="E347" s="4" t="s">
        <v>7</v>
      </c>
      <c r="F347" s="4">
        <v>16</v>
      </c>
      <c r="G347" s="4">
        <v>6910</v>
      </c>
      <c r="H347" s="4">
        <v>15</v>
      </c>
      <c r="I347" s="7">
        <v>46140</v>
      </c>
      <c r="J347" s="7">
        <v>46142</v>
      </c>
      <c r="K347" s="4" t="s">
        <v>49</v>
      </c>
      <c r="L347" s="7">
        <f t="shared" ca="1" si="15"/>
        <v>46297</v>
      </c>
      <c r="M347" s="14">
        <f t="shared" ca="1" si="16"/>
        <v>46297.119078935182</v>
      </c>
      <c r="N347" s="4">
        <f t="shared" si="17"/>
        <v>2</v>
      </c>
    </row>
    <row r="348" spans="1:14" x14ac:dyDescent="0.3">
      <c r="A348" s="9">
        <v>1347</v>
      </c>
      <c r="B348" s="9" t="s">
        <v>49</v>
      </c>
      <c r="C348" s="4" t="s">
        <v>26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7">
        <v>46037</v>
      </c>
      <c r="J348" s="7">
        <v>46044</v>
      </c>
      <c r="K348" s="4" t="s">
        <v>80</v>
      </c>
      <c r="L348" s="7">
        <f t="shared" ca="1" si="15"/>
        <v>46297</v>
      </c>
      <c r="M348" s="14">
        <f t="shared" ca="1" si="16"/>
        <v>46297.119078935182</v>
      </c>
      <c r="N348" s="4">
        <f t="shared" si="17"/>
        <v>7</v>
      </c>
    </row>
    <row r="349" spans="1:14" x14ac:dyDescent="0.3">
      <c r="A349" s="9">
        <v>1348</v>
      </c>
      <c r="B349" s="9" t="s">
        <v>18</v>
      </c>
      <c r="C349" s="4" t="s">
        <v>33</v>
      </c>
      <c r="D349" s="4" t="s">
        <v>20</v>
      </c>
      <c r="E349" s="4" t="s">
        <v>48</v>
      </c>
      <c r="F349" s="4">
        <v>12</v>
      </c>
      <c r="G349" s="4">
        <v>244</v>
      </c>
      <c r="H349" s="4">
        <v>7</v>
      </c>
      <c r="I349" s="7">
        <v>46048</v>
      </c>
      <c r="J349" s="7">
        <v>46053</v>
      </c>
      <c r="K349" s="4" t="s">
        <v>78</v>
      </c>
      <c r="L349" s="7">
        <f t="shared" ca="1" si="15"/>
        <v>46297</v>
      </c>
      <c r="M349" s="14">
        <f t="shared" ca="1" si="16"/>
        <v>46297.119078935182</v>
      </c>
      <c r="N349" s="4">
        <f t="shared" si="17"/>
        <v>5</v>
      </c>
    </row>
    <row r="350" spans="1:14" x14ac:dyDescent="0.3">
      <c r="A350" s="9">
        <v>1349</v>
      </c>
      <c r="B350" s="9" t="s">
        <v>39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7">
        <v>46079</v>
      </c>
      <c r="J350" s="7">
        <v>46083</v>
      </c>
      <c r="K350" s="4" t="s">
        <v>79</v>
      </c>
      <c r="L350" s="7">
        <f t="shared" ca="1" si="15"/>
        <v>46297</v>
      </c>
      <c r="M350" s="14">
        <f t="shared" ca="1" si="16"/>
        <v>46297.119078935182</v>
      </c>
      <c r="N350" s="4">
        <f t="shared" si="17"/>
        <v>4</v>
      </c>
    </row>
    <row r="351" spans="1:14" x14ac:dyDescent="0.3">
      <c r="A351" s="9">
        <v>1350</v>
      </c>
      <c r="B351" s="9" t="s">
        <v>28</v>
      </c>
      <c r="C351" s="4" t="s">
        <v>42</v>
      </c>
      <c r="D351" s="4" t="s">
        <v>24</v>
      </c>
      <c r="E351" s="4" t="s">
        <v>8</v>
      </c>
      <c r="F351" s="4">
        <v>16</v>
      </c>
      <c r="G351" s="4">
        <v>11790</v>
      </c>
      <c r="H351" s="4">
        <v>12</v>
      </c>
      <c r="I351" s="7">
        <v>46185</v>
      </c>
      <c r="J351" s="7">
        <v>46190</v>
      </c>
      <c r="K351" s="4" t="s">
        <v>49</v>
      </c>
      <c r="L351" s="7">
        <f t="shared" ca="1" si="15"/>
        <v>46297</v>
      </c>
      <c r="M351" s="14">
        <f t="shared" ca="1" si="16"/>
        <v>46297.119078935182</v>
      </c>
      <c r="N351" s="4">
        <f t="shared" si="17"/>
        <v>5</v>
      </c>
    </row>
    <row r="352" spans="1:14" x14ac:dyDescent="0.3">
      <c r="A352" s="9">
        <v>1351</v>
      </c>
      <c r="B352" s="9" t="s">
        <v>41</v>
      </c>
      <c r="C352" s="4" t="s">
        <v>33</v>
      </c>
      <c r="D352" s="4" t="s">
        <v>34</v>
      </c>
      <c r="E352" s="4" t="s">
        <v>6</v>
      </c>
      <c r="F352" s="4">
        <v>12</v>
      </c>
      <c r="G352" s="4">
        <v>1272</v>
      </c>
      <c r="H352" s="4">
        <v>0</v>
      </c>
      <c r="I352" s="7">
        <v>46026</v>
      </c>
      <c r="J352" s="7">
        <v>46029</v>
      </c>
      <c r="K352" s="4" t="s">
        <v>78</v>
      </c>
      <c r="L352" s="7">
        <f t="shared" ca="1" si="15"/>
        <v>46297</v>
      </c>
      <c r="M352" s="14">
        <f t="shared" ca="1" si="16"/>
        <v>46297.119078935182</v>
      </c>
      <c r="N352" s="4">
        <f t="shared" si="17"/>
        <v>3</v>
      </c>
    </row>
    <row r="353" spans="1:14" x14ac:dyDescent="0.3">
      <c r="A353" s="9">
        <v>1352</v>
      </c>
      <c r="B353" s="9" t="s">
        <v>52</v>
      </c>
      <c r="C353" s="4" t="s">
        <v>26</v>
      </c>
      <c r="D353" s="4" t="s">
        <v>20</v>
      </c>
      <c r="E353" s="4" t="s">
        <v>21</v>
      </c>
      <c r="F353" s="4">
        <v>12</v>
      </c>
      <c r="G353" s="4">
        <v>203</v>
      </c>
      <c r="H353" s="4">
        <v>5</v>
      </c>
      <c r="I353" s="7">
        <v>46024</v>
      </c>
      <c r="J353" s="7">
        <v>46033</v>
      </c>
      <c r="K353" s="4" t="s">
        <v>78</v>
      </c>
      <c r="L353" s="7">
        <f t="shared" ca="1" si="15"/>
        <v>46297</v>
      </c>
      <c r="M353" s="14">
        <f t="shared" ca="1" si="16"/>
        <v>46297.119078935182</v>
      </c>
      <c r="N353" s="4">
        <f t="shared" si="17"/>
        <v>9</v>
      </c>
    </row>
    <row r="354" spans="1:14" x14ac:dyDescent="0.3">
      <c r="A354" s="9">
        <v>1353</v>
      </c>
      <c r="B354" s="9" t="s">
        <v>45</v>
      </c>
      <c r="C354" s="4" t="s">
        <v>42</v>
      </c>
      <c r="D354" s="4" t="s">
        <v>20</v>
      </c>
      <c r="E354" s="4" t="s">
        <v>21</v>
      </c>
      <c r="F354" s="4">
        <v>6</v>
      </c>
      <c r="G354" s="4">
        <v>495</v>
      </c>
      <c r="H354" s="4">
        <v>2</v>
      </c>
      <c r="I354" s="7">
        <v>46194</v>
      </c>
      <c r="J354" s="7">
        <v>46200</v>
      </c>
      <c r="K354" s="4" t="s">
        <v>80</v>
      </c>
      <c r="L354" s="7">
        <f t="shared" ca="1" si="15"/>
        <v>46297</v>
      </c>
      <c r="M354" s="14">
        <f t="shared" ca="1" si="16"/>
        <v>46297.119078935182</v>
      </c>
      <c r="N354" s="4">
        <f t="shared" si="17"/>
        <v>6</v>
      </c>
    </row>
    <row r="355" spans="1:14" x14ac:dyDescent="0.3">
      <c r="A355" s="9">
        <v>1354</v>
      </c>
      <c r="B355" s="9" t="s">
        <v>45</v>
      </c>
      <c r="C355" s="4" t="s">
        <v>42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7">
        <v>46118</v>
      </c>
      <c r="J355" s="7">
        <v>46120</v>
      </c>
      <c r="K355" s="4" t="s">
        <v>81</v>
      </c>
      <c r="L355" s="7">
        <f t="shared" ca="1" si="15"/>
        <v>46297</v>
      </c>
      <c r="M355" s="14">
        <f t="shared" ca="1" si="16"/>
        <v>46297.119078935182</v>
      </c>
      <c r="N355" s="4">
        <f t="shared" si="17"/>
        <v>2</v>
      </c>
    </row>
    <row r="356" spans="1:14" x14ac:dyDescent="0.3">
      <c r="A356" s="9">
        <v>1355</v>
      </c>
      <c r="B356" s="9" t="s">
        <v>29</v>
      </c>
      <c r="C356" s="4" t="s">
        <v>19</v>
      </c>
      <c r="D356" s="4" t="s">
        <v>34</v>
      </c>
      <c r="E356" s="4" t="s">
        <v>9</v>
      </c>
      <c r="F356" s="4">
        <v>18</v>
      </c>
      <c r="G356" s="4">
        <v>35997</v>
      </c>
      <c r="H356" s="4">
        <v>2</v>
      </c>
      <c r="I356" s="7">
        <v>46024</v>
      </c>
      <c r="J356" s="7">
        <v>46031</v>
      </c>
      <c r="K356" s="4" t="s">
        <v>81</v>
      </c>
      <c r="L356" s="7">
        <f t="shared" ca="1" si="15"/>
        <v>46297</v>
      </c>
      <c r="M356" s="14">
        <f t="shared" ca="1" si="16"/>
        <v>46297.119078935182</v>
      </c>
      <c r="N356" s="4">
        <f t="shared" si="17"/>
        <v>7</v>
      </c>
    </row>
    <row r="357" spans="1:14" x14ac:dyDescent="0.3">
      <c r="A357" s="9">
        <v>1356</v>
      </c>
      <c r="B357" s="9" t="s">
        <v>28</v>
      </c>
      <c r="C357" s="4" t="s">
        <v>38</v>
      </c>
      <c r="D357" s="4" t="s">
        <v>34</v>
      </c>
      <c r="E357" s="4" t="s">
        <v>9</v>
      </c>
      <c r="F357" s="4">
        <v>16</v>
      </c>
      <c r="G357" s="4">
        <v>53457</v>
      </c>
      <c r="H357" s="4">
        <v>10</v>
      </c>
      <c r="I357" s="7">
        <v>46201</v>
      </c>
      <c r="J357" s="7">
        <v>46204</v>
      </c>
      <c r="K357" s="4" t="s">
        <v>78</v>
      </c>
      <c r="L357" s="7">
        <f t="shared" ca="1" si="15"/>
        <v>46297</v>
      </c>
      <c r="M357" s="14">
        <f t="shared" ca="1" si="16"/>
        <v>46297.119078935182</v>
      </c>
      <c r="N357" s="4">
        <f t="shared" si="17"/>
        <v>3</v>
      </c>
    </row>
    <row r="358" spans="1:14" x14ac:dyDescent="0.3">
      <c r="A358" s="9">
        <v>1357</v>
      </c>
      <c r="B358" s="9" t="s">
        <v>56</v>
      </c>
      <c r="C358" s="4" t="s">
        <v>27</v>
      </c>
      <c r="D358" s="4" t="s">
        <v>20</v>
      </c>
      <c r="E358" s="4" t="s">
        <v>37</v>
      </c>
      <c r="F358" s="4">
        <v>6</v>
      </c>
      <c r="G358" s="4">
        <v>365</v>
      </c>
      <c r="H358" s="4">
        <v>7</v>
      </c>
      <c r="I358" s="7">
        <v>46133</v>
      </c>
      <c r="J358" s="7">
        <v>46140</v>
      </c>
      <c r="K358" s="4" t="s">
        <v>81</v>
      </c>
      <c r="L358" s="7">
        <f t="shared" ca="1" si="15"/>
        <v>46297</v>
      </c>
      <c r="M358" s="14">
        <f t="shared" ca="1" si="16"/>
        <v>46297.119078935182</v>
      </c>
      <c r="N358" s="4">
        <f t="shared" si="17"/>
        <v>7</v>
      </c>
    </row>
    <row r="359" spans="1:14" x14ac:dyDescent="0.3">
      <c r="A359" s="9">
        <v>1358</v>
      </c>
      <c r="B359" s="9" t="s">
        <v>39</v>
      </c>
      <c r="C359" s="4" t="s">
        <v>38</v>
      </c>
      <c r="D359" s="4" t="s">
        <v>24</v>
      </c>
      <c r="E359" s="4" t="s">
        <v>7</v>
      </c>
      <c r="F359" s="4">
        <v>7</v>
      </c>
      <c r="G359" s="4">
        <v>6618</v>
      </c>
      <c r="H359" s="4">
        <v>0</v>
      </c>
      <c r="I359" s="7">
        <v>46127</v>
      </c>
      <c r="J359" s="7">
        <v>46129</v>
      </c>
      <c r="K359" s="4" t="s">
        <v>79</v>
      </c>
      <c r="L359" s="7">
        <f t="shared" ca="1" si="15"/>
        <v>46297</v>
      </c>
      <c r="M359" s="14">
        <f t="shared" ca="1" si="16"/>
        <v>46297.119078935182</v>
      </c>
      <c r="N359" s="4">
        <f t="shared" si="17"/>
        <v>2</v>
      </c>
    </row>
    <row r="360" spans="1:14" x14ac:dyDescent="0.3">
      <c r="A360" s="9">
        <v>1359</v>
      </c>
      <c r="B360" s="9" t="s">
        <v>52</v>
      </c>
      <c r="C360" s="4" t="s">
        <v>19</v>
      </c>
      <c r="D360" s="4" t="s">
        <v>34</v>
      </c>
      <c r="E360" s="4" t="s">
        <v>12</v>
      </c>
      <c r="F360" s="4">
        <v>9</v>
      </c>
      <c r="G360" s="4">
        <v>38179</v>
      </c>
      <c r="H360" s="4">
        <v>0</v>
      </c>
      <c r="I360" s="7">
        <v>46096</v>
      </c>
      <c r="J360" s="7">
        <v>46099</v>
      </c>
      <c r="K360" s="4" t="s">
        <v>78</v>
      </c>
      <c r="L360" s="7">
        <f t="shared" ca="1" si="15"/>
        <v>46297</v>
      </c>
      <c r="M360" s="14">
        <f t="shared" ca="1" si="16"/>
        <v>46297.119078935182</v>
      </c>
      <c r="N360" s="4">
        <f t="shared" si="17"/>
        <v>3</v>
      </c>
    </row>
    <row r="361" spans="1:14" x14ac:dyDescent="0.3">
      <c r="A361" s="9">
        <v>1360</v>
      </c>
      <c r="B361" s="9" t="s">
        <v>18</v>
      </c>
      <c r="C361" s="4" t="s">
        <v>42</v>
      </c>
      <c r="D361" s="4" t="s">
        <v>24</v>
      </c>
      <c r="E361" s="4" t="s">
        <v>10</v>
      </c>
      <c r="F361" s="4">
        <v>19</v>
      </c>
      <c r="G361" s="4">
        <v>6681</v>
      </c>
      <c r="H361" s="4">
        <v>2</v>
      </c>
      <c r="I361" s="7">
        <v>46146</v>
      </c>
      <c r="J361" s="7">
        <v>46150</v>
      </c>
      <c r="K361" s="4" t="s">
        <v>78</v>
      </c>
      <c r="L361" s="7">
        <f t="shared" ca="1" si="15"/>
        <v>46297</v>
      </c>
      <c r="M361" s="14">
        <f t="shared" ca="1" si="16"/>
        <v>46297.119078935182</v>
      </c>
      <c r="N361" s="4">
        <f t="shared" si="17"/>
        <v>4</v>
      </c>
    </row>
    <row r="362" spans="1:14" x14ac:dyDescent="0.3">
      <c r="A362" s="9">
        <v>1361</v>
      </c>
      <c r="B362" s="9" t="s">
        <v>41</v>
      </c>
      <c r="C362" s="4" t="s">
        <v>23</v>
      </c>
      <c r="D362" s="4" t="s">
        <v>24</v>
      </c>
      <c r="E362" s="4" t="s">
        <v>10</v>
      </c>
      <c r="F362" s="4">
        <v>2</v>
      </c>
      <c r="G362" s="4">
        <v>1822</v>
      </c>
      <c r="H362" s="4">
        <v>5</v>
      </c>
      <c r="I362" s="7">
        <v>46141</v>
      </c>
      <c r="J362" s="7">
        <v>46145</v>
      </c>
      <c r="K362" s="4" t="s">
        <v>79</v>
      </c>
      <c r="L362" s="7">
        <f t="shared" ca="1" si="15"/>
        <v>46297</v>
      </c>
      <c r="M362" s="14">
        <f t="shared" ca="1" si="16"/>
        <v>46297.119078935182</v>
      </c>
      <c r="N362" s="4">
        <f t="shared" si="17"/>
        <v>4</v>
      </c>
    </row>
    <row r="363" spans="1:14" x14ac:dyDescent="0.3">
      <c r="A363" s="9">
        <v>1362</v>
      </c>
      <c r="B363" s="9" t="s">
        <v>22</v>
      </c>
      <c r="C363" s="4" t="s">
        <v>19</v>
      </c>
      <c r="D363" s="4" t="s">
        <v>24</v>
      </c>
      <c r="E363" s="4" t="s">
        <v>8</v>
      </c>
      <c r="F363" s="4">
        <v>1</v>
      </c>
      <c r="G363" s="4">
        <v>10474</v>
      </c>
      <c r="H363" s="4">
        <v>0</v>
      </c>
      <c r="I363" s="7">
        <v>46094</v>
      </c>
      <c r="J363" s="7">
        <v>46096</v>
      </c>
      <c r="K363" s="4" t="s">
        <v>49</v>
      </c>
      <c r="L363" s="7">
        <f t="shared" ca="1" si="15"/>
        <v>46297</v>
      </c>
      <c r="M363" s="14">
        <f t="shared" ca="1" si="16"/>
        <v>46297.119078935182</v>
      </c>
      <c r="N363" s="4">
        <f t="shared" si="17"/>
        <v>2</v>
      </c>
    </row>
    <row r="364" spans="1:14" x14ac:dyDescent="0.3">
      <c r="A364" s="9">
        <v>1363</v>
      </c>
      <c r="B364" s="9" t="s">
        <v>29</v>
      </c>
      <c r="C364" s="4" t="s">
        <v>27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7">
        <v>46122</v>
      </c>
      <c r="J364" s="7">
        <v>46128</v>
      </c>
      <c r="K364" s="4" t="s">
        <v>78</v>
      </c>
      <c r="L364" s="7">
        <f t="shared" ca="1" si="15"/>
        <v>46297</v>
      </c>
      <c r="M364" s="14">
        <f t="shared" ca="1" si="16"/>
        <v>46297.119078935182</v>
      </c>
      <c r="N364" s="4">
        <f t="shared" si="17"/>
        <v>6</v>
      </c>
    </row>
    <row r="365" spans="1:14" x14ac:dyDescent="0.3">
      <c r="A365" s="9">
        <v>1364</v>
      </c>
      <c r="B365" s="9" t="s">
        <v>30</v>
      </c>
      <c r="C365" s="4" t="s">
        <v>26</v>
      </c>
      <c r="D365" s="4" t="s">
        <v>24</v>
      </c>
      <c r="E365" s="4" t="s">
        <v>11</v>
      </c>
      <c r="F365" s="4">
        <v>16</v>
      </c>
      <c r="G365" s="4">
        <v>1744</v>
      </c>
      <c r="H365" s="4">
        <v>15</v>
      </c>
      <c r="I365" s="7">
        <v>46031</v>
      </c>
      <c r="J365" s="7">
        <v>46033</v>
      </c>
      <c r="K365" s="4" t="s">
        <v>81</v>
      </c>
      <c r="L365" s="7">
        <f t="shared" ca="1" si="15"/>
        <v>46297</v>
      </c>
      <c r="M365" s="14">
        <f t="shared" ca="1" si="16"/>
        <v>46297.119078935182</v>
      </c>
      <c r="N365" s="4">
        <f t="shared" si="17"/>
        <v>2</v>
      </c>
    </row>
    <row r="366" spans="1:14" x14ac:dyDescent="0.3">
      <c r="A366" s="9">
        <v>1365</v>
      </c>
      <c r="B366" s="9" t="s">
        <v>44</v>
      </c>
      <c r="C366" s="4" t="s">
        <v>33</v>
      </c>
      <c r="D366" s="4" t="s">
        <v>20</v>
      </c>
      <c r="E366" s="4" t="s">
        <v>48</v>
      </c>
      <c r="F366" s="4">
        <v>17</v>
      </c>
      <c r="G366" s="4">
        <v>119</v>
      </c>
      <c r="H366" s="4">
        <v>7</v>
      </c>
      <c r="I366" s="7">
        <v>46070</v>
      </c>
      <c r="J366" s="7">
        <v>46072</v>
      </c>
      <c r="K366" s="4" t="s">
        <v>79</v>
      </c>
      <c r="L366" s="7">
        <f t="shared" ca="1" si="15"/>
        <v>46297</v>
      </c>
      <c r="M366" s="14">
        <f t="shared" ca="1" si="16"/>
        <v>46297.119078935182</v>
      </c>
      <c r="N366" s="4">
        <f t="shared" si="17"/>
        <v>2</v>
      </c>
    </row>
    <row r="367" spans="1:14" x14ac:dyDescent="0.3">
      <c r="A367" s="9">
        <v>1366</v>
      </c>
      <c r="B367" s="9" t="s">
        <v>28</v>
      </c>
      <c r="C367" s="4" t="s">
        <v>23</v>
      </c>
      <c r="D367" s="4" t="s">
        <v>34</v>
      </c>
      <c r="E367" s="4" t="s">
        <v>12</v>
      </c>
      <c r="F367" s="4">
        <v>20</v>
      </c>
      <c r="G367" s="4">
        <v>44312</v>
      </c>
      <c r="H367" s="4">
        <v>10</v>
      </c>
      <c r="I367" s="7">
        <v>46047</v>
      </c>
      <c r="J367" s="7">
        <v>46054</v>
      </c>
      <c r="K367" s="4" t="s">
        <v>49</v>
      </c>
      <c r="L367" s="7">
        <f t="shared" ca="1" si="15"/>
        <v>46297</v>
      </c>
      <c r="M367" s="14">
        <f t="shared" ca="1" si="16"/>
        <v>46297.119078935182</v>
      </c>
      <c r="N367" s="4">
        <f t="shared" si="17"/>
        <v>7</v>
      </c>
    </row>
    <row r="368" spans="1:14" x14ac:dyDescent="0.3">
      <c r="A368" s="9">
        <v>1367</v>
      </c>
      <c r="B368" s="9" t="s">
        <v>52</v>
      </c>
      <c r="C368" s="4" t="s">
        <v>27</v>
      </c>
      <c r="D368" s="4" t="s">
        <v>20</v>
      </c>
      <c r="E368" s="4" t="s">
        <v>51</v>
      </c>
      <c r="F368" s="4">
        <v>1</v>
      </c>
      <c r="G368" s="4">
        <v>371</v>
      </c>
      <c r="H368" s="4">
        <v>5</v>
      </c>
      <c r="I368" s="7">
        <v>46158</v>
      </c>
      <c r="J368" s="7">
        <v>46168</v>
      </c>
      <c r="K368" s="4" t="s">
        <v>49</v>
      </c>
      <c r="L368" s="7">
        <f t="shared" ca="1" si="15"/>
        <v>46297</v>
      </c>
      <c r="M368" s="14">
        <f t="shared" ca="1" si="16"/>
        <v>46297.119078935182</v>
      </c>
      <c r="N368" s="4">
        <f t="shared" si="17"/>
        <v>10</v>
      </c>
    </row>
    <row r="369" spans="1:14" x14ac:dyDescent="0.3">
      <c r="A369" s="9">
        <v>1368</v>
      </c>
      <c r="B369" s="9" t="s">
        <v>53</v>
      </c>
      <c r="C369" s="4" t="s">
        <v>38</v>
      </c>
      <c r="D369" s="4" t="s">
        <v>20</v>
      </c>
      <c r="E369" s="4" t="s">
        <v>36</v>
      </c>
      <c r="F369" s="4">
        <v>9</v>
      </c>
      <c r="G369" s="4">
        <v>115</v>
      </c>
      <c r="H369" s="4">
        <v>0</v>
      </c>
      <c r="I369" s="7">
        <v>46036</v>
      </c>
      <c r="J369" s="7">
        <v>46045</v>
      </c>
      <c r="K369" s="4" t="s">
        <v>80</v>
      </c>
      <c r="L369" s="7">
        <f t="shared" ca="1" si="15"/>
        <v>46297</v>
      </c>
      <c r="M369" s="14">
        <f t="shared" ca="1" si="16"/>
        <v>46297.119078935182</v>
      </c>
      <c r="N369" s="4">
        <f t="shared" si="17"/>
        <v>9</v>
      </c>
    </row>
    <row r="370" spans="1:14" x14ac:dyDescent="0.3">
      <c r="A370" s="9">
        <v>1369</v>
      </c>
      <c r="B370" s="9" t="s">
        <v>54</v>
      </c>
      <c r="C370" s="4" t="s">
        <v>27</v>
      </c>
      <c r="D370" s="4" t="s">
        <v>24</v>
      </c>
      <c r="E370" s="4" t="s">
        <v>7</v>
      </c>
      <c r="F370" s="4">
        <v>19</v>
      </c>
      <c r="G370" s="4">
        <v>5840</v>
      </c>
      <c r="H370" s="4">
        <v>5</v>
      </c>
      <c r="I370" s="7">
        <v>46062</v>
      </c>
      <c r="J370" s="7">
        <v>46067</v>
      </c>
      <c r="K370" s="4" t="s">
        <v>78</v>
      </c>
      <c r="L370" s="7">
        <f t="shared" ca="1" si="15"/>
        <v>46297</v>
      </c>
      <c r="M370" s="14">
        <f t="shared" ca="1" si="16"/>
        <v>46297.119078935182</v>
      </c>
      <c r="N370" s="4">
        <f t="shared" si="17"/>
        <v>5</v>
      </c>
    </row>
    <row r="371" spans="1:14" x14ac:dyDescent="0.3">
      <c r="A371" s="9">
        <v>1370</v>
      </c>
      <c r="B371" s="9" t="s">
        <v>56</v>
      </c>
      <c r="C371" s="4" t="s">
        <v>38</v>
      </c>
      <c r="D371" s="4" t="s">
        <v>20</v>
      </c>
      <c r="E371" s="4" t="s">
        <v>51</v>
      </c>
      <c r="F371" s="4">
        <v>13</v>
      </c>
      <c r="G371" s="4">
        <v>337</v>
      </c>
      <c r="H371" s="4">
        <v>7</v>
      </c>
      <c r="I371" s="7">
        <v>46184</v>
      </c>
      <c r="J371" s="7">
        <v>46188</v>
      </c>
      <c r="K371" s="4" t="s">
        <v>78</v>
      </c>
      <c r="L371" s="7">
        <f t="shared" ca="1" si="15"/>
        <v>46297</v>
      </c>
      <c r="M371" s="14">
        <f t="shared" ca="1" si="16"/>
        <v>46297.119078935182</v>
      </c>
      <c r="N371" s="4">
        <f t="shared" si="17"/>
        <v>4</v>
      </c>
    </row>
    <row r="372" spans="1:14" x14ac:dyDescent="0.3">
      <c r="A372" s="9">
        <v>1371</v>
      </c>
      <c r="B372" s="9" t="s">
        <v>46</v>
      </c>
      <c r="C372" s="4" t="s">
        <v>38</v>
      </c>
      <c r="D372" s="4" t="s">
        <v>24</v>
      </c>
      <c r="E372" s="4" t="s">
        <v>7</v>
      </c>
      <c r="F372" s="4">
        <v>19</v>
      </c>
      <c r="G372" s="4">
        <v>1087</v>
      </c>
      <c r="H372" s="4">
        <v>15</v>
      </c>
      <c r="I372" s="7">
        <v>46072</v>
      </c>
      <c r="J372" s="7">
        <v>46082</v>
      </c>
      <c r="K372" s="4" t="s">
        <v>79</v>
      </c>
      <c r="L372" s="7">
        <f t="shared" ca="1" si="15"/>
        <v>46297</v>
      </c>
      <c r="M372" s="14">
        <f t="shared" ca="1" si="16"/>
        <v>46297.119078935182</v>
      </c>
      <c r="N372" s="4">
        <f t="shared" si="17"/>
        <v>10</v>
      </c>
    </row>
    <row r="373" spans="1:14" x14ac:dyDescent="0.3">
      <c r="A373" s="9">
        <v>1372</v>
      </c>
      <c r="B373" s="9" t="s">
        <v>46</v>
      </c>
      <c r="C373" s="4" t="s">
        <v>23</v>
      </c>
      <c r="D373" s="4" t="s">
        <v>34</v>
      </c>
      <c r="E373" s="4" t="s">
        <v>5</v>
      </c>
      <c r="F373" s="4">
        <v>9</v>
      </c>
      <c r="G373" s="4">
        <v>9551</v>
      </c>
      <c r="H373" s="4">
        <v>10</v>
      </c>
      <c r="I373" s="7">
        <v>46161</v>
      </c>
      <c r="J373" s="7">
        <v>46168</v>
      </c>
      <c r="K373" s="4" t="s">
        <v>78</v>
      </c>
      <c r="L373" s="7">
        <f t="shared" ca="1" si="15"/>
        <v>46297</v>
      </c>
      <c r="M373" s="14">
        <f t="shared" ca="1" si="16"/>
        <v>46297.119078935182</v>
      </c>
      <c r="N373" s="4">
        <f t="shared" si="17"/>
        <v>7</v>
      </c>
    </row>
    <row r="374" spans="1:14" x14ac:dyDescent="0.3">
      <c r="A374" s="9">
        <v>1373</v>
      </c>
      <c r="B374" s="9" t="s">
        <v>52</v>
      </c>
      <c r="C374" s="4" t="s">
        <v>27</v>
      </c>
      <c r="D374" s="4" t="s">
        <v>34</v>
      </c>
      <c r="E374" s="4" t="s">
        <v>9</v>
      </c>
      <c r="F374" s="4">
        <v>11</v>
      </c>
      <c r="G374" s="4">
        <v>47930</v>
      </c>
      <c r="H374" s="4">
        <v>12</v>
      </c>
      <c r="I374" s="7">
        <v>46191</v>
      </c>
      <c r="J374" s="7">
        <v>46201</v>
      </c>
      <c r="K374" s="4" t="s">
        <v>79</v>
      </c>
      <c r="L374" s="7">
        <f t="shared" ca="1" si="15"/>
        <v>46297</v>
      </c>
      <c r="M374" s="14">
        <f t="shared" ca="1" si="16"/>
        <v>46297.119078935182</v>
      </c>
      <c r="N374" s="4">
        <f t="shared" si="17"/>
        <v>10</v>
      </c>
    </row>
    <row r="375" spans="1:14" x14ac:dyDescent="0.3">
      <c r="A375" s="9">
        <v>1374</v>
      </c>
      <c r="B375" s="9" t="s">
        <v>54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7">
        <v>46063</v>
      </c>
      <c r="J375" s="7">
        <v>46066</v>
      </c>
      <c r="K375" s="4" t="s">
        <v>81</v>
      </c>
      <c r="L375" s="7">
        <f t="shared" ca="1" si="15"/>
        <v>46297</v>
      </c>
      <c r="M375" s="14">
        <f t="shared" ca="1" si="16"/>
        <v>46297.119078935182</v>
      </c>
      <c r="N375" s="4">
        <f t="shared" si="17"/>
        <v>3</v>
      </c>
    </row>
    <row r="376" spans="1:14" x14ac:dyDescent="0.3">
      <c r="A376" s="9">
        <v>1375</v>
      </c>
      <c r="B376" s="9" t="s">
        <v>44</v>
      </c>
      <c r="C376" s="4" t="s">
        <v>42</v>
      </c>
      <c r="D376" s="4" t="s">
        <v>34</v>
      </c>
      <c r="E376" s="4" t="s">
        <v>6</v>
      </c>
      <c r="F376" s="4">
        <v>20</v>
      </c>
      <c r="G376" s="4">
        <v>56766</v>
      </c>
      <c r="H376" s="4">
        <v>0</v>
      </c>
      <c r="I376" s="7">
        <v>46052</v>
      </c>
      <c r="J376" s="7">
        <v>46061</v>
      </c>
      <c r="K376" s="4" t="s">
        <v>80</v>
      </c>
      <c r="L376" s="7">
        <f t="shared" ca="1" si="15"/>
        <v>46297</v>
      </c>
      <c r="M376" s="14">
        <f t="shared" ca="1" si="16"/>
        <v>46297.119078935182</v>
      </c>
      <c r="N376" s="4">
        <f t="shared" si="17"/>
        <v>9</v>
      </c>
    </row>
    <row r="377" spans="1:14" x14ac:dyDescent="0.3">
      <c r="A377" s="9">
        <v>1376</v>
      </c>
      <c r="B377" s="9" t="s">
        <v>50</v>
      </c>
      <c r="C377" s="4" t="s">
        <v>31</v>
      </c>
      <c r="D377" s="4" t="s">
        <v>20</v>
      </c>
      <c r="E377" s="4" t="s">
        <v>48</v>
      </c>
      <c r="F377" s="4">
        <v>20</v>
      </c>
      <c r="G377" s="4">
        <v>429</v>
      </c>
      <c r="H377" s="4">
        <v>5</v>
      </c>
      <c r="I377" s="7">
        <v>46178</v>
      </c>
      <c r="J377" s="7">
        <v>46184</v>
      </c>
      <c r="K377" s="4" t="s">
        <v>79</v>
      </c>
      <c r="L377" s="7">
        <f t="shared" ca="1" si="15"/>
        <v>46297</v>
      </c>
      <c r="M377" s="14">
        <f t="shared" ca="1" si="16"/>
        <v>46297.119078935182</v>
      </c>
      <c r="N377" s="4">
        <f t="shared" si="17"/>
        <v>6</v>
      </c>
    </row>
    <row r="378" spans="1:14" x14ac:dyDescent="0.3">
      <c r="A378" s="9">
        <v>1377</v>
      </c>
      <c r="B378" s="9" t="s">
        <v>32</v>
      </c>
      <c r="C378" s="4" t="s">
        <v>38</v>
      </c>
      <c r="D378" s="4" t="s">
        <v>24</v>
      </c>
      <c r="E378" s="4" t="s">
        <v>7</v>
      </c>
      <c r="F378" s="4">
        <v>3</v>
      </c>
      <c r="G378" s="4">
        <v>5480</v>
      </c>
      <c r="H378" s="4">
        <v>12</v>
      </c>
      <c r="I378" s="7">
        <v>46105</v>
      </c>
      <c r="J378" s="7">
        <v>46111</v>
      </c>
      <c r="K378" s="4" t="s">
        <v>80</v>
      </c>
      <c r="L378" s="7">
        <f t="shared" ca="1" si="15"/>
        <v>46297</v>
      </c>
      <c r="M378" s="14">
        <f t="shared" ca="1" si="16"/>
        <v>46297.119078935182</v>
      </c>
      <c r="N378" s="4">
        <f t="shared" si="17"/>
        <v>6</v>
      </c>
    </row>
    <row r="379" spans="1:14" x14ac:dyDescent="0.3">
      <c r="A379" s="9">
        <v>1378</v>
      </c>
      <c r="B379" s="9" t="s">
        <v>53</v>
      </c>
      <c r="C379" s="4" t="s">
        <v>26</v>
      </c>
      <c r="D379" s="4" t="s">
        <v>34</v>
      </c>
      <c r="E379" s="4" t="s">
        <v>6</v>
      </c>
      <c r="F379" s="4">
        <v>15</v>
      </c>
      <c r="G379" s="4">
        <v>22693</v>
      </c>
      <c r="H379" s="4">
        <v>12</v>
      </c>
      <c r="I379" s="7">
        <v>46074</v>
      </c>
      <c r="J379" s="7">
        <v>46080</v>
      </c>
      <c r="K379" s="4" t="s">
        <v>81</v>
      </c>
      <c r="L379" s="7">
        <f t="shared" ca="1" si="15"/>
        <v>46297</v>
      </c>
      <c r="M379" s="14">
        <f t="shared" ca="1" si="16"/>
        <v>46297.119078935182</v>
      </c>
      <c r="N379" s="4">
        <f t="shared" si="17"/>
        <v>6</v>
      </c>
    </row>
    <row r="380" spans="1:14" x14ac:dyDescent="0.3">
      <c r="A380" s="9">
        <v>1379</v>
      </c>
      <c r="B380" s="9" t="s">
        <v>45</v>
      </c>
      <c r="C380" s="4" t="s">
        <v>23</v>
      </c>
      <c r="D380" s="4" t="s">
        <v>20</v>
      </c>
      <c r="E380" s="4" t="s">
        <v>21</v>
      </c>
      <c r="F380" s="4">
        <v>11</v>
      </c>
      <c r="G380" s="4">
        <v>136</v>
      </c>
      <c r="H380" s="4">
        <v>15</v>
      </c>
      <c r="I380" s="7">
        <v>46106</v>
      </c>
      <c r="J380" s="7">
        <v>46107</v>
      </c>
      <c r="K380" s="4" t="s">
        <v>79</v>
      </c>
      <c r="L380" s="7">
        <f t="shared" ca="1" si="15"/>
        <v>46297</v>
      </c>
      <c r="M380" s="14">
        <f t="shared" ca="1" si="16"/>
        <v>46297.119078935182</v>
      </c>
      <c r="N380" s="4">
        <f t="shared" si="17"/>
        <v>1</v>
      </c>
    </row>
    <row r="381" spans="1:14" x14ac:dyDescent="0.3">
      <c r="A381" s="9">
        <v>1380</v>
      </c>
      <c r="B381" s="9" t="s">
        <v>50</v>
      </c>
      <c r="C381" s="4" t="s">
        <v>42</v>
      </c>
      <c r="D381" s="4" t="s">
        <v>20</v>
      </c>
      <c r="E381" s="4" t="s">
        <v>51</v>
      </c>
      <c r="F381" s="4">
        <v>3</v>
      </c>
      <c r="G381" s="4">
        <v>412</v>
      </c>
      <c r="H381" s="4">
        <v>7</v>
      </c>
      <c r="I381" s="7">
        <v>46128</v>
      </c>
      <c r="J381" s="7">
        <v>46138</v>
      </c>
      <c r="K381" s="4" t="s">
        <v>80</v>
      </c>
      <c r="L381" s="7">
        <f t="shared" ca="1" si="15"/>
        <v>46297</v>
      </c>
      <c r="M381" s="14">
        <f t="shared" ca="1" si="16"/>
        <v>46297.119078935182</v>
      </c>
      <c r="N381" s="4">
        <f t="shared" si="17"/>
        <v>10</v>
      </c>
    </row>
    <row r="382" spans="1:14" x14ac:dyDescent="0.3">
      <c r="A382" s="9">
        <v>1381</v>
      </c>
      <c r="B382" s="9" t="s">
        <v>53</v>
      </c>
      <c r="C382" s="4" t="s">
        <v>33</v>
      </c>
      <c r="D382" s="4" t="s">
        <v>24</v>
      </c>
      <c r="E382" s="4" t="s">
        <v>8</v>
      </c>
      <c r="F382" s="4">
        <v>5</v>
      </c>
      <c r="G382" s="4">
        <v>7484</v>
      </c>
      <c r="H382" s="4">
        <v>2</v>
      </c>
      <c r="I382" s="7">
        <v>46089</v>
      </c>
      <c r="J382" s="7">
        <v>46093</v>
      </c>
      <c r="K382" s="4" t="s">
        <v>79</v>
      </c>
      <c r="L382" s="7">
        <f t="shared" ca="1" si="15"/>
        <v>46297</v>
      </c>
      <c r="M382" s="14">
        <f t="shared" ca="1" si="16"/>
        <v>46297.119078935182</v>
      </c>
      <c r="N382" s="4">
        <f t="shared" si="17"/>
        <v>4</v>
      </c>
    </row>
    <row r="383" spans="1:14" x14ac:dyDescent="0.3">
      <c r="A383" s="9">
        <v>1382</v>
      </c>
      <c r="B383" s="9" t="s">
        <v>47</v>
      </c>
      <c r="C383" s="4" t="s">
        <v>33</v>
      </c>
      <c r="D383" s="4" t="s">
        <v>34</v>
      </c>
      <c r="E383" s="4" t="s">
        <v>9</v>
      </c>
      <c r="F383" s="4">
        <v>11</v>
      </c>
      <c r="G383" s="4">
        <v>36198</v>
      </c>
      <c r="H383" s="4">
        <v>0</v>
      </c>
      <c r="I383" s="7">
        <v>46130</v>
      </c>
      <c r="J383" s="7">
        <v>46134</v>
      </c>
      <c r="K383" s="4" t="s">
        <v>78</v>
      </c>
      <c r="L383" s="7">
        <f t="shared" ca="1" si="15"/>
        <v>46297</v>
      </c>
      <c r="M383" s="14">
        <f t="shared" ca="1" si="16"/>
        <v>46297.119078935182</v>
      </c>
      <c r="N383" s="4">
        <f t="shared" si="17"/>
        <v>4</v>
      </c>
    </row>
    <row r="384" spans="1:14" x14ac:dyDescent="0.3">
      <c r="A384" s="9">
        <v>1383</v>
      </c>
      <c r="B384" s="9" t="s">
        <v>32</v>
      </c>
      <c r="C384" s="4" t="s">
        <v>19</v>
      </c>
      <c r="D384" s="4" t="s">
        <v>20</v>
      </c>
      <c r="E384" s="4" t="s">
        <v>51</v>
      </c>
      <c r="F384" s="4">
        <v>14</v>
      </c>
      <c r="G384" s="4">
        <v>334</v>
      </c>
      <c r="H384" s="4">
        <v>10</v>
      </c>
      <c r="I384" s="7">
        <v>46196</v>
      </c>
      <c r="J384" s="7">
        <v>46203</v>
      </c>
      <c r="K384" s="4" t="s">
        <v>78</v>
      </c>
      <c r="L384" s="7">
        <f t="shared" ca="1" si="15"/>
        <v>46297</v>
      </c>
      <c r="M384" s="14">
        <f t="shared" ca="1" si="16"/>
        <v>46297.119078935182</v>
      </c>
      <c r="N384" s="4">
        <f t="shared" si="17"/>
        <v>7</v>
      </c>
    </row>
    <row r="385" spans="1:14" x14ac:dyDescent="0.3">
      <c r="A385" s="9">
        <v>1384</v>
      </c>
      <c r="B385" s="9" t="s">
        <v>56</v>
      </c>
      <c r="C385" s="4" t="s">
        <v>19</v>
      </c>
      <c r="D385" s="4" t="s">
        <v>34</v>
      </c>
      <c r="E385" s="4" t="s">
        <v>5</v>
      </c>
      <c r="F385" s="4">
        <v>15</v>
      </c>
      <c r="G385" s="4">
        <v>38116</v>
      </c>
      <c r="H385" s="4">
        <v>0</v>
      </c>
      <c r="I385" s="7">
        <v>46074</v>
      </c>
      <c r="J385" s="7">
        <v>46078</v>
      </c>
      <c r="K385" s="4" t="s">
        <v>49</v>
      </c>
      <c r="L385" s="7">
        <f t="shared" ca="1" si="15"/>
        <v>46297</v>
      </c>
      <c r="M385" s="14">
        <f t="shared" ca="1" si="16"/>
        <v>46297.119078935182</v>
      </c>
      <c r="N385" s="4">
        <f t="shared" si="17"/>
        <v>4</v>
      </c>
    </row>
    <row r="386" spans="1:14" x14ac:dyDescent="0.3">
      <c r="A386" s="9">
        <v>1385</v>
      </c>
      <c r="B386" s="9" t="s">
        <v>28</v>
      </c>
      <c r="C386" s="4" t="s">
        <v>33</v>
      </c>
      <c r="D386" s="4" t="s">
        <v>34</v>
      </c>
      <c r="E386" s="4" t="s">
        <v>5</v>
      </c>
      <c r="F386" s="4">
        <v>12</v>
      </c>
      <c r="G386" s="4">
        <v>61360</v>
      </c>
      <c r="H386" s="4">
        <v>10</v>
      </c>
      <c r="I386" s="7">
        <v>46048</v>
      </c>
      <c r="J386" s="7">
        <v>46053</v>
      </c>
      <c r="K386" s="4" t="s">
        <v>81</v>
      </c>
      <c r="L386" s="7">
        <f t="shared" ca="1" si="15"/>
        <v>46297</v>
      </c>
      <c r="M386" s="14">
        <f t="shared" ca="1" si="16"/>
        <v>46297.119078935182</v>
      </c>
      <c r="N386" s="4">
        <f t="shared" si="17"/>
        <v>5</v>
      </c>
    </row>
    <row r="387" spans="1:14" x14ac:dyDescent="0.3">
      <c r="A387" s="9">
        <v>1386</v>
      </c>
      <c r="B387" s="9" t="s">
        <v>29</v>
      </c>
      <c r="C387" s="4" t="s">
        <v>31</v>
      </c>
      <c r="D387" s="4" t="s">
        <v>24</v>
      </c>
      <c r="E387" s="4" t="s">
        <v>8</v>
      </c>
      <c r="F387" s="4">
        <v>9</v>
      </c>
      <c r="G387" s="4">
        <v>7509</v>
      </c>
      <c r="H387" s="4">
        <v>5</v>
      </c>
      <c r="I387" s="7">
        <v>46162</v>
      </c>
      <c r="J387" s="7">
        <v>46171</v>
      </c>
      <c r="K387" s="4" t="s">
        <v>81</v>
      </c>
      <c r="L387" s="7">
        <f t="shared" ref="L387:L401" ca="1" si="18">TODAY()</f>
        <v>46297</v>
      </c>
      <c r="M387" s="14">
        <f t="shared" ref="M387:M401" ca="1" si="19">NOW()</f>
        <v>46297.119078935182</v>
      </c>
      <c r="N387" s="4">
        <f t="shared" ref="N387:N401" si="20">DATEDIF(I387,J387, "d")</f>
        <v>9</v>
      </c>
    </row>
    <row r="388" spans="1:14" x14ac:dyDescent="0.3">
      <c r="A388" s="9">
        <v>1387</v>
      </c>
      <c r="B388" s="9" t="s">
        <v>52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7">
        <v>46102</v>
      </c>
      <c r="J388" s="7">
        <v>46112</v>
      </c>
      <c r="K388" s="4" t="s">
        <v>80</v>
      </c>
      <c r="L388" s="7">
        <f t="shared" ca="1" si="18"/>
        <v>46297</v>
      </c>
      <c r="M388" s="14">
        <f t="shared" ca="1" si="19"/>
        <v>46297.119078935182</v>
      </c>
      <c r="N388" s="4">
        <f t="shared" si="20"/>
        <v>10</v>
      </c>
    </row>
    <row r="389" spans="1:14" x14ac:dyDescent="0.3">
      <c r="A389" s="9">
        <v>1388</v>
      </c>
      <c r="B389" s="9" t="s">
        <v>53</v>
      </c>
      <c r="C389" s="4" t="s">
        <v>31</v>
      </c>
      <c r="D389" s="4" t="s">
        <v>24</v>
      </c>
      <c r="E389" s="4" t="s">
        <v>8</v>
      </c>
      <c r="F389" s="4">
        <v>12</v>
      </c>
      <c r="G389" s="4">
        <v>11662</v>
      </c>
      <c r="H389" s="4">
        <v>12</v>
      </c>
      <c r="I389" s="7">
        <v>46094</v>
      </c>
      <c r="J389" s="7">
        <v>46096</v>
      </c>
      <c r="K389" s="4" t="s">
        <v>79</v>
      </c>
      <c r="L389" s="7">
        <f t="shared" ca="1" si="18"/>
        <v>46297</v>
      </c>
      <c r="M389" s="14">
        <f t="shared" ca="1" si="19"/>
        <v>46297.119078935182</v>
      </c>
      <c r="N389" s="4">
        <f t="shared" si="20"/>
        <v>2</v>
      </c>
    </row>
    <row r="390" spans="1:14" x14ac:dyDescent="0.3">
      <c r="A390" s="9">
        <v>1389</v>
      </c>
      <c r="B390" s="9" t="s">
        <v>32</v>
      </c>
      <c r="C390" s="4" t="s">
        <v>19</v>
      </c>
      <c r="D390" s="4" t="s">
        <v>34</v>
      </c>
      <c r="E390" s="4" t="s">
        <v>40</v>
      </c>
      <c r="F390" s="4">
        <v>3</v>
      </c>
      <c r="G390" s="4">
        <v>56380</v>
      </c>
      <c r="H390" s="4">
        <v>5</v>
      </c>
      <c r="I390" s="7">
        <v>46044</v>
      </c>
      <c r="J390" s="7">
        <v>46048</v>
      </c>
      <c r="K390" s="4" t="s">
        <v>81</v>
      </c>
      <c r="L390" s="7">
        <f t="shared" ca="1" si="18"/>
        <v>46297</v>
      </c>
      <c r="M390" s="14">
        <f t="shared" ca="1" si="19"/>
        <v>46297.119078935182</v>
      </c>
      <c r="N390" s="4">
        <f t="shared" si="20"/>
        <v>4</v>
      </c>
    </row>
    <row r="391" spans="1:14" x14ac:dyDescent="0.3">
      <c r="A391" s="9">
        <v>1390</v>
      </c>
      <c r="B391" s="9" t="s">
        <v>55</v>
      </c>
      <c r="C391" s="4" t="s">
        <v>42</v>
      </c>
      <c r="D391" s="4" t="s">
        <v>24</v>
      </c>
      <c r="E391" s="4" t="s">
        <v>7</v>
      </c>
      <c r="F391" s="4">
        <v>9</v>
      </c>
      <c r="G391" s="4">
        <v>7670</v>
      </c>
      <c r="H391" s="4">
        <v>0</v>
      </c>
      <c r="I391" s="7">
        <v>46076</v>
      </c>
      <c r="J391" s="7">
        <v>46081</v>
      </c>
      <c r="K391" s="4" t="s">
        <v>81</v>
      </c>
      <c r="L391" s="7">
        <f t="shared" ca="1" si="18"/>
        <v>46297</v>
      </c>
      <c r="M391" s="14">
        <f t="shared" ca="1" si="19"/>
        <v>46297.119078935182</v>
      </c>
      <c r="N391" s="4">
        <f t="shared" si="20"/>
        <v>5</v>
      </c>
    </row>
    <row r="392" spans="1:14" x14ac:dyDescent="0.3">
      <c r="A392" s="9">
        <v>1391</v>
      </c>
      <c r="B392" s="9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7">
        <v>46100</v>
      </c>
      <c r="J392" s="7">
        <v>46103</v>
      </c>
      <c r="K392" s="4" t="s">
        <v>80</v>
      </c>
      <c r="L392" s="7">
        <f t="shared" ca="1" si="18"/>
        <v>46297</v>
      </c>
      <c r="M392" s="14">
        <f t="shared" ca="1" si="19"/>
        <v>46297.119078935182</v>
      </c>
      <c r="N392" s="4">
        <f t="shared" si="20"/>
        <v>3</v>
      </c>
    </row>
    <row r="393" spans="1:14" x14ac:dyDescent="0.3">
      <c r="A393" s="9">
        <v>1392</v>
      </c>
      <c r="B393" s="9" t="s">
        <v>49</v>
      </c>
      <c r="C393" s="4" t="s">
        <v>42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7">
        <v>46124</v>
      </c>
      <c r="J393" s="7">
        <v>46125</v>
      </c>
      <c r="K393" s="4" t="s">
        <v>49</v>
      </c>
      <c r="L393" s="7">
        <f t="shared" ca="1" si="18"/>
        <v>46297</v>
      </c>
      <c r="M393" s="14">
        <f t="shared" ca="1" si="19"/>
        <v>46297.119078935182</v>
      </c>
      <c r="N393" s="4">
        <f t="shared" si="20"/>
        <v>1</v>
      </c>
    </row>
    <row r="394" spans="1:14" x14ac:dyDescent="0.3">
      <c r="A394" s="9">
        <v>1393</v>
      </c>
      <c r="B394" s="9" t="s">
        <v>30</v>
      </c>
      <c r="C394" s="4" t="s">
        <v>27</v>
      </c>
      <c r="D394" s="4" t="s">
        <v>34</v>
      </c>
      <c r="E394" s="4" t="s">
        <v>6</v>
      </c>
      <c r="F394" s="4">
        <v>17</v>
      </c>
      <c r="G394" s="4">
        <v>30351</v>
      </c>
      <c r="H394" s="4">
        <v>15</v>
      </c>
      <c r="I394" s="7">
        <v>46047</v>
      </c>
      <c r="J394" s="7">
        <v>46051</v>
      </c>
      <c r="K394" s="4" t="s">
        <v>81</v>
      </c>
      <c r="L394" s="7">
        <f t="shared" ca="1" si="18"/>
        <v>46297</v>
      </c>
      <c r="M394" s="14">
        <f t="shared" ca="1" si="19"/>
        <v>46297.119078935182</v>
      </c>
      <c r="N394" s="4">
        <f t="shared" si="20"/>
        <v>4</v>
      </c>
    </row>
    <row r="395" spans="1:14" x14ac:dyDescent="0.3">
      <c r="A395" s="9">
        <v>1394</v>
      </c>
      <c r="B395" s="9" t="s">
        <v>52</v>
      </c>
      <c r="C395" s="4" t="s">
        <v>19</v>
      </c>
      <c r="D395" s="4" t="s">
        <v>20</v>
      </c>
      <c r="E395" s="4" t="s">
        <v>21</v>
      </c>
      <c r="F395" s="4">
        <v>10</v>
      </c>
      <c r="G395" s="4">
        <v>138</v>
      </c>
      <c r="H395" s="4">
        <v>2</v>
      </c>
      <c r="I395" s="7">
        <v>46056</v>
      </c>
      <c r="J395" s="7">
        <v>46057</v>
      </c>
      <c r="K395" s="4" t="s">
        <v>78</v>
      </c>
      <c r="L395" s="7">
        <f t="shared" ca="1" si="18"/>
        <v>46297</v>
      </c>
      <c r="M395" s="14">
        <f t="shared" ca="1" si="19"/>
        <v>46297.119078935182</v>
      </c>
      <c r="N395" s="4">
        <f t="shared" si="20"/>
        <v>1</v>
      </c>
    </row>
    <row r="396" spans="1:14" x14ac:dyDescent="0.3">
      <c r="A396" s="9">
        <v>1395</v>
      </c>
      <c r="B396" s="9" t="s">
        <v>52</v>
      </c>
      <c r="C396" s="4" t="s">
        <v>33</v>
      </c>
      <c r="D396" s="4" t="s">
        <v>24</v>
      </c>
      <c r="E396" s="4" t="s">
        <v>43</v>
      </c>
      <c r="F396" s="4">
        <v>18</v>
      </c>
      <c r="G396" s="4">
        <v>10402</v>
      </c>
      <c r="H396" s="4">
        <v>15</v>
      </c>
      <c r="I396" s="7">
        <v>46062</v>
      </c>
      <c r="J396" s="7">
        <v>46067</v>
      </c>
      <c r="K396" s="4" t="s">
        <v>49</v>
      </c>
      <c r="L396" s="7">
        <f t="shared" ca="1" si="18"/>
        <v>46297</v>
      </c>
      <c r="M396" s="14">
        <f t="shared" ca="1" si="19"/>
        <v>46297.119078935182</v>
      </c>
      <c r="N396" s="4">
        <f t="shared" si="20"/>
        <v>5</v>
      </c>
    </row>
    <row r="397" spans="1:14" x14ac:dyDescent="0.3">
      <c r="A397" s="9">
        <v>1396</v>
      </c>
      <c r="B397" s="9" t="s">
        <v>25</v>
      </c>
      <c r="C397" s="4" t="s">
        <v>38</v>
      </c>
      <c r="D397" s="4" t="s">
        <v>20</v>
      </c>
      <c r="E397" s="4" t="s">
        <v>51</v>
      </c>
      <c r="F397" s="4">
        <v>8</v>
      </c>
      <c r="G397" s="4">
        <v>54</v>
      </c>
      <c r="H397" s="4">
        <v>15</v>
      </c>
      <c r="I397" s="7">
        <v>46031</v>
      </c>
      <c r="J397" s="7">
        <v>46035</v>
      </c>
      <c r="K397" s="4" t="s">
        <v>78</v>
      </c>
      <c r="L397" s="7">
        <f t="shared" ca="1" si="18"/>
        <v>46297</v>
      </c>
      <c r="M397" s="14">
        <f t="shared" ca="1" si="19"/>
        <v>46297.119078935182</v>
      </c>
      <c r="N397" s="4">
        <f t="shared" si="20"/>
        <v>4</v>
      </c>
    </row>
    <row r="398" spans="1:14" x14ac:dyDescent="0.3">
      <c r="A398" s="9">
        <v>1397</v>
      </c>
      <c r="B398" s="9" t="s">
        <v>25</v>
      </c>
      <c r="C398" s="4" t="s">
        <v>33</v>
      </c>
      <c r="D398" s="4" t="s">
        <v>24</v>
      </c>
      <c r="E398" s="4" t="s">
        <v>10</v>
      </c>
      <c r="F398" s="4">
        <v>1</v>
      </c>
      <c r="G398" s="4">
        <v>8948</v>
      </c>
      <c r="H398" s="4">
        <v>5</v>
      </c>
      <c r="I398" s="7">
        <v>46194</v>
      </c>
      <c r="J398" s="7">
        <v>46201</v>
      </c>
      <c r="K398" s="4" t="s">
        <v>81</v>
      </c>
      <c r="L398" s="7">
        <f t="shared" ca="1" si="18"/>
        <v>46297</v>
      </c>
      <c r="M398" s="14">
        <f t="shared" ca="1" si="19"/>
        <v>46297.119078935182</v>
      </c>
      <c r="N398" s="4">
        <f t="shared" si="20"/>
        <v>7</v>
      </c>
    </row>
    <row r="399" spans="1:14" x14ac:dyDescent="0.3">
      <c r="A399" s="9">
        <v>1398</v>
      </c>
      <c r="B399" s="9" t="s">
        <v>55</v>
      </c>
      <c r="C399" s="4" t="s">
        <v>42</v>
      </c>
      <c r="D399" s="4" t="s">
        <v>34</v>
      </c>
      <c r="E399" s="4" t="s">
        <v>5</v>
      </c>
      <c r="F399" s="4">
        <v>12</v>
      </c>
      <c r="G399" s="4">
        <v>10668</v>
      </c>
      <c r="H399" s="4">
        <v>0</v>
      </c>
      <c r="I399" s="7">
        <v>46170</v>
      </c>
      <c r="J399" s="7">
        <v>46176</v>
      </c>
      <c r="K399" s="4" t="s">
        <v>78</v>
      </c>
      <c r="L399" s="7">
        <f t="shared" ca="1" si="18"/>
        <v>46297</v>
      </c>
      <c r="M399" s="14">
        <f t="shared" ca="1" si="19"/>
        <v>46297.119078935182</v>
      </c>
      <c r="N399" s="4">
        <f t="shared" si="20"/>
        <v>6</v>
      </c>
    </row>
    <row r="400" spans="1:14" x14ac:dyDescent="0.3">
      <c r="A400" s="9">
        <v>1399</v>
      </c>
      <c r="B400" s="9" t="s">
        <v>46</v>
      </c>
      <c r="C400" s="4" t="s">
        <v>31</v>
      </c>
      <c r="D400" s="4" t="s">
        <v>20</v>
      </c>
      <c r="E400" s="4" t="s">
        <v>21</v>
      </c>
      <c r="F400" s="4">
        <v>15</v>
      </c>
      <c r="G400" s="4">
        <v>87</v>
      </c>
      <c r="H400" s="4">
        <v>15</v>
      </c>
      <c r="I400" s="7">
        <v>46089</v>
      </c>
      <c r="J400" s="7">
        <v>46093</v>
      </c>
      <c r="K400" s="4" t="s">
        <v>79</v>
      </c>
      <c r="L400" s="7">
        <f t="shared" ca="1" si="18"/>
        <v>46297</v>
      </c>
      <c r="M400" s="14">
        <f t="shared" ca="1" si="19"/>
        <v>46297.119078935182</v>
      </c>
      <c r="N400" s="4">
        <f t="shared" si="20"/>
        <v>4</v>
      </c>
    </row>
    <row r="401" spans="1:14" x14ac:dyDescent="0.3">
      <c r="A401" s="9">
        <v>1400</v>
      </c>
      <c r="B401" s="9" t="s">
        <v>39</v>
      </c>
      <c r="C401" s="4" t="s">
        <v>26</v>
      </c>
      <c r="D401" s="4" t="s">
        <v>34</v>
      </c>
      <c r="E401" s="4" t="s">
        <v>35</v>
      </c>
      <c r="F401" s="4">
        <v>13</v>
      </c>
      <c r="G401" s="4">
        <v>52411</v>
      </c>
      <c r="H401" s="4">
        <v>15</v>
      </c>
      <c r="I401" s="7">
        <v>46090</v>
      </c>
      <c r="J401" s="7">
        <v>46092</v>
      </c>
      <c r="K401" s="4" t="s">
        <v>79</v>
      </c>
      <c r="L401" s="7">
        <f t="shared" ca="1" si="18"/>
        <v>46297</v>
      </c>
      <c r="M401" s="14">
        <f t="shared" ca="1" si="19"/>
        <v>46297.119078935182</v>
      </c>
      <c r="N401" s="4">
        <f t="shared" si="20"/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FADD-705C-4F00-9361-B4A8403704D1}">
  <dimension ref="A1:L401"/>
  <sheetViews>
    <sheetView workbookViewId="0">
      <pane ySplit="1" topLeftCell="A2" activePane="bottomLeft" state="frozen"/>
      <selection pane="bottomLeft" sqref="A1:L1"/>
    </sheetView>
  </sheetViews>
  <sheetFormatPr defaultRowHeight="14.4" x14ac:dyDescent="0.3"/>
  <cols>
    <col min="1" max="1" width="8.5546875" bestFit="1" customWidth="1"/>
    <col min="2" max="2" width="9.10937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.33203125" bestFit="1" customWidth="1"/>
    <col min="7" max="7" width="9.6640625" bestFit="1" customWidth="1"/>
    <col min="8" max="8" width="10.77734375" bestFit="1" customWidth="1"/>
    <col min="9" max="9" width="10.6640625" bestFit="1" customWidth="1"/>
    <col min="10" max="10" width="12.6640625" bestFit="1" customWidth="1"/>
    <col min="11" max="11" width="11" bestFit="1" customWidth="1"/>
    <col min="12" max="12" width="9.6640625" bestFit="1" customWidth="1"/>
  </cols>
  <sheetData>
    <row r="1" spans="1:12" x14ac:dyDescent="0.3">
      <c r="A1" s="10" t="s">
        <v>0</v>
      </c>
      <c r="B1" s="10" t="s">
        <v>13</v>
      </c>
      <c r="C1" s="10" t="s">
        <v>14</v>
      </c>
      <c r="D1" s="10" t="s">
        <v>15</v>
      </c>
      <c r="E1" s="10" t="s">
        <v>1</v>
      </c>
      <c r="F1" s="10" t="s">
        <v>4</v>
      </c>
      <c r="G1" s="10" t="s">
        <v>16</v>
      </c>
      <c r="H1" s="10" t="s">
        <v>17</v>
      </c>
      <c r="I1" s="10" t="s">
        <v>2</v>
      </c>
      <c r="J1" s="10" t="s">
        <v>3</v>
      </c>
      <c r="K1" s="13" t="s">
        <v>77</v>
      </c>
      <c r="L1" s="15" t="s">
        <v>82</v>
      </c>
    </row>
    <row r="2" spans="1:12" x14ac:dyDescent="0.3">
      <c r="A2" s="9">
        <v>1001</v>
      </c>
      <c r="B2" s="9" t="s">
        <v>18</v>
      </c>
      <c r="C2" s="4" t="s">
        <v>19</v>
      </c>
      <c r="D2" s="4" t="s">
        <v>20</v>
      </c>
      <c r="E2" s="4" t="s">
        <v>21</v>
      </c>
      <c r="F2" s="4">
        <v>3</v>
      </c>
      <c r="G2" s="4">
        <v>222</v>
      </c>
      <c r="H2" s="4">
        <v>15</v>
      </c>
      <c r="I2" s="7">
        <v>46081</v>
      </c>
      <c r="J2" s="7">
        <v>46083</v>
      </c>
      <c r="K2" s="4" t="s">
        <v>78</v>
      </c>
      <c r="L2" s="4">
        <f>G2*F2</f>
        <v>666</v>
      </c>
    </row>
    <row r="3" spans="1:12" x14ac:dyDescent="0.3">
      <c r="A3" s="9">
        <v>1002</v>
      </c>
      <c r="B3" s="9" t="s">
        <v>22</v>
      </c>
      <c r="C3" s="4" t="s">
        <v>23</v>
      </c>
      <c r="D3" s="4" t="s">
        <v>24</v>
      </c>
      <c r="E3" s="4" t="s">
        <v>7</v>
      </c>
      <c r="F3" s="4">
        <v>7</v>
      </c>
      <c r="G3" s="4">
        <v>8448</v>
      </c>
      <c r="H3" s="4">
        <v>12</v>
      </c>
      <c r="I3" s="7">
        <v>46174</v>
      </c>
      <c r="J3" s="7">
        <v>46179</v>
      </c>
      <c r="K3" s="4" t="s">
        <v>79</v>
      </c>
      <c r="L3" s="4">
        <f t="shared" ref="L3:L66" si="0">G3*F3</f>
        <v>59136</v>
      </c>
    </row>
    <row r="4" spans="1:12" x14ac:dyDescent="0.3">
      <c r="A4" s="9">
        <v>1003</v>
      </c>
      <c r="B4" s="9" t="s">
        <v>25</v>
      </c>
      <c r="C4" s="4" t="s">
        <v>26</v>
      </c>
      <c r="D4" s="4" t="s">
        <v>24</v>
      </c>
      <c r="E4" s="4" t="s">
        <v>10</v>
      </c>
      <c r="F4" s="4">
        <v>20</v>
      </c>
      <c r="G4" s="4">
        <v>2123</v>
      </c>
      <c r="H4" s="4">
        <v>15</v>
      </c>
      <c r="I4" s="7">
        <v>46183</v>
      </c>
      <c r="J4" s="7">
        <v>46192</v>
      </c>
      <c r="K4" s="4" t="s">
        <v>80</v>
      </c>
      <c r="L4" s="4">
        <f t="shared" si="0"/>
        <v>42460</v>
      </c>
    </row>
    <row r="5" spans="1:12" x14ac:dyDescent="0.3">
      <c r="A5" s="9">
        <v>1004</v>
      </c>
      <c r="B5" s="9" t="s">
        <v>22</v>
      </c>
      <c r="C5" s="4" t="s">
        <v>27</v>
      </c>
      <c r="D5" s="4" t="s">
        <v>24</v>
      </c>
      <c r="E5" s="4" t="s">
        <v>10</v>
      </c>
      <c r="F5" s="4">
        <v>16</v>
      </c>
      <c r="G5" s="4">
        <v>11739</v>
      </c>
      <c r="H5" s="4">
        <v>12</v>
      </c>
      <c r="I5" s="7">
        <v>46034</v>
      </c>
      <c r="J5" s="7">
        <v>46040</v>
      </c>
      <c r="K5" s="4" t="s">
        <v>79</v>
      </c>
      <c r="L5" s="4">
        <f t="shared" si="0"/>
        <v>187824</v>
      </c>
    </row>
    <row r="6" spans="1:12" x14ac:dyDescent="0.3">
      <c r="A6" s="9">
        <v>1005</v>
      </c>
      <c r="B6" s="9" t="s">
        <v>28</v>
      </c>
      <c r="C6" s="4" t="s">
        <v>23</v>
      </c>
      <c r="D6" s="4" t="s">
        <v>20</v>
      </c>
      <c r="E6" s="4" t="s">
        <v>21</v>
      </c>
      <c r="F6" s="4">
        <v>18</v>
      </c>
      <c r="G6" s="4">
        <v>70</v>
      </c>
      <c r="H6" s="4">
        <v>0</v>
      </c>
      <c r="I6" s="7">
        <v>46171</v>
      </c>
      <c r="J6" s="7">
        <v>46179</v>
      </c>
      <c r="K6" s="4" t="s">
        <v>80</v>
      </c>
      <c r="L6" s="4">
        <f t="shared" si="0"/>
        <v>1260</v>
      </c>
    </row>
    <row r="7" spans="1:12" x14ac:dyDescent="0.3">
      <c r="A7" s="9">
        <v>1006</v>
      </c>
      <c r="B7" s="9" t="s">
        <v>29</v>
      </c>
      <c r="C7" s="4" t="s">
        <v>27</v>
      </c>
      <c r="D7" s="4" t="s">
        <v>24</v>
      </c>
      <c r="E7" s="4" t="s">
        <v>8</v>
      </c>
      <c r="F7" s="4">
        <v>3</v>
      </c>
      <c r="G7" s="4">
        <v>2714</v>
      </c>
      <c r="H7" s="4">
        <v>5</v>
      </c>
      <c r="I7" s="7">
        <v>46055</v>
      </c>
      <c r="J7" s="7">
        <v>46062</v>
      </c>
      <c r="K7" s="4" t="s">
        <v>49</v>
      </c>
      <c r="L7" s="4">
        <f t="shared" si="0"/>
        <v>8142</v>
      </c>
    </row>
    <row r="8" spans="1:12" x14ac:dyDescent="0.3">
      <c r="A8" s="9">
        <v>1007</v>
      </c>
      <c r="B8" s="9" t="s">
        <v>25</v>
      </c>
      <c r="C8" s="4" t="s">
        <v>26</v>
      </c>
      <c r="D8" s="4" t="s">
        <v>20</v>
      </c>
      <c r="E8" s="4" t="s">
        <v>21</v>
      </c>
      <c r="F8" s="4">
        <v>19</v>
      </c>
      <c r="G8" s="4">
        <v>149</v>
      </c>
      <c r="H8" s="4">
        <v>7</v>
      </c>
      <c r="I8" s="7">
        <v>46162</v>
      </c>
      <c r="J8" s="7">
        <v>46168</v>
      </c>
      <c r="K8" s="4" t="s">
        <v>80</v>
      </c>
      <c r="L8" s="4">
        <f t="shared" si="0"/>
        <v>2831</v>
      </c>
    </row>
    <row r="9" spans="1:12" x14ac:dyDescent="0.3">
      <c r="A9" s="9">
        <v>1008</v>
      </c>
      <c r="B9" s="9" t="s">
        <v>30</v>
      </c>
      <c r="C9" s="4" t="s">
        <v>31</v>
      </c>
      <c r="D9" s="4" t="s">
        <v>24</v>
      </c>
      <c r="E9" s="4" t="s">
        <v>8</v>
      </c>
      <c r="F9" s="4">
        <v>1</v>
      </c>
      <c r="G9" s="4">
        <v>1134</v>
      </c>
      <c r="H9" s="4">
        <v>0</v>
      </c>
      <c r="I9" s="7">
        <v>46033</v>
      </c>
      <c r="J9" s="7">
        <v>46041</v>
      </c>
      <c r="K9" s="4" t="s">
        <v>80</v>
      </c>
      <c r="L9" s="4">
        <f t="shared" si="0"/>
        <v>1134</v>
      </c>
    </row>
    <row r="10" spans="1:12" x14ac:dyDescent="0.3">
      <c r="A10" s="9">
        <v>1009</v>
      </c>
      <c r="B10" s="9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7">
        <v>46183</v>
      </c>
      <c r="J10" s="7">
        <v>46193</v>
      </c>
      <c r="K10" s="4" t="s">
        <v>80</v>
      </c>
      <c r="L10" s="4">
        <f t="shared" si="0"/>
        <v>406710</v>
      </c>
    </row>
    <row r="11" spans="1:12" x14ac:dyDescent="0.3">
      <c r="A11" s="9">
        <v>1010</v>
      </c>
      <c r="B11" s="9" t="s">
        <v>18</v>
      </c>
      <c r="C11" s="4" t="s">
        <v>23</v>
      </c>
      <c r="D11" s="4" t="s">
        <v>20</v>
      </c>
      <c r="E11" s="4" t="s">
        <v>36</v>
      </c>
      <c r="F11" s="4">
        <v>14</v>
      </c>
      <c r="G11" s="4">
        <v>470</v>
      </c>
      <c r="H11" s="4">
        <v>5</v>
      </c>
      <c r="I11" s="7">
        <v>46062</v>
      </c>
      <c r="J11" s="7">
        <v>46068</v>
      </c>
      <c r="K11" s="4" t="s">
        <v>78</v>
      </c>
      <c r="L11" s="4">
        <f t="shared" si="0"/>
        <v>6580</v>
      </c>
    </row>
    <row r="12" spans="1:12" x14ac:dyDescent="0.3">
      <c r="A12" s="9">
        <v>1011</v>
      </c>
      <c r="B12" s="9" t="s">
        <v>18</v>
      </c>
      <c r="C12" s="4" t="s">
        <v>23</v>
      </c>
      <c r="D12" s="4" t="s">
        <v>20</v>
      </c>
      <c r="E12" s="4" t="s">
        <v>37</v>
      </c>
      <c r="F12" s="4">
        <v>14</v>
      </c>
      <c r="G12" s="4">
        <v>88</v>
      </c>
      <c r="H12" s="4">
        <v>12</v>
      </c>
      <c r="I12" s="7">
        <v>46161</v>
      </c>
      <c r="J12" s="7">
        <v>46163</v>
      </c>
      <c r="K12" s="4" t="s">
        <v>78</v>
      </c>
      <c r="L12" s="4">
        <f t="shared" si="0"/>
        <v>1232</v>
      </c>
    </row>
    <row r="13" spans="1:12" x14ac:dyDescent="0.3">
      <c r="A13" s="9">
        <v>1012</v>
      </c>
      <c r="B13" s="9" t="s">
        <v>28</v>
      </c>
      <c r="C13" s="4" t="s">
        <v>38</v>
      </c>
      <c r="D13" s="4" t="s">
        <v>34</v>
      </c>
      <c r="E13" s="4" t="s">
        <v>5</v>
      </c>
      <c r="F13" s="4">
        <v>3</v>
      </c>
      <c r="G13" s="4">
        <v>64615</v>
      </c>
      <c r="H13" s="4">
        <v>10</v>
      </c>
      <c r="I13" s="7">
        <v>46086</v>
      </c>
      <c r="J13" s="7">
        <v>46095</v>
      </c>
      <c r="K13" s="4" t="s">
        <v>49</v>
      </c>
      <c r="L13" s="4">
        <f t="shared" si="0"/>
        <v>193845</v>
      </c>
    </row>
    <row r="14" spans="1:12" x14ac:dyDescent="0.3">
      <c r="A14" s="9">
        <v>1013</v>
      </c>
      <c r="B14" s="9" t="s">
        <v>22</v>
      </c>
      <c r="C14" s="4" t="s">
        <v>31</v>
      </c>
      <c r="D14" s="4" t="s">
        <v>20</v>
      </c>
      <c r="E14" s="4" t="s">
        <v>36</v>
      </c>
      <c r="F14" s="4">
        <v>17</v>
      </c>
      <c r="G14" s="4">
        <v>459</v>
      </c>
      <c r="H14" s="4">
        <v>12</v>
      </c>
      <c r="I14" s="7">
        <v>46095</v>
      </c>
      <c r="J14" s="7">
        <v>46105</v>
      </c>
      <c r="K14" s="4" t="s">
        <v>49</v>
      </c>
      <c r="L14" s="4">
        <f t="shared" si="0"/>
        <v>7803</v>
      </c>
    </row>
    <row r="15" spans="1:12" x14ac:dyDescent="0.3">
      <c r="A15" s="9">
        <v>1014</v>
      </c>
      <c r="B15" s="9" t="s">
        <v>39</v>
      </c>
      <c r="C15" s="4" t="s">
        <v>23</v>
      </c>
      <c r="D15" s="4" t="s">
        <v>34</v>
      </c>
      <c r="E15" s="4" t="s">
        <v>40</v>
      </c>
      <c r="F15" s="4">
        <v>19</v>
      </c>
      <c r="G15" s="4">
        <v>53683</v>
      </c>
      <c r="H15" s="4">
        <v>12</v>
      </c>
      <c r="I15" s="7">
        <v>46129</v>
      </c>
      <c r="J15" s="7">
        <v>46134</v>
      </c>
      <c r="K15" s="4" t="s">
        <v>49</v>
      </c>
      <c r="L15" s="4">
        <f t="shared" si="0"/>
        <v>1019977</v>
      </c>
    </row>
    <row r="16" spans="1:12" x14ac:dyDescent="0.3">
      <c r="A16" s="9">
        <v>1015</v>
      </c>
      <c r="B16" s="9" t="s">
        <v>41</v>
      </c>
      <c r="C16" s="4" t="s">
        <v>42</v>
      </c>
      <c r="D16" s="4" t="s">
        <v>24</v>
      </c>
      <c r="E16" s="4" t="s">
        <v>43</v>
      </c>
      <c r="F16" s="4">
        <v>11</v>
      </c>
      <c r="G16" s="4">
        <v>14511</v>
      </c>
      <c r="H16" s="4">
        <v>2</v>
      </c>
      <c r="I16" s="7">
        <v>46175</v>
      </c>
      <c r="J16" s="7">
        <v>46185</v>
      </c>
      <c r="K16" s="4" t="s">
        <v>79</v>
      </c>
      <c r="L16" s="4">
        <f t="shared" si="0"/>
        <v>159621</v>
      </c>
    </row>
    <row r="17" spans="1:12" x14ac:dyDescent="0.3">
      <c r="A17" s="9">
        <v>1016</v>
      </c>
      <c r="B17" s="9" t="s">
        <v>32</v>
      </c>
      <c r="C17" s="4" t="s">
        <v>33</v>
      </c>
      <c r="D17" s="4" t="s">
        <v>34</v>
      </c>
      <c r="E17" s="4" t="s">
        <v>6</v>
      </c>
      <c r="F17" s="4">
        <v>16</v>
      </c>
      <c r="G17" s="4">
        <v>30234</v>
      </c>
      <c r="H17" s="4">
        <v>15</v>
      </c>
      <c r="I17" s="7">
        <v>46137</v>
      </c>
      <c r="J17" s="7">
        <v>46140</v>
      </c>
      <c r="K17" s="4" t="s">
        <v>80</v>
      </c>
      <c r="L17" s="4">
        <f t="shared" si="0"/>
        <v>483744</v>
      </c>
    </row>
    <row r="18" spans="1:12" x14ac:dyDescent="0.3">
      <c r="A18" s="9">
        <v>1017</v>
      </c>
      <c r="B18" s="9" t="s">
        <v>44</v>
      </c>
      <c r="C18" s="4" t="s">
        <v>38</v>
      </c>
      <c r="D18" s="4" t="s">
        <v>20</v>
      </c>
      <c r="E18" s="4" t="s">
        <v>36</v>
      </c>
      <c r="F18" s="4">
        <v>8</v>
      </c>
      <c r="G18" s="4">
        <v>179</v>
      </c>
      <c r="H18" s="4">
        <v>15</v>
      </c>
      <c r="I18" s="7">
        <v>46082</v>
      </c>
      <c r="J18" s="7">
        <v>46084</v>
      </c>
      <c r="K18" s="4" t="s">
        <v>78</v>
      </c>
      <c r="L18" s="4">
        <f t="shared" si="0"/>
        <v>1432</v>
      </c>
    </row>
    <row r="19" spans="1:12" x14ac:dyDescent="0.3">
      <c r="A19" s="9">
        <v>1018</v>
      </c>
      <c r="B19" s="9" t="s">
        <v>45</v>
      </c>
      <c r="C19" s="4" t="s">
        <v>27</v>
      </c>
      <c r="D19" s="4" t="s">
        <v>20</v>
      </c>
      <c r="E19" s="4" t="s">
        <v>21</v>
      </c>
      <c r="F19" s="4">
        <v>20</v>
      </c>
      <c r="G19" s="4">
        <v>301</v>
      </c>
      <c r="H19" s="4">
        <v>0</v>
      </c>
      <c r="I19" s="7">
        <v>46089</v>
      </c>
      <c r="J19" s="7">
        <v>46094</v>
      </c>
      <c r="K19" s="4" t="s">
        <v>49</v>
      </c>
      <c r="L19" s="4">
        <f t="shared" si="0"/>
        <v>6020</v>
      </c>
    </row>
    <row r="20" spans="1:12" x14ac:dyDescent="0.3">
      <c r="A20" s="9">
        <v>1019</v>
      </c>
      <c r="B20" s="9" t="s">
        <v>18</v>
      </c>
      <c r="C20" s="4" t="s">
        <v>42</v>
      </c>
      <c r="D20" s="4" t="s">
        <v>34</v>
      </c>
      <c r="E20" s="4" t="s">
        <v>40</v>
      </c>
      <c r="F20" s="4">
        <v>18</v>
      </c>
      <c r="G20" s="4">
        <v>45652</v>
      </c>
      <c r="H20" s="4">
        <v>10</v>
      </c>
      <c r="I20" s="7">
        <v>46023</v>
      </c>
      <c r="J20" s="7">
        <v>46030</v>
      </c>
      <c r="K20" s="4" t="s">
        <v>79</v>
      </c>
      <c r="L20" s="4">
        <f t="shared" si="0"/>
        <v>821736</v>
      </c>
    </row>
    <row r="21" spans="1:12" x14ac:dyDescent="0.3">
      <c r="A21" s="9">
        <v>1020</v>
      </c>
      <c r="B21" s="9" t="s">
        <v>44</v>
      </c>
      <c r="C21" s="4" t="s">
        <v>19</v>
      </c>
      <c r="D21" s="4" t="s">
        <v>24</v>
      </c>
      <c r="E21" s="4" t="s">
        <v>7</v>
      </c>
      <c r="F21" s="4">
        <v>5</v>
      </c>
      <c r="G21" s="4">
        <v>4582</v>
      </c>
      <c r="H21" s="4">
        <v>5</v>
      </c>
      <c r="I21" s="7">
        <v>46078</v>
      </c>
      <c r="J21" s="7">
        <v>46083</v>
      </c>
      <c r="K21" s="4" t="s">
        <v>78</v>
      </c>
      <c r="L21" s="4">
        <f t="shared" si="0"/>
        <v>22910</v>
      </c>
    </row>
    <row r="22" spans="1:12" x14ac:dyDescent="0.3">
      <c r="A22" s="9">
        <v>1021</v>
      </c>
      <c r="B22" s="9" t="s">
        <v>46</v>
      </c>
      <c r="C22" s="4" t="s">
        <v>42</v>
      </c>
      <c r="D22" s="4" t="s">
        <v>20</v>
      </c>
      <c r="E22" s="4" t="s">
        <v>21</v>
      </c>
      <c r="F22" s="4">
        <v>3</v>
      </c>
      <c r="G22" s="4">
        <v>484</v>
      </c>
      <c r="H22" s="4">
        <v>2</v>
      </c>
      <c r="I22" s="7">
        <v>46144</v>
      </c>
      <c r="J22" s="7">
        <v>46148</v>
      </c>
      <c r="K22" s="4" t="s">
        <v>80</v>
      </c>
      <c r="L22" s="4">
        <f t="shared" si="0"/>
        <v>1452</v>
      </c>
    </row>
    <row r="23" spans="1:12" x14ac:dyDescent="0.3">
      <c r="A23" s="9">
        <v>1022</v>
      </c>
      <c r="B23" s="9" t="s">
        <v>28</v>
      </c>
      <c r="C23" s="4" t="s">
        <v>23</v>
      </c>
      <c r="D23" s="4" t="s">
        <v>34</v>
      </c>
      <c r="E23" s="4" t="s">
        <v>6</v>
      </c>
      <c r="F23" s="4">
        <v>15</v>
      </c>
      <c r="G23" s="4">
        <v>11596</v>
      </c>
      <c r="H23" s="4">
        <v>0</v>
      </c>
      <c r="I23" s="7">
        <v>46117</v>
      </c>
      <c r="J23" s="7">
        <v>46121</v>
      </c>
      <c r="K23" s="4" t="s">
        <v>49</v>
      </c>
      <c r="L23" s="4">
        <f t="shared" si="0"/>
        <v>173940</v>
      </c>
    </row>
    <row r="24" spans="1:12" x14ac:dyDescent="0.3">
      <c r="A24" s="9">
        <v>1023</v>
      </c>
      <c r="B24" s="9" t="s">
        <v>39</v>
      </c>
      <c r="C24" s="4" t="s">
        <v>19</v>
      </c>
      <c r="D24" s="4" t="s">
        <v>24</v>
      </c>
      <c r="E24" s="4" t="s">
        <v>43</v>
      </c>
      <c r="F24" s="4">
        <v>15</v>
      </c>
      <c r="G24" s="4">
        <v>3506</v>
      </c>
      <c r="H24" s="4">
        <v>2</v>
      </c>
      <c r="I24" s="7">
        <v>46193</v>
      </c>
      <c r="J24" s="7">
        <v>46194</v>
      </c>
      <c r="K24" s="4" t="s">
        <v>49</v>
      </c>
      <c r="L24" s="4">
        <f t="shared" si="0"/>
        <v>52590</v>
      </c>
    </row>
    <row r="25" spans="1:12" x14ac:dyDescent="0.3">
      <c r="A25" s="9">
        <v>1024</v>
      </c>
      <c r="B25" s="9" t="s">
        <v>32</v>
      </c>
      <c r="C25" s="4" t="s">
        <v>38</v>
      </c>
      <c r="D25" s="4" t="s">
        <v>34</v>
      </c>
      <c r="E25" s="4" t="s">
        <v>40</v>
      </c>
      <c r="F25" s="4">
        <v>12</v>
      </c>
      <c r="G25" s="4">
        <v>1682</v>
      </c>
      <c r="H25" s="4">
        <v>5</v>
      </c>
      <c r="I25" s="7">
        <v>46161</v>
      </c>
      <c r="J25" s="7">
        <v>46165</v>
      </c>
      <c r="K25" s="4" t="s">
        <v>78</v>
      </c>
      <c r="L25" s="4">
        <f t="shared" si="0"/>
        <v>20184</v>
      </c>
    </row>
    <row r="26" spans="1:12" x14ac:dyDescent="0.3">
      <c r="A26" s="9">
        <v>1025</v>
      </c>
      <c r="B26" s="9" t="s">
        <v>25</v>
      </c>
      <c r="C26" s="4" t="s">
        <v>19</v>
      </c>
      <c r="D26" s="4" t="s">
        <v>24</v>
      </c>
      <c r="E26" s="4" t="s">
        <v>7</v>
      </c>
      <c r="F26" s="4">
        <v>18</v>
      </c>
      <c r="G26" s="4">
        <v>7924</v>
      </c>
      <c r="H26" s="4">
        <v>0</v>
      </c>
      <c r="I26" s="7">
        <v>46175</v>
      </c>
      <c r="J26" s="7">
        <v>46181</v>
      </c>
      <c r="K26" s="4" t="s">
        <v>78</v>
      </c>
      <c r="L26" s="4">
        <f t="shared" si="0"/>
        <v>142632</v>
      </c>
    </row>
    <row r="27" spans="1:12" x14ac:dyDescent="0.3">
      <c r="A27" s="9">
        <v>1026</v>
      </c>
      <c r="B27" s="9" t="s">
        <v>47</v>
      </c>
      <c r="C27" s="4" t="s">
        <v>31</v>
      </c>
      <c r="D27" s="4" t="s">
        <v>20</v>
      </c>
      <c r="E27" s="4" t="s">
        <v>48</v>
      </c>
      <c r="F27" s="4">
        <v>17</v>
      </c>
      <c r="G27" s="4">
        <v>323</v>
      </c>
      <c r="H27" s="4">
        <v>10</v>
      </c>
      <c r="I27" s="7">
        <v>46039</v>
      </c>
      <c r="J27" s="7">
        <v>46040</v>
      </c>
      <c r="K27" s="4" t="s">
        <v>49</v>
      </c>
      <c r="L27" s="4">
        <f t="shared" si="0"/>
        <v>5491</v>
      </c>
    </row>
    <row r="28" spans="1:12" x14ac:dyDescent="0.3">
      <c r="A28" s="9">
        <v>1027</v>
      </c>
      <c r="B28" s="9" t="s">
        <v>49</v>
      </c>
      <c r="C28" s="4" t="s">
        <v>42</v>
      </c>
      <c r="D28" s="4" t="s">
        <v>20</v>
      </c>
      <c r="E28" s="4" t="s">
        <v>48</v>
      </c>
      <c r="F28" s="4">
        <v>4</v>
      </c>
      <c r="G28" s="4">
        <v>264</v>
      </c>
      <c r="H28" s="4">
        <v>0</v>
      </c>
      <c r="I28" s="7">
        <v>46155</v>
      </c>
      <c r="J28" s="7">
        <v>46161</v>
      </c>
      <c r="K28" s="4" t="s">
        <v>81</v>
      </c>
      <c r="L28" s="4">
        <f t="shared" si="0"/>
        <v>1056</v>
      </c>
    </row>
    <row r="29" spans="1:12" x14ac:dyDescent="0.3">
      <c r="A29" s="9">
        <v>1028</v>
      </c>
      <c r="B29" s="9" t="s">
        <v>45</v>
      </c>
      <c r="C29" s="4" t="s">
        <v>26</v>
      </c>
      <c r="D29" s="4" t="s">
        <v>20</v>
      </c>
      <c r="E29" s="4" t="s">
        <v>36</v>
      </c>
      <c r="F29" s="4">
        <v>13</v>
      </c>
      <c r="G29" s="4">
        <v>433</v>
      </c>
      <c r="H29" s="4">
        <v>2</v>
      </c>
      <c r="I29" s="7">
        <v>46116</v>
      </c>
      <c r="J29" s="7">
        <v>46121</v>
      </c>
      <c r="K29" s="4" t="s">
        <v>80</v>
      </c>
      <c r="L29" s="4">
        <f t="shared" si="0"/>
        <v>5629</v>
      </c>
    </row>
    <row r="30" spans="1:12" x14ac:dyDescent="0.3">
      <c r="A30" s="9">
        <v>1029</v>
      </c>
      <c r="B30" s="9" t="s">
        <v>30</v>
      </c>
      <c r="C30" s="4" t="s">
        <v>27</v>
      </c>
      <c r="D30" s="4" t="s">
        <v>20</v>
      </c>
      <c r="E30" s="4" t="s">
        <v>36</v>
      </c>
      <c r="F30" s="4">
        <v>18</v>
      </c>
      <c r="G30" s="4">
        <v>443</v>
      </c>
      <c r="H30" s="4">
        <v>5</v>
      </c>
      <c r="I30" s="7">
        <v>46046</v>
      </c>
      <c r="J30" s="7">
        <v>46054</v>
      </c>
      <c r="K30" s="4" t="s">
        <v>80</v>
      </c>
      <c r="L30" s="4">
        <f t="shared" si="0"/>
        <v>7974</v>
      </c>
    </row>
    <row r="31" spans="1:12" x14ac:dyDescent="0.3">
      <c r="A31" s="9">
        <v>1030</v>
      </c>
      <c r="B31" s="9" t="s">
        <v>50</v>
      </c>
      <c r="C31" s="4" t="s">
        <v>19</v>
      </c>
      <c r="D31" s="4" t="s">
        <v>20</v>
      </c>
      <c r="E31" s="4" t="s">
        <v>51</v>
      </c>
      <c r="F31" s="4">
        <v>13</v>
      </c>
      <c r="G31" s="4">
        <v>336</v>
      </c>
      <c r="H31" s="4">
        <v>10</v>
      </c>
      <c r="I31" s="7">
        <v>46098</v>
      </c>
      <c r="J31" s="7">
        <v>46108</v>
      </c>
      <c r="K31" s="4" t="s">
        <v>78</v>
      </c>
      <c r="L31" s="4">
        <f t="shared" si="0"/>
        <v>4368</v>
      </c>
    </row>
    <row r="32" spans="1:12" x14ac:dyDescent="0.3">
      <c r="A32" s="9">
        <v>1031</v>
      </c>
      <c r="B32" s="9" t="s">
        <v>52</v>
      </c>
      <c r="C32" s="4" t="s">
        <v>31</v>
      </c>
      <c r="D32" s="4" t="s">
        <v>20</v>
      </c>
      <c r="E32" s="4" t="s">
        <v>51</v>
      </c>
      <c r="F32" s="4">
        <v>2</v>
      </c>
      <c r="G32" s="4">
        <v>184</v>
      </c>
      <c r="H32" s="4">
        <v>5</v>
      </c>
      <c r="I32" s="7">
        <v>46089</v>
      </c>
      <c r="J32" s="7">
        <v>46093</v>
      </c>
      <c r="K32" s="4" t="s">
        <v>79</v>
      </c>
      <c r="L32" s="4">
        <f t="shared" si="0"/>
        <v>368</v>
      </c>
    </row>
    <row r="33" spans="1:12" x14ac:dyDescent="0.3">
      <c r="A33" s="9">
        <v>1032</v>
      </c>
      <c r="B33" s="9" t="s">
        <v>52</v>
      </c>
      <c r="C33" s="4" t="s">
        <v>42</v>
      </c>
      <c r="D33" s="4" t="s">
        <v>34</v>
      </c>
      <c r="E33" s="4" t="s">
        <v>5</v>
      </c>
      <c r="F33" s="4">
        <v>20</v>
      </c>
      <c r="G33" s="4">
        <v>11305</v>
      </c>
      <c r="H33" s="4">
        <v>2</v>
      </c>
      <c r="I33" s="7">
        <v>46163</v>
      </c>
      <c r="J33" s="7">
        <v>46165</v>
      </c>
      <c r="K33" s="4" t="s">
        <v>49</v>
      </c>
      <c r="L33" s="4">
        <f t="shared" si="0"/>
        <v>226100</v>
      </c>
    </row>
    <row r="34" spans="1:12" x14ac:dyDescent="0.3">
      <c r="A34" s="9">
        <v>1033</v>
      </c>
      <c r="B34" s="9" t="s">
        <v>18</v>
      </c>
      <c r="C34" s="4" t="s">
        <v>42</v>
      </c>
      <c r="D34" s="4" t="s">
        <v>24</v>
      </c>
      <c r="E34" s="4" t="s">
        <v>7</v>
      </c>
      <c r="F34" s="4">
        <v>9</v>
      </c>
      <c r="G34" s="4">
        <v>4895</v>
      </c>
      <c r="H34" s="4">
        <v>2</v>
      </c>
      <c r="I34" s="7">
        <v>46082</v>
      </c>
      <c r="J34" s="7">
        <v>46084</v>
      </c>
      <c r="K34" s="4" t="s">
        <v>49</v>
      </c>
      <c r="L34" s="4">
        <f t="shared" si="0"/>
        <v>44055</v>
      </c>
    </row>
    <row r="35" spans="1:12" x14ac:dyDescent="0.3">
      <c r="A35" s="9">
        <v>1034</v>
      </c>
      <c r="B35" s="9" t="s">
        <v>53</v>
      </c>
      <c r="C35" s="4" t="s">
        <v>33</v>
      </c>
      <c r="D35" s="4" t="s">
        <v>24</v>
      </c>
      <c r="E35" s="4" t="s">
        <v>8</v>
      </c>
      <c r="F35" s="4">
        <v>17</v>
      </c>
      <c r="G35" s="4">
        <v>5104</v>
      </c>
      <c r="H35" s="4">
        <v>12</v>
      </c>
      <c r="I35" s="7">
        <v>46052</v>
      </c>
      <c r="J35" s="7">
        <v>46061</v>
      </c>
      <c r="K35" s="4" t="s">
        <v>81</v>
      </c>
      <c r="L35" s="4">
        <f t="shared" si="0"/>
        <v>86768</v>
      </c>
    </row>
    <row r="36" spans="1:12" x14ac:dyDescent="0.3">
      <c r="A36" s="9">
        <v>1035</v>
      </c>
      <c r="B36" s="9" t="s">
        <v>47</v>
      </c>
      <c r="C36" s="4" t="s">
        <v>42</v>
      </c>
      <c r="D36" s="4" t="s">
        <v>24</v>
      </c>
      <c r="E36" s="4" t="s">
        <v>11</v>
      </c>
      <c r="F36" s="4">
        <v>3</v>
      </c>
      <c r="G36" s="4">
        <v>9149</v>
      </c>
      <c r="H36" s="4">
        <v>0</v>
      </c>
      <c r="I36" s="7">
        <v>46031</v>
      </c>
      <c r="J36" s="7">
        <v>46034</v>
      </c>
      <c r="K36" s="4" t="s">
        <v>80</v>
      </c>
      <c r="L36" s="4">
        <f t="shared" si="0"/>
        <v>27447</v>
      </c>
    </row>
    <row r="37" spans="1:12" x14ac:dyDescent="0.3">
      <c r="A37" s="9">
        <v>1036</v>
      </c>
      <c r="B37" s="9" t="s">
        <v>18</v>
      </c>
      <c r="C37" s="4" t="s">
        <v>27</v>
      </c>
      <c r="D37" s="4" t="s">
        <v>20</v>
      </c>
      <c r="E37" s="4" t="s">
        <v>36</v>
      </c>
      <c r="F37" s="4">
        <v>20</v>
      </c>
      <c r="G37" s="4">
        <v>161</v>
      </c>
      <c r="H37" s="4">
        <v>7</v>
      </c>
      <c r="I37" s="7">
        <v>46071</v>
      </c>
      <c r="J37" s="7">
        <v>46077</v>
      </c>
      <c r="K37" s="4" t="s">
        <v>80</v>
      </c>
      <c r="L37" s="4">
        <f t="shared" si="0"/>
        <v>3220</v>
      </c>
    </row>
    <row r="38" spans="1:12" x14ac:dyDescent="0.3">
      <c r="A38" s="9">
        <v>1037</v>
      </c>
      <c r="B38" s="9" t="s">
        <v>44</v>
      </c>
      <c r="C38" s="4" t="s">
        <v>42</v>
      </c>
      <c r="D38" s="4" t="s">
        <v>24</v>
      </c>
      <c r="E38" s="4" t="s">
        <v>11</v>
      </c>
      <c r="F38" s="4">
        <v>6</v>
      </c>
      <c r="G38" s="4">
        <v>14385</v>
      </c>
      <c r="H38" s="4">
        <v>12</v>
      </c>
      <c r="I38" s="7">
        <v>46033</v>
      </c>
      <c r="J38" s="7">
        <v>46043</v>
      </c>
      <c r="K38" s="4" t="s">
        <v>80</v>
      </c>
      <c r="L38" s="4">
        <f t="shared" si="0"/>
        <v>86310</v>
      </c>
    </row>
    <row r="39" spans="1:12" x14ac:dyDescent="0.3">
      <c r="A39" s="9">
        <v>1038</v>
      </c>
      <c r="B39" s="9" t="s">
        <v>53</v>
      </c>
      <c r="C39" s="4" t="s">
        <v>23</v>
      </c>
      <c r="D39" s="4" t="s">
        <v>20</v>
      </c>
      <c r="E39" s="4" t="s">
        <v>36</v>
      </c>
      <c r="F39" s="4">
        <v>17</v>
      </c>
      <c r="G39" s="4">
        <v>223</v>
      </c>
      <c r="H39" s="4">
        <v>7</v>
      </c>
      <c r="I39" s="7">
        <v>46030</v>
      </c>
      <c r="J39" s="7">
        <v>46031</v>
      </c>
      <c r="K39" s="4" t="s">
        <v>81</v>
      </c>
      <c r="L39" s="4">
        <f t="shared" si="0"/>
        <v>3791</v>
      </c>
    </row>
    <row r="40" spans="1:12" x14ac:dyDescent="0.3">
      <c r="A40" s="9">
        <v>1039</v>
      </c>
      <c r="B40" s="9" t="s">
        <v>46</v>
      </c>
      <c r="C40" s="4" t="s">
        <v>38</v>
      </c>
      <c r="D40" s="4" t="s">
        <v>34</v>
      </c>
      <c r="E40" s="4" t="s">
        <v>6</v>
      </c>
      <c r="F40" s="4">
        <v>5</v>
      </c>
      <c r="G40" s="4">
        <v>60236</v>
      </c>
      <c r="H40" s="4">
        <v>10</v>
      </c>
      <c r="I40" s="7">
        <v>46107</v>
      </c>
      <c r="J40" s="7">
        <v>46110</v>
      </c>
      <c r="K40" s="4" t="s">
        <v>79</v>
      </c>
      <c r="L40" s="4">
        <f t="shared" si="0"/>
        <v>301180</v>
      </c>
    </row>
    <row r="41" spans="1:12" x14ac:dyDescent="0.3">
      <c r="A41" s="9">
        <v>1040</v>
      </c>
      <c r="B41" s="9" t="s">
        <v>47</v>
      </c>
      <c r="C41" s="4" t="s">
        <v>38</v>
      </c>
      <c r="D41" s="4" t="s">
        <v>24</v>
      </c>
      <c r="E41" s="4" t="s">
        <v>8</v>
      </c>
      <c r="F41" s="4">
        <v>10</v>
      </c>
      <c r="G41" s="4">
        <v>7531</v>
      </c>
      <c r="H41" s="4">
        <v>2</v>
      </c>
      <c r="I41" s="7">
        <v>46171</v>
      </c>
      <c r="J41" s="7">
        <v>46178</v>
      </c>
      <c r="K41" s="4" t="s">
        <v>80</v>
      </c>
      <c r="L41" s="4">
        <f t="shared" si="0"/>
        <v>75310</v>
      </c>
    </row>
    <row r="42" spans="1:12" x14ac:dyDescent="0.3">
      <c r="A42" s="9">
        <v>1041</v>
      </c>
      <c r="B42" s="9" t="s">
        <v>52</v>
      </c>
      <c r="C42" s="4" t="s">
        <v>38</v>
      </c>
      <c r="D42" s="4" t="s">
        <v>20</v>
      </c>
      <c r="E42" s="4" t="s">
        <v>48</v>
      </c>
      <c r="F42" s="4">
        <v>9</v>
      </c>
      <c r="G42" s="4">
        <v>71</v>
      </c>
      <c r="H42" s="4">
        <v>7</v>
      </c>
      <c r="I42" s="7">
        <v>46185</v>
      </c>
      <c r="J42" s="7">
        <v>46188</v>
      </c>
      <c r="K42" s="4" t="s">
        <v>78</v>
      </c>
      <c r="L42" s="4">
        <f t="shared" si="0"/>
        <v>639</v>
      </c>
    </row>
    <row r="43" spans="1:12" x14ac:dyDescent="0.3">
      <c r="A43" s="9">
        <v>1042</v>
      </c>
      <c r="B43" s="9" t="s">
        <v>44</v>
      </c>
      <c r="C43" s="4" t="s">
        <v>33</v>
      </c>
      <c r="D43" s="4" t="s">
        <v>20</v>
      </c>
      <c r="E43" s="4" t="s">
        <v>51</v>
      </c>
      <c r="F43" s="4">
        <v>16</v>
      </c>
      <c r="G43" s="4">
        <v>232</v>
      </c>
      <c r="H43" s="4">
        <v>0</v>
      </c>
      <c r="I43" s="7">
        <v>46081</v>
      </c>
      <c r="J43" s="7">
        <v>46088</v>
      </c>
      <c r="K43" s="4" t="s">
        <v>49</v>
      </c>
      <c r="L43" s="4">
        <f t="shared" si="0"/>
        <v>3712</v>
      </c>
    </row>
    <row r="44" spans="1:12" x14ac:dyDescent="0.3">
      <c r="A44" s="9">
        <v>1043</v>
      </c>
      <c r="B44" s="9" t="s">
        <v>47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7">
        <v>46091</v>
      </c>
      <c r="J44" s="7">
        <v>46098</v>
      </c>
      <c r="K44" s="4" t="s">
        <v>49</v>
      </c>
      <c r="L44" s="4">
        <f t="shared" si="0"/>
        <v>921860</v>
      </c>
    </row>
    <row r="45" spans="1:12" x14ac:dyDescent="0.3">
      <c r="A45" s="9">
        <v>1044</v>
      </c>
      <c r="B45" s="9" t="s">
        <v>46</v>
      </c>
      <c r="C45" s="4" t="s">
        <v>38</v>
      </c>
      <c r="D45" s="4" t="s">
        <v>24</v>
      </c>
      <c r="E45" s="4" t="s">
        <v>7</v>
      </c>
      <c r="F45" s="4">
        <v>4</v>
      </c>
      <c r="G45" s="4">
        <v>14731</v>
      </c>
      <c r="H45" s="4">
        <v>2</v>
      </c>
      <c r="I45" s="7">
        <v>46173</v>
      </c>
      <c r="J45" s="7">
        <v>46176</v>
      </c>
      <c r="K45" s="4" t="s">
        <v>79</v>
      </c>
      <c r="L45" s="4">
        <f t="shared" si="0"/>
        <v>58924</v>
      </c>
    </row>
    <row r="46" spans="1:12" x14ac:dyDescent="0.3">
      <c r="A46" s="9">
        <v>1045</v>
      </c>
      <c r="B46" s="9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7">
        <v>46038</v>
      </c>
      <c r="J46" s="7">
        <v>46039</v>
      </c>
      <c r="K46" s="4" t="s">
        <v>49</v>
      </c>
      <c r="L46" s="4">
        <f t="shared" si="0"/>
        <v>188286</v>
      </c>
    </row>
    <row r="47" spans="1:12" x14ac:dyDescent="0.3">
      <c r="A47" s="9">
        <v>1046</v>
      </c>
      <c r="B47" s="9" t="s">
        <v>54</v>
      </c>
      <c r="C47" s="4" t="s">
        <v>38</v>
      </c>
      <c r="D47" s="4" t="s">
        <v>34</v>
      </c>
      <c r="E47" s="4" t="s">
        <v>6</v>
      </c>
      <c r="F47" s="4">
        <v>3</v>
      </c>
      <c r="G47" s="4">
        <v>19443</v>
      </c>
      <c r="H47" s="4">
        <v>10</v>
      </c>
      <c r="I47" s="7">
        <v>46153</v>
      </c>
      <c r="J47" s="7">
        <v>46158</v>
      </c>
      <c r="K47" s="4" t="s">
        <v>49</v>
      </c>
      <c r="L47" s="4">
        <f t="shared" si="0"/>
        <v>58329</v>
      </c>
    </row>
    <row r="48" spans="1:12" x14ac:dyDescent="0.3">
      <c r="A48" s="9">
        <v>1047</v>
      </c>
      <c r="B48" s="9" t="s">
        <v>55</v>
      </c>
      <c r="C48" s="4" t="s">
        <v>38</v>
      </c>
      <c r="D48" s="4" t="s">
        <v>24</v>
      </c>
      <c r="E48" s="4" t="s">
        <v>11</v>
      </c>
      <c r="F48" s="4">
        <v>11</v>
      </c>
      <c r="G48" s="4">
        <v>9976</v>
      </c>
      <c r="H48" s="4">
        <v>12</v>
      </c>
      <c r="I48" s="7">
        <v>46200</v>
      </c>
      <c r="J48" s="7">
        <v>46209</v>
      </c>
      <c r="K48" s="4" t="s">
        <v>78</v>
      </c>
      <c r="L48" s="4">
        <f t="shared" si="0"/>
        <v>109736</v>
      </c>
    </row>
    <row r="49" spans="1:12" x14ac:dyDescent="0.3">
      <c r="A49" s="9">
        <v>1048</v>
      </c>
      <c r="B49" s="9" t="s">
        <v>56</v>
      </c>
      <c r="C49" s="4" t="s">
        <v>27</v>
      </c>
      <c r="D49" s="4" t="s">
        <v>34</v>
      </c>
      <c r="E49" s="4" t="s">
        <v>9</v>
      </c>
      <c r="F49" s="4">
        <v>14</v>
      </c>
      <c r="G49" s="4">
        <v>11762</v>
      </c>
      <c r="H49" s="4">
        <v>7</v>
      </c>
      <c r="I49" s="7">
        <v>46180</v>
      </c>
      <c r="J49" s="7">
        <v>46186</v>
      </c>
      <c r="K49" s="4" t="s">
        <v>80</v>
      </c>
      <c r="L49" s="4">
        <f t="shared" si="0"/>
        <v>164668</v>
      </c>
    </row>
    <row r="50" spans="1:12" x14ac:dyDescent="0.3">
      <c r="A50" s="9">
        <v>1049</v>
      </c>
      <c r="B50" s="9" t="s">
        <v>50</v>
      </c>
      <c r="C50" s="4" t="s">
        <v>27</v>
      </c>
      <c r="D50" s="4" t="s">
        <v>34</v>
      </c>
      <c r="E50" s="4" t="s">
        <v>6</v>
      </c>
      <c r="F50" s="4">
        <v>2</v>
      </c>
      <c r="G50" s="4">
        <v>40789</v>
      </c>
      <c r="H50" s="4">
        <v>0</v>
      </c>
      <c r="I50" s="7">
        <v>46102</v>
      </c>
      <c r="J50" s="7">
        <v>46108</v>
      </c>
      <c r="K50" s="4" t="s">
        <v>80</v>
      </c>
      <c r="L50" s="4">
        <f t="shared" si="0"/>
        <v>81578</v>
      </c>
    </row>
    <row r="51" spans="1:12" x14ac:dyDescent="0.3">
      <c r="A51" s="9">
        <v>1050</v>
      </c>
      <c r="B51" s="9" t="s">
        <v>32</v>
      </c>
      <c r="C51" s="4" t="s">
        <v>27</v>
      </c>
      <c r="D51" s="4" t="s">
        <v>20</v>
      </c>
      <c r="E51" s="4" t="s">
        <v>51</v>
      </c>
      <c r="F51" s="4">
        <v>12</v>
      </c>
      <c r="G51" s="4">
        <v>360</v>
      </c>
      <c r="H51" s="4">
        <v>5</v>
      </c>
      <c r="I51" s="7">
        <v>46127</v>
      </c>
      <c r="J51" s="7">
        <v>46137</v>
      </c>
      <c r="K51" s="4" t="s">
        <v>49</v>
      </c>
      <c r="L51" s="4">
        <f t="shared" si="0"/>
        <v>4320</v>
      </c>
    </row>
    <row r="52" spans="1:12" x14ac:dyDescent="0.3">
      <c r="A52" s="9">
        <v>1051</v>
      </c>
      <c r="B52" s="9" t="s">
        <v>55</v>
      </c>
      <c r="C52" s="4" t="s">
        <v>23</v>
      </c>
      <c r="D52" s="4" t="s">
        <v>20</v>
      </c>
      <c r="E52" s="4" t="s">
        <v>36</v>
      </c>
      <c r="F52" s="4">
        <v>12</v>
      </c>
      <c r="G52" s="4">
        <v>47</v>
      </c>
      <c r="H52" s="4">
        <v>2</v>
      </c>
      <c r="I52" s="7">
        <v>46037</v>
      </c>
      <c r="J52" s="7">
        <v>46045</v>
      </c>
      <c r="K52" s="4" t="s">
        <v>78</v>
      </c>
      <c r="L52" s="4">
        <f t="shared" si="0"/>
        <v>564</v>
      </c>
    </row>
    <row r="53" spans="1:12" x14ac:dyDescent="0.3">
      <c r="A53" s="9">
        <v>1052</v>
      </c>
      <c r="B53" s="9" t="s">
        <v>53</v>
      </c>
      <c r="C53" s="4" t="s">
        <v>19</v>
      </c>
      <c r="D53" s="4" t="s">
        <v>20</v>
      </c>
      <c r="E53" s="4" t="s">
        <v>21</v>
      </c>
      <c r="F53" s="4">
        <v>17</v>
      </c>
      <c r="G53" s="4">
        <v>172</v>
      </c>
      <c r="H53" s="4">
        <v>10</v>
      </c>
      <c r="I53" s="7">
        <v>46159</v>
      </c>
      <c r="J53" s="7">
        <v>46165</v>
      </c>
      <c r="K53" s="4" t="s">
        <v>79</v>
      </c>
      <c r="L53" s="4">
        <f t="shared" si="0"/>
        <v>2924</v>
      </c>
    </row>
    <row r="54" spans="1:12" x14ac:dyDescent="0.3">
      <c r="A54" s="9">
        <v>1053</v>
      </c>
      <c r="B54" s="9" t="s">
        <v>22</v>
      </c>
      <c r="C54" s="4" t="s">
        <v>33</v>
      </c>
      <c r="D54" s="4" t="s">
        <v>24</v>
      </c>
      <c r="E54" s="4" t="s">
        <v>8</v>
      </c>
      <c r="F54" s="4">
        <v>1</v>
      </c>
      <c r="G54" s="4">
        <v>9749</v>
      </c>
      <c r="H54" s="4">
        <v>15</v>
      </c>
      <c r="I54" s="7">
        <v>46064</v>
      </c>
      <c r="J54" s="7">
        <v>46070</v>
      </c>
      <c r="K54" s="4" t="s">
        <v>80</v>
      </c>
      <c r="L54" s="4">
        <f t="shared" si="0"/>
        <v>9749</v>
      </c>
    </row>
    <row r="55" spans="1:12" x14ac:dyDescent="0.3">
      <c r="A55" s="9">
        <v>1054</v>
      </c>
      <c r="B55" s="9" t="s">
        <v>28</v>
      </c>
      <c r="C55" s="4" t="s">
        <v>27</v>
      </c>
      <c r="D55" s="4" t="s">
        <v>24</v>
      </c>
      <c r="E55" s="4" t="s">
        <v>10</v>
      </c>
      <c r="F55" s="4">
        <v>8</v>
      </c>
      <c r="G55" s="4">
        <v>9798</v>
      </c>
      <c r="H55" s="4">
        <v>12</v>
      </c>
      <c r="I55" s="7">
        <v>46200</v>
      </c>
      <c r="J55" s="7">
        <v>46201</v>
      </c>
      <c r="K55" s="4" t="s">
        <v>81</v>
      </c>
      <c r="L55" s="4">
        <f t="shared" si="0"/>
        <v>78384</v>
      </c>
    </row>
    <row r="56" spans="1:12" x14ac:dyDescent="0.3">
      <c r="A56" s="9">
        <v>1055</v>
      </c>
      <c r="B56" s="9" t="s">
        <v>46</v>
      </c>
      <c r="C56" s="4" t="s">
        <v>19</v>
      </c>
      <c r="D56" s="4" t="s">
        <v>20</v>
      </c>
      <c r="E56" s="4" t="s">
        <v>37</v>
      </c>
      <c r="F56" s="4">
        <v>18</v>
      </c>
      <c r="G56" s="4">
        <v>185</v>
      </c>
      <c r="H56" s="4">
        <v>15</v>
      </c>
      <c r="I56" s="7">
        <v>46077</v>
      </c>
      <c r="J56" s="7">
        <v>46078</v>
      </c>
      <c r="K56" s="4" t="s">
        <v>78</v>
      </c>
      <c r="L56" s="4">
        <f t="shared" si="0"/>
        <v>3330</v>
      </c>
    </row>
    <row r="57" spans="1:12" x14ac:dyDescent="0.3">
      <c r="A57" s="9">
        <v>1056</v>
      </c>
      <c r="B57" s="9" t="s">
        <v>18</v>
      </c>
      <c r="C57" s="4" t="s">
        <v>26</v>
      </c>
      <c r="D57" s="4" t="s">
        <v>24</v>
      </c>
      <c r="E57" s="4" t="s">
        <v>7</v>
      </c>
      <c r="F57" s="4">
        <v>3</v>
      </c>
      <c r="G57" s="4">
        <v>9771</v>
      </c>
      <c r="H57" s="4">
        <v>5</v>
      </c>
      <c r="I57" s="7">
        <v>46133</v>
      </c>
      <c r="J57" s="7">
        <v>46139</v>
      </c>
      <c r="K57" s="4" t="s">
        <v>80</v>
      </c>
      <c r="L57" s="4">
        <f t="shared" si="0"/>
        <v>29313</v>
      </c>
    </row>
    <row r="58" spans="1:12" x14ac:dyDescent="0.3">
      <c r="A58" s="9">
        <v>1057</v>
      </c>
      <c r="B58" s="9" t="s">
        <v>56</v>
      </c>
      <c r="C58" s="4" t="s">
        <v>26</v>
      </c>
      <c r="D58" s="4" t="s">
        <v>24</v>
      </c>
      <c r="E58" s="4" t="s">
        <v>8</v>
      </c>
      <c r="F58" s="4">
        <v>2</v>
      </c>
      <c r="G58" s="4">
        <v>9531</v>
      </c>
      <c r="H58" s="4">
        <v>15</v>
      </c>
      <c r="I58" s="7">
        <v>46067</v>
      </c>
      <c r="J58" s="7">
        <v>46076</v>
      </c>
      <c r="K58" s="4" t="s">
        <v>81</v>
      </c>
      <c r="L58" s="4">
        <f t="shared" si="0"/>
        <v>19062</v>
      </c>
    </row>
    <row r="59" spans="1:12" x14ac:dyDescent="0.3">
      <c r="A59" s="9">
        <v>1058</v>
      </c>
      <c r="B59" s="9" t="s">
        <v>50</v>
      </c>
      <c r="C59" s="4" t="s">
        <v>38</v>
      </c>
      <c r="D59" s="4" t="s">
        <v>24</v>
      </c>
      <c r="E59" s="4" t="s">
        <v>8</v>
      </c>
      <c r="F59" s="4">
        <v>10</v>
      </c>
      <c r="G59" s="4">
        <v>5532</v>
      </c>
      <c r="H59" s="4">
        <v>7</v>
      </c>
      <c r="I59" s="7">
        <v>46074</v>
      </c>
      <c r="J59" s="7">
        <v>46084</v>
      </c>
      <c r="K59" s="4" t="s">
        <v>80</v>
      </c>
      <c r="L59" s="4">
        <f t="shared" si="0"/>
        <v>55320</v>
      </c>
    </row>
    <row r="60" spans="1:12" x14ac:dyDescent="0.3">
      <c r="A60" s="9">
        <v>1059</v>
      </c>
      <c r="B60" s="9" t="s">
        <v>52</v>
      </c>
      <c r="C60" s="4" t="s">
        <v>27</v>
      </c>
      <c r="D60" s="4" t="s">
        <v>20</v>
      </c>
      <c r="E60" s="4" t="s">
        <v>48</v>
      </c>
      <c r="F60" s="4">
        <v>20</v>
      </c>
      <c r="G60" s="4">
        <v>112</v>
      </c>
      <c r="H60" s="4">
        <v>10</v>
      </c>
      <c r="I60" s="7">
        <v>46113</v>
      </c>
      <c r="J60" s="7">
        <v>46122</v>
      </c>
      <c r="K60" s="4" t="s">
        <v>81</v>
      </c>
      <c r="L60" s="4">
        <f t="shared" si="0"/>
        <v>2240</v>
      </c>
    </row>
    <row r="61" spans="1:12" x14ac:dyDescent="0.3">
      <c r="A61" s="9">
        <v>1060</v>
      </c>
      <c r="B61" s="9" t="s">
        <v>47</v>
      </c>
      <c r="C61" s="4" t="s">
        <v>19</v>
      </c>
      <c r="D61" s="4" t="s">
        <v>24</v>
      </c>
      <c r="E61" s="4" t="s">
        <v>43</v>
      </c>
      <c r="F61" s="4">
        <v>9</v>
      </c>
      <c r="G61" s="4">
        <v>9727</v>
      </c>
      <c r="H61" s="4">
        <v>2</v>
      </c>
      <c r="I61" s="7">
        <v>46024</v>
      </c>
      <c r="J61" s="7">
        <v>46030</v>
      </c>
      <c r="K61" s="4" t="s">
        <v>79</v>
      </c>
      <c r="L61" s="4">
        <f t="shared" si="0"/>
        <v>87543</v>
      </c>
    </row>
    <row r="62" spans="1:12" x14ac:dyDescent="0.3">
      <c r="A62" s="9">
        <v>1061</v>
      </c>
      <c r="B62" s="9" t="s">
        <v>54</v>
      </c>
      <c r="C62" s="4" t="s">
        <v>19</v>
      </c>
      <c r="D62" s="4" t="s">
        <v>34</v>
      </c>
      <c r="E62" s="4" t="s">
        <v>40</v>
      </c>
      <c r="F62" s="4">
        <v>16</v>
      </c>
      <c r="G62" s="4">
        <v>59084</v>
      </c>
      <c r="H62" s="4">
        <v>0</v>
      </c>
      <c r="I62" s="7">
        <v>46060</v>
      </c>
      <c r="J62" s="7">
        <v>46069</v>
      </c>
      <c r="K62" s="4" t="s">
        <v>79</v>
      </c>
      <c r="L62" s="4">
        <f t="shared" si="0"/>
        <v>945344</v>
      </c>
    </row>
    <row r="63" spans="1:12" x14ac:dyDescent="0.3">
      <c r="A63" s="9">
        <v>1062</v>
      </c>
      <c r="B63" s="9" t="s">
        <v>39</v>
      </c>
      <c r="C63" s="4" t="s">
        <v>42</v>
      </c>
      <c r="D63" s="4" t="s">
        <v>24</v>
      </c>
      <c r="E63" s="4" t="s">
        <v>10</v>
      </c>
      <c r="F63" s="4">
        <v>8</v>
      </c>
      <c r="G63" s="4">
        <v>8360</v>
      </c>
      <c r="H63" s="4">
        <v>2</v>
      </c>
      <c r="I63" s="7">
        <v>46190</v>
      </c>
      <c r="J63" s="7">
        <v>46200</v>
      </c>
      <c r="K63" s="4" t="s">
        <v>81</v>
      </c>
      <c r="L63" s="4">
        <f t="shared" si="0"/>
        <v>66880</v>
      </c>
    </row>
    <row r="64" spans="1:12" x14ac:dyDescent="0.3">
      <c r="A64" s="9">
        <v>1063</v>
      </c>
      <c r="B64" s="9" t="s">
        <v>52</v>
      </c>
      <c r="C64" s="4" t="s">
        <v>26</v>
      </c>
      <c r="D64" s="4" t="s">
        <v>34</v>
      </c>
      <c r="E64" s="4" t="s">
        <v>6</v>
      </c>
      <c r="F64" s="4">
        <v>7</v>
      </c>
      <c r="G64" s="4">
        <v>66744</v>
      </c>
      <c r="H64" s="4">
        <v>7</v>
      </c>
      <c r="I64" s="7">
        <v>46148</v>
      </c>
      <c r="J64" s="7">
        <v>46155</v>
      </c>
      <c r="K64" s="4" t="s">
        <v>78</v>
      </c>
      <c r="L64" s="4">
        <f t="shared" si="0"/>
        <v>467208</v>
      </c>
    </row>
    <row r="65" spans="1:12" x14ac:dyDescent="0.3">
      <c r="A65" s="9">
        <v>1064</v>
      </c>
      <c r="B65" s="9" t="s">
        <v>28</v>
      </c>
      <c r="C65" s="4" t="s">
        <v>23</v>
      </c>
      <c r="D65" s="4" t="s">
        <v>20</v>
      </c>
      <c r="E65" s="4" t="s">
        <v>48</v>
      </c>
      <c r="F65" s="4">
        <v>20</v>
      </c>
      <c r="G65" s="4">
        <v>191</v>
      </c>
      <c r="H65" s="4">
        <v>7</v>
      </c>
      <c r="I65" s="7">
        <v>46185</v>
      </c>
      <c r="J65" s="7">
        <v>46195</v>
      </c>
      <c r="K65" s="4" t="s">
        <v>49</v>
      </c>
      <c r="L65" s="4">
        <f t="shared" si="0"/>
        <v>3820</v>
      </c>
    </row>
    <row r="66" spans="1:12" x14ac:dyDescent="0.3">
      <c r="A66" s="9">
        <v>1065</v>
      </c>
      <c r="B66" s="9" t="s">
        <v>41</v>
      </c>
      <c r="C66" s="4" t="s">
        <v>42</v>
      </c>
      <c r="D66" s="4" t="s">
        <v>24</v>
      </c>
      <c r="E66" s="4" t="s">
        <v>43</v>
      </c>
      <c r="F66" s="4">
        <v>1</v>
      </c>
      <c r="G66" s="4">
        <v>7730</v>
      </c>
      <c r="H66" s="4">
        <v>5</v>
      </c>
      <c r="I66" s="7">
        <v>46192</v>
      </c>
      <c r="J66" s="7">
        <v>46195</v>
      </c>
      <c r="K66" s="4" t="s">
        <v>81</v>
      </c>
      <c r="L66" s="4">
        <f t="shared" si="0"/>
        <v>7730</v>
      </c>
    </row>
    <row r="67" spans="1:12" x14ac:dyDescent="0.3">
      <c r="A67" s="9">
        <v>1066</v>
      </c>
      <c r="B67" s="9" t="s">
        <v>45</v>
      </c>
      <c r="C67" s="4" t="s">
        <v>27</v>
      </c>
      <c r="D67" s="4" t="s">
        <v>24</v>
      </c>
      <c r="E67" s="4" t="s">
        <v>43</v>
      </c>
      <c r="F67" s="4">
        <v>15</v>
      </c>
      <c r="G67" s="4">
        <v>11987</v>
      </c>
      <c r="H67" s="4">
        <v>5</v>
      </c>
      <c r="I67" s="7">
        <v>46082</v>
      </c>
      <c r="J67" s="7">
        <v>46083</v>
      </c>
      <c r="K67" s="4" t="s">
        <v>78</v>
      </c>
      <c r="L67" s="4">
        <f t="shared" ref="L67:L130" si="1">G67*F67</f>
        <v>179805</v>
      </c>
    </row>
    <row r="68" spans="1:12" x14ac:dyDescent="0.3">
      <c r="A68" s="9">
        <v>1067</v>
      </c>
      <c r="B68" s="9" t="s">
        <v>32</v>
      </c>
      <c r="C68" s="4" t="s">
        <v>42</v>
      </c>
      <c r="D68" s="4" t="s">
        <v>24</v>
      </c>
      <c r="E68" s="4" t="s">
        <v>11</v>
      </c>
      <c r="F68" s="4">
        <v>14</v>
      </c>
      <c r="G68" s="4">
        <v>10869</v>
      </c>
      <c r="H68" s="4">
        <v>0</v>
      </c>
      <c r="I68" s="7">
        <v>46058</v>
      </c>
      <c r="J68" s="7">
        <v>46062</v>
      </c>
      <c r="K68" s="4" t="s">
        <v>49</v>
      </c>
      <c r="L68" s="4">
        <f t="shared" si="1"/>
        <v>152166</v>
      </c>
    </row>
    <row r="69" spans="1:12" x14ac:dyDescent="0.3">
      <c r="A69" s="9">
        <v>1068</v>
      </c>
      <c r="B69" s="9" t="s">
        <v>50</v>
      </c>
      <c r="C69" s="4" t="s">
        <v>42</v>
      </c>
      <c r="D69" s="4" t="s">
        <v>34</v>
      </c>
      <c r="E69" s="4" t="s">
        <v>9</v>
      </c>
      <c r="F69" s="4">
        <v>15</v>
      </c>
      <c r="G69" s="4">
        <v>14534</v>
      </c>
      <c r="H69" s="4">
        <v>5</v>
      </c>
      <c r="I69" s="7">
        <v>46196</v>
      </c>
      <c r="J69" s="7">
        <v>46199</v>
      </c>
      <c r="K69" s="4" t="s">
        <v>49</v>
      </c>
      <c r="L69" s="4">
        <f t="shared" si="1"/>
        <v>218010</v>
      </c>
    </row>
    <row r="70" spans="1:12" x14ac:dyDescent="0.3">
      <c r="A70" s="9">
        <v>1069</v>
      </c>
      <c r="B70" s="9" t="s">
        <v>50</v>
      </c>
      <c r="C70" s="4" t="s">
        <v>31</v>
      </c>
      <c r="D70" s="4" t="s">
        <v>24</v>
      </c>
      <c r="E70" s="4" t="s">
        <v>8</v>
      </c>
      <c r="F70" s="4">
        <v>9</v>
      </c>
      <c r="G70" s="4">
        <v>4415</v>
      </c>
      <c r="H70" s="4">
        <v>5</v>
      </c>
      <c r="I70" s="7">
        <v>46039</v>
      </c>
      <c r="J70" s="7">
        <v>46046</v>
      </c>
      <c r="K70" s="4" t="s">
        <v>78</v>
      </c>
      <c r="L70" s="4">
        <f t="shared" si="1"/>
        <v>39735</v>
      </c>
    </row>
    <row r="71" spans="1:12" x14ac:dyDescent="0.3">
      <c r="A71" s="9">
        <v>1070</v>
      </c>
      <c r="B71" s="9" t="s">
        <v>50</v>
      </c>
      <c r="C71" s="4" t="s">
        <v>42</v>
      </c>
      <c r="D71" s="4" t="s">
        <v>20</v>
      </c>
      <c r="E71" s="4" t="s">
        <v>36</v>
      </c>
      <c r="F71" s="4">
        <v>10</v>
      </c>
      <c r="G71" s="4">
        <v>233</v>
      </c>
      <c r="H71" s="4">
        <v>7</v>
      </c>
      <c r="I71" s="7">
        <v>46076</v>
      </c>
      <c r="J71" s="7">
        <v>46077</v>
      </c>
      <c r="K71" s="4" t="s">
        <v>49</v>
      </c>
      <c r="L71" s="4">
        <f t="shared" si="1"/>
        <v>2330</v>
      </c>
    </row>
    <row r="72" spans="1:12" x14ac:dyDescent="0.3">
      <c r="A72" s="9">
        <v>1071</v>
      </c>
      <c r="B72" s="9" t="s">
        <v>56</v>
      </c>
      <c r="C72" s="4" t="s">
        <v>26</v>
      </c>
      <c r="D72" s="4" t="s">
        <v>34</v>
      </c>
      <c r="E72" s="4" t="s">
        <v>12</v>
      </c>
      <c r="F72" s="4">
        <v>18</v>
      </c>
      <c r="G72" s="4">
        <v>32197</v>
      </c>
      <c r="H72" s="4">
        <v>5</v>
      </c>
      <c r="I72" s="7">
        <v>46129</v>
      </c>
      <c r="J72" s="7">
        <v>46137</v>
      </c>
      <c r="K72" s="4" t="s">
        <v>79</v>
      </c>
      <c r="L72" s="4">
        <f t="shared" si="1"/>
        <v>579546</v>
      </c>
    </row>
    <row r="73" spans="1:12" x14ac:dyDescent="0.3">
      <c r="A73" s="9">
        <v>1072</v>
      </c>
      <c r="B73" s="9" t="s">
        <v>22</v>
      </c>
      <c r="C73" s="4" t="s">
        <v>27</v>
      </c>
      <c r="D73" s="4" t="s">
        <v>34</v>
      </c>
      <c r="E73" s="4" t="s">
        <v>12</v>
      </c>
      <c r="F73" s="4">
        <v>20</v>
      </c>
      <c r="G73" s="4">
        <v>58779</v>
      </c>
      <c r="H73" s="4">
        <v>0</v>
      </c>
      <c r="I73" s="7">
        <v>46035</v>
      </c>
      <c r="J73" s="7">
        <v>46036</v>
      </c>
      <c r="K73" s="4" t="s">
        <v>80</v>
      </c>
      <c r="L73" s="4">
        <f t="shared" si="1"/>
        <v>1175580</v>
      </c>
    </row>
    <row r="74" spans="1:12" x14ac:dyDescent="0.3">
      <c r="A74" s="9">
        <v>1073</v>
      </c>
      <c r="B74" s="9" t="s">
        <v>55</v>
      </c>
      <c r="C74" s="4" t="s">
        <v>23</v>
      </c>
      <c r="D74" s="4" t="s">
        <v>24</v>
      </c>
      <c r="E74" s="4" t="s">
        <v>11</v>
      </c>
      <c r="F74" s="4">
        <v>4</v>
      </c>
      <c r="G74" s="4">
        <v>2453</v>
      </c>
      <c r="H74" s="4">
        <v>7</v>
      </c>
      <c r="I74" s="7">
        <v>46126</v>
      </c>
      <c r="J74" s="7">
        <v>46129</v>
      </c>
      <c r="K74" s="4" t="s">
        <v>81</v>
      </c>
      <c r="L74" s="4">
        <f t="shared" si="1"/>
        <v>9812</v>
      </c>
    </row>
    <row r="75" spans="1:12" x14ac:dyDescent="0.3">
      <c r="A75" s="9">
        <v>1074</v>
      </c>
      <c r="B75" s="9" t="s">
        <v>28</v>
      </c>
      <c r="C75" s="4" t="s">
        <v>31</v>
      </c>
      <c r="D75" s="4" t="s">
        <v>20</v>
      </c>
      <c r="E75" s="4" t="s">
        <v>48</v>
      </c>
      <c r="F75" s="4">
        <v>11</v>
      </c>
      <c r="G75" s="4">
        <v>390</v>
      </c>
      <c r="H75" s="4">
        <v>15</v>
      </c>
      <c r="I75" s="7">
        <v>46114</v>
      </c>
      <c r="J75" s="7">
        <v>46123</v>
      </c>
      <c r="K75" s="4" t="s">
        <v>49</v>
      </c>
      <c r="L75" s="4">
        <f t="shared" si="1"/>
        <v>4290</v>
      </c>
    </row>
    <row r="76" spans="1:12" x14ac:dyDescent="0.3">
      <c r="A76" s="9">
        <v>1075</v>
      </c>
      <c r="B76" s="9" t="s">
        <v>41</v>
      </c>
      <c r="C76" s="4" t="s">
        <v>42</v>
      </c>
      <c r="D76" s="4" t="s">
        <v>34</v>
      </c>
      <c r="E76" s="4" t="s">
        <v>12</v>
      </c>
      <c r="F76" s="4">
        <v>4</v>
      </c>
      <c r="G76" s="4">
        <v>64773</v>
      </c>
      <c r="H76" s="4">
        <v>10</v>
      </c>
      <c r="I76" s="7">
        <v>46185</v>
      </c>
      <c r="J76" s="7">
        <v>46186</v>
      </c>
      <c r="K76" s="4" t="s">
        <v>81</v>
      </c>
      <c r="L76" s="4">
        <f t="shared" si="1"/>
        <v>259092</v>
      </c>
    </row>
    <row r="77" spans="1:12" x14ac:dyDescent="0.3">
      <c r="A77" s="9">
        <v>1076</v>
      </c>
      <c r="B77" s="9" t="s">
        <v>49</v>
      </c>
      <c r="C77" s="4" t="s">
        <v>23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7">
        <v>46045</v>
      </c>
      <c r="J77" s="7">
        <v>46055</v>
      </c>
      <c r="K77" s="4" t="s">
        <v>49</v>
      </c>
      <c r="L77" s="4">
        <f t="shared" si="1"/>
        <v>507566</v>
      </c>
    </row>
    <row r="78" spans="1:12" x14ac:dyDescent="0.3">
      <c r="A78" s="9">
        <v>1077</v>
      </c>
      <c r="B78" s="9" t="s">
        <v>53</v>
      </c>
      <c r="C78" s="4" t="s">
        <v>27</v>
      </c>
      <c r="D78" s="4" t="s">
        <v>20</v>
      </c>
      <c r="E78" s="4" t="s">
        <v>21</v>
      </c>
      <c r="F78" s="4">
        <v>1</v>
      </c>
      <c r="G78" s="4">
        <v>123</v>
      </c>
      <c r="H78" s="4">
        <v>10</v>
      </c>
      <c r="I78" s="7">
        <v>46113</v>
      </c>
      <c r="J78" s="7">
        <v>46121</v>
      </c>
      <c r="K78" s="4" t="s">
        <v>81</v>
      </c>
      <c r="L78" s="4">
        <f t="shared" si="1"/>
        <v>123</v>
      </c>
    </row>
    <row r="79" spans="1:12" x14ac:dyDescent="0.3">
      <c r="A79" s="9">
        <v>1078</v>
      </c>
      <c r="B79" s="9" t="s">
        <v>50</v>
      </c>
      <c r="C79" s="4" t="s">
        <v>23</v>
      </c>
      <c r="D79" s="4" t="s">
        <v>34</v>
      </c>
      <c r="E79" s="4" t="s">
        <v>5</v>
      </c>
      <c r="F79" s="4">
        <v>11</v>
      </c>
      <c r="G79" s="4">
        <v>24278</v>
      </c>
      <c r="H79" s="4">
        <v>12</v>
      </c>
      <c r="I79" s="7">
        <v>46084</v>
      </c>
      <c r="J79" s="7">
        <v>46090</v>
      </c>
      <c r="K79" s="4" t="s">
        <v>49</v>
      </c>
      <c r="L79" s="4">
        <f t="shared" si="1"/>
        <v>267058</v>
      </c>
    </row>
    <row r="80" spans="1:12" x14ac:dyDescent="0.3">
      <c r="A80" s="9">
        <v>1079</v>
      </c>
      <c r="B80" s="9" t="s">
        <v>28</v>
      </c>
      <c r="C80" s="4" t="s">
        <v>38</v>
      </c>
      <c r="D80" s="4" t="s">
        <v>34</v>
      </c>
      <c r="E80" s="4" t="s">
        <v>40</v>
      </c>
      <c r="F80" s="4">
        <v>19</v>
      </c>
      <c r="G80" s="4">
        <v>48956</v>
      </c>
      <c r="H80" s="4">
        <v>12</v>
      </c>
      <c r="I80" s="7">
        <v>46170</v>
      </c>
      <c r="J80" s="7">
        <v>46177</v>
      </c>
      <c r="K80" s="4" t="s">
        <v>81</v>
      </c>
      <c r="L80" s="4">
        <f t="shared" si="1"/>
        <v>930164</v>
      </c>
    </row>
    <row r="81" spans="1:12" x14ac:dyDescent="0.3">
      <c r="A81" s="9">
        <v>1080</v>
      </c>
      <c r="B81" s="9" t="s">
        <v>25</v>
      </c>
      <c r="C81" s="4" t="s">
        <v>26</v>
      </c>
      <c r="D81" s="4" t="s">
        <v>34</v>
      </c>
      <c r="E81" s="4" t="s">
        <v>40</v>
      </c>
      <c r="F81" s="4">
        <v>12</v>
      </c>
      <c r="G81" s="4">
        <v>54161</v>
      </c>
      <c r="H81" s="4">
        <v>15</v>
      </c>
      <c r="I81" s="7">
        <v>46133</v>
      </c>
      <c r="J81" s="7">
        <v>46143</v>
      </c>
      <c r="K81" s="4" t="s">
        <v>80</v>
      </c>
      <c r="L81" s="4">
        <f t="shared" si="1"/>
        <v>649932</v>
      </c>
    </row>
    <row r="82" spans="1:12" x14ac:dyDescent="0.3">
      <c r="A82" s="9">
        <v>1081</v>
      </c>
      <c r="B82" s="9" t="s">
        <v>45</v>
      </c>
      <c r="C82" s="4" t="s">
        <v>19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7">
        <v>46058</v>
      </c>
      <c r="J82" s="7">
        <v>46060</v>
      </c>
      <c r="K82" s="4" t="s">
        <v>81</v>
      </c>
      <c r="L82" s="4">
        <f t="shared" si="1"/>
        <v>898680</v>
      </c>
    </row>
    <row r="83" spans="1:12" x14ac:dyDescent="0.3">
      <c r="A83" s="9">
        <v>1082</v>
      </c>
      <c r="B83" s="9" t="s">
        <v>25</v>
      </c>
      <c r="C83" s="4" t="s">
        <v>19</v>
      </c>
      <c r="D83" s="4" t="s">
        <v>20</v>
      </c>
      <c r="E83" s="4" t="s">
        <v>21</v>
      </c>
      <c r="F83" s="4">
        <v>7</v>
      </c>
      <c r="G83" s="4">
        <v>133</v>
      </c>
      <c r="H83" s="4">
        <v>10</v>
      </c>
      <c r="I83" s="7">
        <v>46075</v>
      </c>
      <c r="J83" s="7">
        <v>46085</v>
      </c>
      <c r="K83" s="4" t="s">
        <v>81</v>
      </c>
      <c r="L83" s="4">
        <f t="shared" si="1"/>
        <v>931</v>
      </c>
    </row>
    <row r="84" spans="1:12" x14ac:dyDescent="0.3">
      <c r="A84" s="9">
        <v>1083</v>
      </c>
      <c r="B84" s="9" t="s">
        <v>53</v>
      </c>
      <c r="C84" s="4" t="s">
        <v>33</v>
      </c>
      <c r="D84" s="4" t="s">
        <v>20</v>
      </c>
      <c r="E84" s="4" t="s">
        <v>51</v>
      </c>
      <c r="F84" s="4">
        <v>4</v>
      </c>
      <c r="G84" s="4">
        <v>397</v>
      </c>
      <c r="H84" s="4">
        <v>7</v>
      </c>
      <c r="I84" s="7">
        <v>46185</v>
      </c>
      <c r="J84" s="7">
        <v>46193</v>
      </c>
      <c r="K84" s="4" t="s">
        <v>78</v>
      </c>
      <c r="L84" s="4">
        <f t="shared" si="1"/>
        <v>1588</v>
      </c>
    </row>
    <row r="85" spans="1:12" x14ac:dyDescent="0.3">
      <c r="A85" s="9">
        <v>1084</v>
      </c>
      <c r="B85" s="9" t="s">
        <v>47</v>
      </c>
      <c r="C85" s="4" t="s">
        <v>31</v>
      </c>
      <c r="D85" s="4" t="s">
        <v>24</v>
      </c>
      <c r="E85" s="4" t="s">
        <v>8</v>
      </c>
      <c r="F85" s="4">
        <v>4</v>
      </c>
      <c r="G85" s="4">
        <v>6901</v>
      </c>
      <c r="H85" s="4">
        <v>10</v>
      </c>
      <c r="I85" s="7">
        <v>46047</v>
      </c>
      <c r="J85" s="7">
        <v>46057</v>
      </c>
      <c r="K85" s="4" t="s">
        <v>79</v>
      </c>
      <c r="L85" s="4">
        <f t="shared" si="1"/>
        <v>27604</v>
      </c>
    </row>
    <row r="86" spans="1:12" x14ac:dyDescent="0.3">
      <c r="A86" s="9">
        <v>1085</v>
      </c>
      <c r="B86" s="9" t="s">
        <v>32</v>
      </c>
      <c r="C86" s="4" t="s">
        <v>38</v>
      </c>
      <c r="D86" s="4" t="s">
        <v>34</v>
      </c>
      <c r="E86" s="4" t="s">
        <v>9</v>
      </c>
      <c r="F86" s="4">
        <v>19</v>
      </c>
      <c r="G86" s="4">
        <v>45307</v>
      </c>
      <c r="H86" s="4">
        <v>12</v>
      </c>
      <c r="I86" s="7">
        <v>46146</v>
      </c>
      <c r="J86" s="7">
        <v>46150</v>
      </c>
      <c r="K86" s="4" t="s">
        <v>80</v>
      </c>
      <c r="L86" s="4">
        <f t="shared" si="1"/>
        <v>860833</v>
      </c>
    </row>
    <row r="87" spans="1:12" x14ac:dyDescent="0.3">
      <c r="A87" s="9">
        <v>1086</v>
      </c>
      <c r="B87" s="9" t="s">
        <v>32</v>
      </c>
      <c r="C87" s="4" t="s">
        <v>19</v>
      </c>
      <c r="D87" s="4" t="s">
        <v>20</v>
      </c>
      <c r="E87" s="4" t="s">
        <v>51</v>
      </c>
      <c r="F87" s="4">
        <v>15</v>
      </c>
      <c r="G87" s="4">
        <v>40</v>
      </c>
      <c r="H87" s="4">
        <v>10</v>
      </c>
      <c r="I87" s="7">
        <v>46045</v>
      </c>
      <c r="J87" s="7">
        <v>46049</v>
      </c>
      <c r="K87" s="4" t="s">
        <v>80</v>
      </c>
      <c r="L87" s="4">
        <f t="shared" si="1"/>
        <v>600</v>
      </c>
    </row>
    <row r="88" spans="1:12" x14ac:dyDescent="0.3">
      <c r="A88" s="9">
        <v>1087</v>
      </c>
      <c r="B88" s="9" t="s">
        <v>18</v>
      </c>
      <c r="C88" s="4" t="s">
        <v>31</v>
      </c>
      <c r="D88" s="4" t="s">
        <v>20</v>
      </c>
      <c r="E88" s="4" t="s">
        <v>37</v>
      </c>
      <c r="F88" s="4">
        <v>13</v>
      </c>
      <c r="G88" s="4">
        <v>387</v>
      </c>
      <c r="H88" s="4">
        <v>7</v>
      </c>
      <c r="I88" s="7">
        <v>46171</v>
      </c>
      <c r="J88" s="7">
        <v>46176</v>
      </c>
      <c r="K88" s="4" t="s">
        <v>80</v>
      </c>
      <c r="L88" s="4">
        <f t="shared" si="1"/>
        <v>5031</v>
      </c>
    </row>
    <row r="89" spans="1:12" x14ac:dyDescent="0.3">
      <c r="A89" s="9">
        <v>1088</v>
      </c>
      <c r="B89" s="9" t="s">
        <v>39</v>
      </c>
      <c r="C89" s="4" t="s">
        <v>33</v>
      </c>
      <c r="D89" s="4" t="s">
        <v>34</v>
      </c>
      <c r="E89" s="4" t="s">
        <v>40</v>
      </c>
      <c r="F89" s="4">
        <v>20</v>
      </c>
      <c r="G89" s="4">
        <v>41165</v>
      </c>
      <c r="H89" s="4">
        <v>0</v>
      </c>
      <c r="I89" s="7">
        <v>46068</v>
      </c>
      <c r="J89" s="7">
        <v>46069</v>
      </c>
      <c r="K89" s="4" t="s">
        <v>79</v>
      </c>
      <c r="L89" s="4">
        <f t="shared" si="1"/>
        <v>823300</v>
      </c>
    </row>
    <row r="90" spans="1:12" x14ac:dyDescent="0.3">
      <c r="A90" s="9">
        <v>1089</v>
      </c>
      <c r="B90" s="9" t="s">
        <v>44</v>
      </c>
      <c r="C90" s="4" t="s">
        <v>19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7">
        <v>46066</v>
      </c>
      <c r="J90" s="7">
        <v>46071</v>
      </c>
      <c r="K90" s="4" t="s">
        <v>80</v>
      </c>
      <c r="L90" s="4">
        <f t="shared" si="1"/>
        <v>170410</v>
      </c>
    </row>
    <row r="91" spans="1:12" x14ac:dyDescent="0.3">
      <c r="A91" s="9">
        <v>1090</v>
      </c>
      <c r="B91" s="9" t="s">
        <v>47</v>
      </c>
      <c r="C91" s="4" t="s">
        <v>31</v>
      </c>
      <c r="D91" s="4" t="s">
        <v>34</v>
      </c>
      <c r="E91" s="4" t="s">
        <v>6</v>
      </c>
      <c r="F91" s="4">
        <v>19</v>
      </c>
      <c r="G91" s="4">
        <v>66139</v>
      </c>
      <c r="H91" s="4">
        <v>5</v>
      </c>
      <c r="I91" s="7">
        <v>46088</v>
      </c>
      <c r="J91" s="7">
        <v>46095</v>
      </c>
      <c r="K91" s="4" t="s">
        <v>80</v>
      </c>
      <c r="L91" s="4">
        <f t="shared" si="1"/>
        <v>1256641</v>
      </c>
    </row>
    <row r="92" spans="1:12" x14ac:dyDescent="0.3">
      <c r="A92" s="9">
        <v>1091</v>
      </c>
      <c r="B92" s="9" t="s">
        <v>53</v>
      </c>
      <c r="C92" s="4" t="s">
        <v>23</v>
      </c>
      <c r="D92" s="4" t="s">
        <v>20</v>
      </c>
      <c r="E92" s="4" t="s">
        <v>51</v>
      </c>
      <c r="F92" s="4">
        <v>2</v>
      </c>
      <c r="G92" s="4">
        <v>305</v>
      </c>
      <c r="H92" s="4">
        <v>0</v>
      </c>
      <c r="I92" s="7">
        <v>46136</v>
      </c>
      <c r="J92" s="7">
        <v>46144</v>
      </c>
      <c r="K92" s="4" t="s">
        <v>78</v>
      </c>
      <c r="L92" s="4">
        <f t="shared" si="1"/>
        <v>610</v>
      </c>
    </row>
    <row r="93" spans="1:12" x14ac:dyDescent="0.3">
      <c r="A93" s="9">
        <v>1092</v>
      </c>
      <c r="B93" s="9" t="s">
        <v>25</v>
      </c>
      <c r="C93" s="4" t="s">
        <v>26</v>
      </c>
      <c r="D93" s="4" t="s">
        <v>34</v>
      </c>
      <c r="E93" s="4" t="s">
        <v>40</v>
      </c>
      <c r="F93" s="4">
        <v>9</v>
      </c>
      <c r="G93" s="4">
        <v>23438</v>
      </c>
      <c r="H93" s="4">
        <v>2</v>
      </c>
      <c r="I93" s="7">
        <v>46049</v>
      </c>
      <c r="J93" s="7">
        <v>46055</v>
      </c>
      <c r="K93" s="4" t="s">
        <v>49</v>
      </c>
      <c r="L93" s="4">
        <f t="shared" si="1"/>
        <v>210942</v>
      </c>
    </row>
    <row r="94" spans="1:12" x14ac:dyDescent="0.3">
      <c r="A94" s="9">
        <v>1093</v>
      </c>
      <c r="B94" s="9" t="s">
        <v>45</v>
      </c>
      <c r="C94" s="4" t="s">
        <v>27</v>
      </c>
      <c r="D94" s="4" t="s">
        <v>24</v>
      </c>
      <c r="E94" s="4" t="s">
        <v>10</v>
      </c>
      <c r="F94" s="4">
        <v>6</v>
      </c>
      <c r="G94" s="4">
        <v>8224</v>
      </c>
      <c r="H94" s="4">
        <v>15</v>
      </c>
      <c r="I94" s="7">
        <v>46175</v>
      </c>
      <c r="J94" s="7">
        <v>46185</v>
      </c>
      <c r="K94" s="4" t="s">
        <v>81</v>
      </c>
      <c r="L94" s="4">
        <f t="shared" si="1"/>
        <v>49344</v>
      </c>
    </row>
    <row r="95" spans="1:12" x14ac:dyDescent="0.3">
      <c r="A95" s="9">
        <v>1094</v>
      </c>
      <c r="B95" s="9" t="s">
        <v>45</v>
      </c>
      <c r="C95" s="4" t="s">
        <v>42</v>
      </c>
      <c r="D95" s="4" t="s">
        <v>34</v>
      </c>
      <c r="E95" s="4" t="s">
        <v>12</v>
      </c>
      <c r="F95" s="4">
        <v>4</v>
      </c>
      <c r="G95" s="4">
        <v>7073</v>
      </c>
      <c r="H95" s="4">
        <v>0</v>
      </c>
      <c r="I95" s="7">
        <v>46101</v>
      </c>
      <c r="J95" s="7">
        <v>46105</v>
      </c>
      <c r="K95" s="4" t="s">
        <v>49</v>
      </c>
      <c r="L95" s="4">
        <f t="shared" si="1"/>
        <v>28292</v>
      </c>
    </row>
    <row r="96" spans="1:12" x14ac:dyDescent="0.3">
      <c r="A96" s="9">
        <v>1095</v>
      </c>
      <c r="B96" s="9" t="s">
        <v>45</v>
      </c>
      <c r="C96" s="4" t="s">
        <v>27</v>
      </c>
      <c r="D96" s="4" t="s">
        <v>34</v>
      </c>
      <c r="E96" s="4" t="s">
        <v>40</v>
      </c>
      <c r="F96" s="4">
        <v>18</v>
      </c>
      <c r="G96" s="4">
        <v>587</v>
      </c>
      <c r="H96" s="4">
        <v>2</v>
      </c>
      <c r="I96" s="7">
        <v>46167</v>
      </c>
      <c r="J96" s="7">
        <v>46171</v>
      </c>
      <c r="K96" s="4" t="s">
        <v>79</v>
      </c>
      <c r="L96" s="4">
        <f t="shared" si="1"/>
        <v>10566</v>
      </c>
    </row>
    <row r="97" spans="1:12" x14ac:dyDescent="0.3">
      <c r="A97" s="9">
        <v>1096</v>
      </c>
      <c r="B97" s="9" t="s">
        <v>47</v>
      </c>
      <c r="C97" s="4" t="s">
        <v>23</v>
      </c>
      <c r="D97" s="4" t="s">
        <v>24</v>
      </c>
      <c r="E97" s="4" t="s">
        <v>10</v>
      </c>
      <c r="F97" s="4">
        <v>15</v>
      </c>
      <c r="G97" s="4">
        <v>14724</v>
      </c>
      <c r="H97" s="4">
        <v>15</v>
      </c>
      <c r="I97" s="7">
        <v>46054</v>
      </c>
      <c r="J97" s="7">
        <v>46061</v>
      </c>
      <c r="K97" s="4" t="s">
        <v>79</v>
      </c>
      <c r="L97" s="4">
        <f t="shared" si="1"/>
        <v>220860</v>
      </c>
    </row>
    <row r="98" spans="1:12" x14ac:dyDescent="0.3">
      <c r="A98" s="9">
        <v>1097</v>
      </c>
      <c r="B98" s="9" t="s">
        <v>50</v>
      </c>
      <c r="C98" s="4" t="s">
        <v>26</v>
      </c>
      <c r="D98" s="4" t="s">
        <v>34</v>
      </c>
      <c r="E98" s="4" t="s">
        <v>12</v>
      </c>
      <c r="F98" s="4">
        <v>10</v>
      </c>
      <c r="G98" s="4">
        <v>28980</v>
      </c>
      <c r="H98" s="4">
        <v>10</v>
      </c>
      <c r="I98" s="7">
        <v>46089</v>
      </c>
      <c r="J98" s="7">
        <v>46094</v>
      </c>
      <c r="K98" s="4" t="s">
        <v>80</v>
      </c>
      <c r="L98" s="4">
        <f t="shared" si="1"/>
        <v>289800</v>
      </c>
    </row>
    <row r="99" spans="1:12" x14ac:dyDescent="0.3">
      <c r="A99" s="9">
        <v>1098</v>
      </c>
      <c r="B99" s="9" t="s">
        <v>28</v>
      </c>
      <c r="C99" s="4" t="s">
        <v>27</v>
      </c>
      <c r="D99" s="4" t="s">
        <v>20</v>
      </c>
      <c r="E99" s="4" t="s">
        <v>51</v>
      </c>
      <c r="F99" s="4">
        <v>17</v>
      </c>
      <c r="G99" s="4">
        <v>345</v>
      </c>
      <c r="H99" s="4">
        <v>2</v>
      </c>
      <c r="I99" s="7">
        <v>46126</v>
      </c>
      <c r="J99" s="7">
        <v>46127</v>
      </c>
      <c r="K99" s="4" t="s">
        <v>81</v>
      </c>
      <c r="L99" s="4">
        <f t="shared" si="1"/>
        <v>5865</v>
      </c>
    </row>
    <row r="100" spans="1:12" x14ac:dyDescent="0.3">
      <c r="A100" s="9">
        <v>1099</v>
      </c>
      <c r="B100" s="9" t="s">
        <v>28</v>
      </c>
      <c r="C100" s="4" t="s">
        <v>31</v>
      </c>
      <c r="D100" s="4" t="s">
        <v>24</v>
      </c>
      <c r="E100" s="4" t="s">
        <v>7</v>
      </c>
      <c r="F100" s="4">
        <v>1</v>
      </c>
      <c r="G100" s="4">
        <v>5165</v>
      </c>
      <c r="H100" s="4">
        <v>2</v>
      </c>
      <c r="I100" s="7">
        <v>46058</v>
      </c>
      <c r="J100" s="7">
        <v>46060</v>
      </c>
      <c r="K100" s="4" t="s">
        <v>78</v>
      </c>
      <c r="L100" s="4">
        <f t="shared" si="1"/>
        <v>5165</v>
      </c>
    </row>
    <row r="101" spans="1:12" x14ac:dyDescent="0.3">
      <c r="A101" s="9">
        <v>1100</v>
      </c>
      <c r="B101" s="9" t="s">
        <v>18</v>
      </c>
      <c r="C101" s="4" t="s">
        <v>31</v>
      </c>
      <c r="D101" s="4" t="s">
        <v>20</v>
      </c>
      <c r="E101" s="4" t="s">
        <v>21</v>
      </c>
      <c r="F101" s="4">
        <v>11</v>
      </c>
      <c r="G101" s="4">
        <v>296</v>
      </c>
      <c r="H101" s="4">
        <v>10</v>
      </c>
      <c r="I101" s="7">
        <v>46027</v>
      </c>
      <c r="J101" s="7">
        <v>46031</v>
      </c>
      <c r="K101" s="4" t="s">
        <v>81</v>
      </c>
      <c r="L101" s="4">
        <f t="shared" si="1"/>
        <v>3256</v>
      </c>
    </row>
    <row r="102" spans="1:12" x14ac:dyDescent="0.3">
      <c r="A102" s="9">
        <v>1101</v>
      </c>
      <c r="B102" s="9" t="s">
        <v>29</v>
      </c>
      <c r="C102" s="4" t="s">
        <v>26</v>
      </c>
      <c r="D102" s="4" t="s">
        <v>34</v>
      </c>
      <c r="E102" s="4" t="s">
        <v>12</v>
      </c>
      <c r="F102" s="4">
        <v>9</v>
      </c>
      <c r="G102" s="4">
        <v>37361</v>
      </c>
      <c r="H102" s="4">
        <v>10</v>
      </c>
      <c r="I102" s="7">
        <v>46141</v>
      </c>
      <c r="J102" s="7">
        <v>46142</v>
      </c>
      <c r="K102" s="4" t="s">
        <v>80</v>
      </c>
      <c r="L102" s="4">
        <f t="shared" si="1"/>
        <v>336249</v>
      </c>
    </row>
    <row r="103" spans="1:12" x14ac:dyDescent="0.3">
      <c r="A103" s="9">
        <v>1102</v>
      </c>
      <c r="B103" s="9" t="s">
        <v>52</v>
      </c>
      <c r="C103" s="4" t="s">
        <v>27</v>
      </c>
      <c r="D103" s="4" t="s">
        <v>34</v>
      </c>
      <c r="E103" s="4" t="s">
        <v>6</v>
      </c>
      <c r="F103" s="4">
        <v>12</v>
      </c>
      <c r="G103" s="4">
        <v>63402</v>
      </c>
      <c r="H103" s="4">
        <v>7</v>
      </c>
      <c r="I103" s="7">
        <v>46106</v>
      </c>
      <c r="J103" s="7">
        <v>46113</v>
      </c>
      <c r="K103" s="4" t="s">
        <v>81</v>
      </c>
      <c r="L103" s="4">
        <f t="shared" si="1"/>
        <v>760824</v>
      </c>
    </row>
    <row r="104" spans="1:12" x14ac:dyDescent="0.3">
      <c r="A104" s="9">
        <v>1103</v>
      </c>
      <c r="B104" s="9" t="s">
        <v>22</v>
      </c>
      <c r="C104" s="4" t="s">
        <v>19</v>
      </c>
      <c r="D104" s="4" t="s">
        <v>24</v>
      </c>
      <c r="E104" s="4" t="s">
        <v>10</v>
      </c>
      <c r="F104" s="4">
        <v>7</v>
      </c>
      <c r="G104" s="4">
        <v>11925</v>
      </c>
      <c r="H104" s="4">
        <v>5</v>
      </c>
      <c r="I104" s="7">
        <v>46040</v>
      </c>
      <c r="J104" s="7">
        <v>46041</v>
      </c>
      <c r="K104" s="4" t="s">
        <v>49</v>
      </c>
      <c r="L104" s="4">
        <f t="shared" si="1"/>
        <v>83475</v>
      </c>
    </row>
    <row r="105" spans="1:12" x14ac:dyDescent="0.3">
      <c r="A105" s="9">
        <v>1104</v>
      </c>
      <c r="B105" s="9" t="s">
        <v>22</v>
      </c>
      <c r="C105" s="4" t="s">
        <v>42</v>
      </c>
      <c r="D105" s="4" t="s">
        <v>24</v>
      </c>
      <c r="E105" s="4" t="s">
        <v>7</v>
      </c>
      <c r="F105" s="4">
        <v>10</v>
      </c>
      <c r="G105" s="4">
        <v>12848</v>
      </c>
      <c r="H105" s="4">
        <v>15</v>
      </c>
      <c r="I105" s="7">
        <v>46060</v>
      </c>
      <c r="J105" s="7">
        <v>46064</v>
      </c>
      <c r="K105" s="4" t="s">
        <v>49</v>
      </c>
      <c r="L105" s="4">
        <f t="shared" si="1"/>
        <v>128480</v>
      </c>
    </row>
    <row r="106" spans="1:12" x14ac:dyDescent="0.3">
      <c r="A106" s="9">
        <v>1105</v>
      </c>
      <c r="B106" s="9" t="s">
        <v>56</v>
      </c>
      <c r="C106" s="4" t="s">
        <v>27</v>
      </c>
      <c r="D106" s="4" t="s">
        <v>20</v>
      </c>
      <c r="E106" s="4" t="s">
        <v>48</v>
      </c>
      <c r="F106" s="4">
        <v>2</v>
      </c>
      <c r="G106" s="4">
        <v>493</v>
      </c>
      <c r="H106" s="4">
        <v>12</v>
      </c>
      <c r="I106" s="7">
        <v>46057</v>
      </c>
      <c r="J106" s="7">
        <v>46066</v>
      </c>
      <c r="K106" s="4" t="s">
        <v>81</v>
      </c>
      <c r="L106" s="4">
        <f t="shared" si="1"/>
        <v>986</v>
      </c>
    </row>
    <row r="107" spans="1:12" x14ac:dyDescent="0.3">
      <c r="A107" s="9">
        <v>1106</v>
      </c>
      <c r="B107" s="9" t="s">
        <v>29</v>
      </c>
      <c r="C107" s="4" t="s">
        <v>42</v>
      </c>
      <c r="D107" s="4" t="s">
        <v>24</v>
      </c>
      <c r="E107" s="4" t="s">
        <v>10</v>
      </c>
      <c r="F107" s="4">
        <v>20</v>
      </c>
      <c r="G107" s="4">
        <v>2141</v>
      </c>
      <c r="H107" s="4">
        <v>2</v>
      </c>
      <c r="I107" s="7">
        <v>46091</v>
      </c>
      <c r="J107" s="7">
        <v>46097</v>
      </c>
      <c r="K107" s="4" t="s">
        <v>49</v>
      </c>
      <c r="L107" s="4">
        <f t="shared" si="1"/>
        <v>42820</v>
      </c>
    </row>
    <row r="108" spans="1:12" x14ac:dyDescent="0.3">
      <c r="A108" s="9">
        <v>1107</v>
      </c>
      <c r="B108" s="9" t="s">
        <v>50</v>
      </c>
      <c r="C108" s="4" t="s">
        <v>23</v>
      </c>
      <c r="D108" s="4" t="s">
        <v>34</v>
      </c>
      <c r="E108" s="4" t="s">
        <v>9</v>
      </c>
      <c r="F108" s="4">
        <v>4</v>
      </c>
      <c r="G108" s="4">
        <v>14291</v>
      </c>
      <c r="H108" s="4">
        <v>2</v>
      </c>
      <c r="I108" s="7">
        <v>46076</v>
      </c>
      <c r="J108" s="7">
        <v>46078</v>
      </c>
      <c r="K108" s="4" t="s">
        <v>78</v>
      </c>
      <c r="L108" s="4">
        <f t="shared" si="1"/>
        <v>57164</v>
      </c>
    </row>
    <row r="109" spans="1:12" x14ac:dyDescent="0.3">
      <c r="A109" s="9">
        <v>1108</v>
      </c>
      <c r="B109" s="9" t="s">
        <v>41</v>
      </c>
      <c r="C109" s="4" t="s">
        <v>33</v>
      </c>
      <c r="D109" s="4" t="s">
        <v>24</v>
      </c>
      <c r="E109" s="4" t="s">
        <v>8</v>
      </c>
      <c r="F109" s="4">
        <v>15</v>
      </c>
      <c r="G109" s="4">
        <v>13843</v>
      </c>
      <c r="H109" s="4">
        <v>7</v>
      </c>
      <c r="I109" s="7">
        <v>46119</v>
      </c>
      <c r="J109" s="7">
        <v>46127</v>
      </c>
      <c r="K109" s="4" t="s">
        <v>79</v>
      </c>
      <c r="L109" s="4">
        <f t="shared" si="1"/>
        <v>207645</v>
      </c>
    </row>
    <row r="110" spans="1:12" x14ac:dyDescent="0.3">
      <c r="A110" s="9">
        <v>1109</v>
      </c>
      <c r="B110" s="9" t="s">
        <v>25</v>
      </c>
      <c r="C110" s="4" t="s">
        <v>31</v>
      </c>
      <c r="D110" s="4" t="s">
        <v>24</v>
      </c>
      <c r="E110" s="4" t="s">
        <v>43</v>
      </c>
      <c r="F110" s="4">
        <v>19</v>
      </c>
      <c r="G110" s="4">
        <v>6512</v>
      </c>
      <c r="H110" s="4">
        <v>10</v>
      </c>
      <c r="I110" s="7">
        <v>46033</v>
      </c>
      <c r="J110" s="7">
        <v>46037</v>
      </c>
      <c r="K110" s="4" t="s">
        <v>79</v>
      </c>
      <c r="L110" s="4">
        <f t="shared" si="1"/>
        <v>123728</v>
      </c>
    </row>
    <row r="111" spans="1:12" x14ac:dyDescent="0.3">
      <c r="A111" s="9">
        <v>1110</v>
      </c>
      <c r="B111" s="9" t="s">
        <v>47</v>
      </c>
      <c r="C111" s="4" t="s">
        <v>38</v>
      </c>
      <c r="D111" s="4" t="s">
        <v>24</v>
      </c>
      <c r="E111" s="4" t="s">
        <v>10</v>
      </c>
      <c r="F111" s="4">
        <v>14</v>
      </c>
      <c r="G111" s="4">
        <v>6793</v>
      </c>
      <c r="H111" s="4">
        <v>7</v>
      </c>
      <c r="I111" s="7">
        <v>46077</v>
      </c>
      <c r="J111" s="7">
        <v>46082</v>
      </c>
      <c r="K111" s="4" t="s">
        <v>49</v>
      </c>
      <c r="L111" s="4">
        <f t="shared" si="1"/>
        <v>95102</v>
      </c>
    </row>
    <row r="112" spans="1:12" x14ac:dyDescent="0.3">
      <c r="A112" s="9">
        <v>1111</v>
      </c>
      <c r="B112" s="9" t="s">
        <v>45</v>
      </c>
      <c r="C112" s="4" t="s">
        <v>23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7">
        <v>46133</v>
      </c>
      <c r="J112" s="7">
        <v>46141</v>
      </c>
      <c r="K112" s="4" t="s">
        <v>49</v>
      </c>
      <c r="L112" s="4">
        <f t="shared" si="1"/>
        <v>249725</v>
      </c>
    </row>
    <row r="113" spans="1:12" x14ac:dyDescent="0.3">
      <c r="A113" s="9">
        <v>1112</v>
      </c>
      <c r="B113" s="9" t="s">
        <v>25</v>
      </c>
      <c r="C113" s="4" t="s">
        <v>42</v>
      </c>
      <c r="D113" s="4" t="s">
        <v>24</v>
      </c>
      <c r="E113" s="4" t="s">
        <v>43</v>
      </c>
      <c r="F113" s="4">
        <v>7</v>
      </c>
      <c r="G113" s="4">
        <v>1959</v>
      </c>
      <c r="H113" s="4">
        <v>15</v>
      </c>
      <c r="I113" s="7">
        <v>46090</v>
      </c>
      <c r="J113" s="7">
        <v>46100</v>
      </c>
      <c r="K113" s="4" t="s">
        <v>78</v>
      </c>
      <c r="L113" s="4">
        <f t="shared" si="1"/>
        <v>13713</v>
      </c>
    </row>
    <row r="114" spans="1:12" x14ac:dyDescent="0.3">
      <c r="A114" s="9">
        <v>1113</v>
      </c>
      <c r="B114" s="9" t="s">
        <v>28</v>
      </c>
      <c r="C114" s="4" t="s">
        <v>42</v>
      </c>
      <c r="D114" s="4" t="s">
        <v>24</v>
      </c>
      <c r="E114" s="4" t="s">
        <v>11</v>
      </c>
      <c r="F114" s="4">
        <v>13</v>
      </c>
      <c r="G114" s="4">
        <v>6719</v>
      </c>
      <c r="H114" s="4">
        <v>15</v>
      </c>
      <c r="I114" s="7">
        <v>46076</v>
      </c>
      <c r="J114" s="7">
        <v>46081</v>
      </c>
      <c r="K114" s="4" t="s">
        <v>80</v>
      </c>
      <c r="L114" s="4">
        <f t="shared" si="1"/>
        <v>87347</v>
      </c>
    </row>
    <row r="115" spans="1:12" x14ac:dyDescent="0.3">
      <c r="A115" s="9">
        <v>1114</v>
      </c>
      <c r="B115" s="9" t="s">
        <v>22</v>
      </c>
      <c r="C115" s="4" t="s">
        <v>27</v>
      </c>
      <c r="D115" s="4" t="s">
        <v>20</v>
      </c>
      <c r="E115" s="4" t="s">
        <v>48</v>
      </c>
      <c r="F115" s="4">
        <v>13</v>
      </c>
      <c r="G115" s="4">
        <v>32</v>
      </c>
      <c r="H115" s="4">
        <v>15</v>
      </c>
      <c r="I115" s="7">
        <v>46066</v>
      </c>
      <c r="J115" s="7">
        <v>46069</v>
      </c>
      <c r="K115" s="4" t="s">
        <v>78</v>
      </c>
      <c r="L115" s="4">
        <f t="shared" si="1"/>
        <v>416</v>
      </c>
    </row>
    <row r="116" spans="1:12" x14ac:dyDescent="0.3">
      <c r="A116" s="9">
        <v>1115</v>
      </c>
      <c r="B116" s="9" t="s">
        <v>56</v>
      </c>
      <c r="C116" s="4" t="s">
        <v>42</v>
      </c>
      <c r="D116" s="4" t="s">
        <v>20</v>
      </c>
      <c r="E116" s="4" t="s">
        <v>48</v>
      </c>
      <c r="F116" s="4">
        <v>9</v>
      </c>
      <c r="G116" s="4">
        <v>303</v>
      </c>
      <c r="H116" s="4">
        <v>10</v>
      </c>
      <c r="I116" s="7">
        <v>46149</v>
      </c>
      <c r="J116" s="7">
        <v>46157</v>
      </c>
      <c r="K116" s="4" t="s">
        <v>49</v>
      </c>
      <c r="L116" s="4">
        <f t="shared" si="1"/>
        <v>2727</v>
      </c>
    </row>
    <row r="117" spans="1:12" x14ac:dyDescent="0.3">
      <c r="A117" s="9">
        <v>1116</v>
      </c>
      <c r="B117" s="9" t="s">
        <v>22</v>
      </c>
      <c r="C117" s="4" t="s">
        <v>27</v>
      </c>
      <c r="D117" s="4" t="s">
        <v>24</v>
      </c>
      <c r="E117" s="4" t="s">
        <v>11</v>
      </c>
      <c r="F117" s="4">
        <v>2</v>
      </c>
      <c r="G117" s="4">
        <v>12692</v>
      </c>
      <c r="H117" s="4">
        <v>15</v>
      </c>
      <c r="I117" s="7">
        <v>46049</v>
      </c>
      <c r="J117" s="7">
        <v>46051</v>
      </c>
      <c r="K117" s="4" t="s">
        <v>78</v>
      </c>
      <c r="L117" s="4">
        <f t="shared" si="1"/>
        <v>25384</v>
      </c>
    </row>
    <row r="118" spans="1:12" x14ac:dyDescent="0.3">
      <c r="A118" s="9">
        <v>1117</v>
      </c>
      <c r="B118" s="9" t="s">
        <v>53</v>
      </c>
      <c r="C118" s="4" t="s">
        <v>42</v>
      </c>
      <c r="D118" s="4" t="s">
        <v>34</v>
      </c>
      <c r="E118" s="4" t="s">
        <v>5</v>
      </c>
      <c r="F118" s="4">
        <v>16</v>
      </c>
      <c r="G118" s="4">
        <v>33162</v>
      </c>
      <c r="H118" s="4">
        <v>7</v>
      </c>
      <c r="I118" s="7">
        <v>46147</v>
      </c>
      <c r="J118" s="7">
        <v>46155</v>
      </c>
      <c r="K118" s="4" t="s">
        <v>49</v>
      </c>
      <c r="L118" s="4">
        <f t="shared" si="1"/>
        <v>530592</v>
      </c>
    </row>
    <row r="119" spans="1:12" x14ac:dyDescent="0.3">
      <c r="A119" s="9">
        <v>1118</v>
      </c>
      <c r="B119" s="9" t="s">
        <v>25</v>
      </c>
      <c r="C119" s="4" t="s">
        <v>26</v>
      </c>
      <c r="D119" s="4" t="s">
        <v>24</v>
      </c>
      <c r="E119" s="4" t="s">
        <v>10</v>
      </c>
      <c r="F119" s="4">
        <v>18</v>
      </c>
      <c r="G119" s="4">
        <v>9118</v>
      </c>
      <c r="H119" s="4">
        <v>5</v>
      </c>
      <c r="I119" s="7">
        <v>46178</v>
      </c>
      <c r="J119" s="7">
        <v>46187</v>
      </c>
      <c r="K119" s="4" t="s">
        <v>49</v>
      </c>
      <c r="L119" s="4">
        <f t="shared" si="1"/>
        <v>164124</v>
      </c>
    </row>
    <row r="120" spans="1:12" x14ac:dyDescent="0.3">
      <c r="A120" s="9">
        <v>1119</v>
      </c>
      <c r="B120" s="9" t="s">
        <v>30</v>
      </c>
      <c r="C120" s="4" t="s">
        <v>42</v>
      </c>
      <c r="D120" s="4" t="s">
        <v>24</v>
      </c>
      <c r="E120" s="4" t="s">
        <v>8</v>
      </c>
      <c r="F120" s="4">
        <v>2</v>
      </c>
      <c r="G120" s="4">
        <v>3706</v>
      </c>
      <c r="H120" s="4">
        <v>5</v>
      </c>
      <c r="I120" s="7">
        <v>46184</v>
      </c>
      <c r="J120" s="7">
        <v>46192</v>
      </c>
      <c r="K120" s="4" t="s">
        <v>81</v>
      </c>
      <c r="L120" s="4">
        <f t="shared" si="1"/>
        <v>7412</v>
      </c>
    </row>
    <row r="121" spans="1:12" x14ac:dyDescent="0.3">
      <c r="A121" s="9">
        <v>1120</v>
      </c>
      <c r="B121" s="9" t="s">
        <v>32</v>
      </c>
      <c r="C121" s="4" t="s">
        <v>38</v>
      </c>
      <c r="D121" s="4" t="s">
        <v>20</v>
      </c>
      <c r="E121" s="4" t="s">
        <v>36</v>
      </c>
      <c r="F121" s="4">
        <v>10</v>
      </c>
      <c r="G121" s="4">
        <v>438</v>
      </c>
      <c r="H121" s="4">
        <v>10</v>
      </c>
      <c r="I121" s="7">
        <v>46061</v>
      </c>
      <c r="J121" s="7">
        <v>46065</v>
      </c>
      <c r="K121" s="4" t="s">
        <v>81</v>
      </c>
      <c r="L121" s="4">
        <f t="shared" si="1"/>
        <v>4380</v>
      </c>
    </row>
    <row r="122" spans="1:12" x14ac:dyDescent="0.3">
      <c r="A122" s="9">
        <v>1121</v>
      </c>
      <c r="B122" s="9" t="s">
        <v>49</v>
      </c>
      <c r="C122" s="4" t="s">
        <v>19</v>
      </c>
      <c r="D122" s="4" t="s">
        <v>34</v>
      </c>
      <c r="E122" s="4" t="s">
        <v>5</v>
      </c>
      <c r="F122" s="4">
        <v>4</v>
      </c>
      <c r="G122" s="4">
        <v>55809</v>
      </c>
      <c r="H122" s="4">
        <v>2</v>
      </c>
      <c r="I122" s="7">
        <v>46103</v>
      </c>
      <c r="J122" s="7">
        <v>46108</v>
      </c>
      <c r="K122" s="4" t="s">
        <v>49</v>
      </c>
      <c r="L122" s="4">
        <f t="shared" si="1"/>
        <v>223236</v>
      </c>
    </row>
    <row r="123" spans="1:12" x14ac:dyDescent="0.3">
      <c r="A123" s="9">
        <v>1122</v>
      </c>
      <c r="B123" s="9" t="s">
        <v>39</v>
      </c>
      <c r="C123" s="4" t="s">
        <v>26</v>
      </c>
      <c r="D123" s="4" t="s">
        <v>34</v>
      </c>
      <c r="E123" s="4" t="s">
        <v>5</v>
      </c>
      <c r="F123" s="4">
        <v>14</v>
      </c>
      <c r="G123" s="4">
        <v>49990</v>
      </c>
      <c r="H123" s="4">
        <v>10</v>
      </c>
      <c r="I123" s="7">
        <v>46132</v>
      </c>
      <c r="J123" s="7">
        <v>46135</v>
      </c>
      <c r="K123" s="4" t="s">
        <v>49</v>
      </c>
      <c r="L123" s="4">
        <f t="shared" si="1"/>
        <v>699860</v>
      </c>
    </row>
    <row r="124" spans="1:12" x14ac:dyDescent="0.3">
      <c r="A124" s="9">
        <v>1123</v>
      </c>
      <c r="B124" s="9" t="s">
        <v>32</v>
      </c>
      <c r="C124" s="4" t="s">
        <v>31</v>
      </c>
      <c r="D124" s="4" t="s">
        <v>34</v>
      </c>
      <c r="E124" s="4" t="s">
        <v>6</v>
      </c>
      <c r="F124" s="4">
        <v>16</v>
      </c>
      <c r="G124" s="4">
        <v>1332</v>
      </c>
      <c r="H124" s="4">
        <v>7</v>
      </c>
      <c r="I124" s="7">
        <v>46107</v>
      </c>
      <c r="J124" s="7">
        <v>46109</v>
      </c>
      <c r="K124" s="4" t="s">
        <v>49</v>
      </c>
      <c r="L124" s="4">
        <f t="shared" si="1"/>
        <v>21312</v>
      </c>
    </row>
    <row r="125" spans="1:12" x14ac:dyDescent="0.3">
      <c r="A125" s="9">
        <v>1124</v>
      </c>
      <c r="B125" s="9" t="s">
        <v>29</v>
      </c>
      <c r="C125" s="4" t="s">
        <v>38</v>
      </c>
      <c r="D125" s="4" t="s">
        <v>24</v>
      </c>
      <c r="E125" s="4" t="s">
        <v>11</v>
      </c>
      <c r="F125" s="4">
        <v>4</v>
      </c>
      <c r="G125" s="4">
        <v>14195</v>
      </c>
      <c r="H125" s="4">
        <v>15</v>
      </c>
      <c r="I125" s="7">
        <v>46182</v>
      </c>
      <c r="J125" s="7">
        <v>46189</v>
      </c>
      <c r="K125" s="4" t="s">
        <v>81</v>
      </c>
      <c r="L125" s="4">
        <f t="shared" si="1"/>
        <v>56780</v>
      </c>
    </row>
    <row r="126" spans="1:12" x14ac:dyDescent="0.3">
      <c r="A126" s="9">
        <v>1125</v>
      </c>
      <c r="B126" s="9" t="s">
        <v>47</v>
      </c>
      <c r="C126" s="4" t="s">
        <v>33</v>
      </c>
      <c r="D126" s="4" t="s">
        <v>20</v>
      </c>
      <c r="E126" s="4" t="s">
        <v>21</v>
      </c>
      <c r="F126" s="4">
        <v>6</v>
      </c>
      <c r="G126" s="4">
        <v>30</v>
      </c>
      <c r="H126" s="4">
        <v>2</v>
      </c>
      <c r="I126" s="7">
        <v>46133</v>
      </c>
      <c r="J126" s="7">
        <v>46138</v>
      </c>
      <c r="K126" s="4" t="s">
        <v>80</v>
      </c>
      <c r="L126" s="4">
        <f t="shared" si="1"/>
        <v>180</v>
      </c>
    </row>
    <row r="127" spans="1:12" x14ac:dyDescent="0.3">
      <c r="A127" s="9">
        <v>1126</v>
      </c>
      <c r="B127" s="9" t="s">
        <v>44</v>
      </c>
      <c r="C127" s="4" t="s">
        <v>26</v>
      </c>
      <c r="D127" s="4" t="s">
        <v>34</v>
      </c>
      <c r="E127" s="4" t="s">
        <v>5</v>
      </c>
      <c r="F127" s="4">
        <v>17</v>
      </c>
      <c r="G127" s="4">
        <v>19390</v>
      </c>
      <c r="H127" s="4">
        <v>12</v>
      </c>
      <c r="I127" s="7">
        <v>46201</v>
      </c>
      <c r="J127" s="7">
        <v>46206</v>
      </c>
      <c r="K127" s="4" t="s">
        <v>49</v>
      </c>
      <c r="L127" s="4">
        <f t="shared" si="1"/>
        <v>329630</v>
      </c>
    </row>
    <row r="128" spans="1:12" x14ac:dyDescent="0.3">
      <c r="A128" s="9">
        <v>1127</v>
      </c>
      <c r="B128" s="9" t="s">
        <v>28</v>
      </c>
      <c r="C128" s="4" t="s">
        <v>33</v>
      </c>
      <c r="D128" s="4" t="s">
        <v>24</v>
      </c>
      <c r="E128" s="4" t="s">
        <v>8</v>
      </c>
      <c r="F128" s="4">
        <v>15</v>
      </c>
      <c r="G128" s="4">
        <v>11694</v>
      </c>
      <c r="H128" s="4">
        <v>12</v>
      </c>
      <c r="I128" s="7">
        <v>46170</v>
      </c>
      <c r="J128" s="7">
        <v>46179</v>
      </c>
      <c r="K128" s="4" t="s">
        <v>49</v>
      </c>
      <c r="L128" s="4">
        <f t="shared" si="1"/>
        <v>175410</v>
      </c>
    </row>
    <row r="129" spans="1:12" x14ac:dyDescent="0.3">
      <c r="A129" s="9">
        <v>1128</v>
      </c>
      <c r="B129" s="9" t="s">
        <v>30</v>
      </c>
      <c r="C129" s="4" t="s">
        <v>26</v>
      </c>
      <c r="D129" s="4" t="s">
        <v>34</v>
      </c>
      <c r="E129" s="4" t="s">
        <v>12</v>
      </c>
      <c r="F129" s="4">
        <v>6</v>
      </c>
      <c r="G129" s="4">
        <v>5001</v>
      </c>
      <c r="H129" s="4">
        <v>7</v>
      </c>
      <c r="I129" s="7">
        <v>46044</v>
      </c>
      <c r="J129" s="7">
        <v>46050</v>
      </c>
      <c r="K129" s="4" t="s">
        <v>49</v>
      </c>
      <c r="L129" s="4">
        <f t="shared" si="1"/>
        <v>30006</v>
      </c>
    </row>
    <row r="130" spans="1:12" x14ac:dyDescent="0.3">
      <c r="A130" s="9">
        <v>1129</v>
      </c>
      <c r="B130" s="9" t="s">
        <v>55</v>
      </c>
      <c r="C130" s="4" t="s">
        <v>23</v>
      </c>
      <c r="D130" s="4" t="s">
        <v>20</v>
      </c>
      <c r="E130" s="4" t="s">
        <v>48</v>
      </c>
      <c r="F130" s="4">
        <v>15</v>
      </c>
      <c r="G130" s="4">
        <v>75</v>
      </c>
      <c r="H130" s="4">
        <v>7</v>
      </c>
      <c r="I130" s="7">
        <v>46160</v>
      </c>
      <c r="J130" s="7">
        <v>46164</v>
      </c>
      <c r="K130" s="4" t="s">
        <v>49</v>
      </c>
      <c r="L130" s="4">
        <f t="shared" si="1"/>
        <v>1125</v>
      </c>
    </row>
    <row r="131" spans="1:12" x14ac:dyDescent="0.3">
      <c r="A131" s="9">
        <v>1130</v>
      </c>
      <c r="B131" s="9" t="s">
        <v>46</v>
      </c>
      <c r="C131" s="4" t="s">
        <v>33</v>
      </c>
      <c r="D131" s="4" t="s">
        <v>20</v>
      </c>
      <c r="E131" s="4" t="s">
        <v>21</v>
      </c>
      <c r="F131" s="4">
        <v>12</v>
      </c>
      <c r="G131" s="4">
        <v>50</v>
      </c>
      <c r="H131" s="4">
        <v>2</v>
      </c>
      <c r="I131" s="7">
        <v>46125</v>
      </c>
      <c r="J131" s="7">
        <v>46131</v>
      </c>
      <c r="K131" s="4" t="s">
        <v>80</v>
      </c>
      <c r="L131" s="4">
        <f t="shared" ref="L131:L194" si="2">G131*F131</f>
        <v>600</v>
      </c>
    </row>
    <row r="132" spans="1:12" x14ac:dyDescent="0.3">
      <c r="A132" s="9">
        <v>1131</v>
      </c>
      <c r="B132" s="9" t="s">
        <v>25</v>
      </c>
      <c r="C132" s="4" t="s">
        <v>31</v>
      </c>
      <c r="D132" s="4" t="s">
        <v>24</v>
      </c>
      <c r="E132" s="4" t="s">
        <v>10</v>
      </c>
      <c r="F132" s="4">
        <v>13</v>
      </c>
      <c r="G132" s="4">
        <v>3083</v>
      </c>
      <c r="H132" s="4">
        <v>7</v>
      </c>
      <c r="I132" s="7">
        <v>46168</v>
      </c>
      <c r="J132" s="7">
        <v>46173</v>
      </c>
      <c r="K132" s="4" t="s">
        <v>81</v>
      </c>
      <c r="L132" s="4">
        <f t="shared" si="2"/>
        <v>40079</v>
      </c>
    </row>
    <row r="133" spans="1:12" x14ac:dyDescent="0.3">
      <c r="A133" s="9">
        <v>1132</v>
      </c>
      <c r="B133" s="9" t="s">
        <v>18</v>
      </c>
      <c r="C133" s="4" t="s">
        <v>31</v>
      </c>
      <c r="D133" s="4" t="s">
        <v>20</v>
      </c>
      <c r="E133" s="4" t="s">
        <v>48</v>
      </c>
      <c r="F133" s="4">
        <v>10</v>
      </c>
      <c r="G133" s="4">
        <v>270</v>
      </c>
      <c r="H133" s="4">
        <v>7</v>
      </c>
      <c r="I133" s="7">
        <v>46024</v>
      </c>
      <c r="J133" s="7">
        <v>46034</v>
      </c>
      <c r="K133" s="4" t="s">
        <v>80</v>
      </c>
      <c r="L133" s="4">
        <f t="shared" si="2"/>
        <v>2700</v>
      </c>
    </row>
    <row r="134" spans="1:12" x14ac:dyDescent="0.3">
      <c r="A134" s="9">
        <v>1133</v>
      </c>
      <c r="B134" s="9" t="s">
        <v>18</v>
      </c>
      <c r="C134" s="4" t="s">
        <v>19</v>
      </c>
      <c r="D134" s="4" t="s">
        <v>24</v>
      </c>
      <c r="E134" s="4" t="s">
        <v>11</v>
      </c>
      <c r="F134" s="4">
        <v>6</v>
      </c>
      <c r="G134" s="4">
        <v>9037</v>
      </c>
      <c r="H134" s="4">
        <v>2</v>
      </c>
      <c r="I134" s="7">
        <v>46112</v>
      </c>
      <c r="J134" s="7">
        <v>46121</v>
      </c>
      <c r="K134" s="4" t="s">
        <v>81</v>
      </c>
      <c r="L134" s="4">
        <f t="shared" si="2"/>
        <v>54222</v>
      </c>
    </row>
    <row r="135" spans="1:12" x14ac:dyDescent="0.3">
      <c r="A135" s="9">
        <v>1134</v>
      </c>
      <c r="B135" s="9" t="s">
        <v>54</v>
      </c>
      <c r="C135" s="4" t="s">
        <v>31</v>
      </c>
      <c r="D135" s="4" t="s">
        <v>34</v>
      </c>
      <c r="E135" s="4" t="s">
        <v>12</v>
      </c>
      <c r="F135" s="4">
        <v>10</v>
      </c>
      <c r="G135" s="4">
        <v>29217</v>
      </c>
      <c r="H135" s="4">
        <v>15</v>
      </c>
      <c r="I135" s="7">
        <v>46148</v>
      </c>
      <c r="J135" s="7">
        <v>46150</v>
      </c>
      <c r="K135" s="4" t="s">
        <v>80</v>
      </c>
      <c r="L135" s="4">
        <f t="shared" si="2"/>
        <v>292170</v>
      </c>
    </row>
    <row r="136" spans="1:12" x14ac:dyDescent="0.3">
      <c r="A136" s="9">
        <v>1135</v>
      </c>
      <c r="B136" s="9" t="s">
        <v>47</v>
      </c>
      <c r="C136" s="4" t="s">
        <v>42</v>
      </c>
      <c r="D136" s="4" t="s">
        <v>34</v>
      </c>
      <c r="E136" s="4" t="s">
        <v>5</v>
      </c>
      <c r="F136" s="4">
        <v>14</v>
      </c>
      <c r="G136" s="4">
        <v>68534</v>
      </c>
      <c r="H136" s="4">
        <v>0</v>
      </c>
      <c r="I136" s="7">
        <v>46041</v>
      </c>
      <c r="J136" s="7">
        <v>46042</v>
      </c>
      <c r="K136" s="4" t="s">
        <v>78</v>
      </c>
      <c r="L136" s="4">
        <f t="shared" si="2"/>
        <v>959476</v>
      </c>
    </row>
    <row r="137" spans="1:12" x14ac:dyDescent="0.3">
      <c r="A137" s="9">
        <v>1136</v>
      </c>
      <c r="B137" s="9" t="s">
        <v>29</v>
      </c>
      <c r="C137" s="4" t="s">
        <v>42</v>
      </c>
      <c r="D137" s="4" t="s">
        <v>24</v>
      </c>
      <c r="E137" s="4" t="s">
        <v>11</v>
      </c>
      <c r="F137" s="4">
        <v>19</v>
      </c>
      <c r="G137" s="4">
        <v>14528</v>
      </c>
      <c r="H137" s="4">
        <v>12</v>
      </c>
      <c r="I137" s="7">
        <v>46056</v>
      </c>
      <c r="J137" s="7">
        <v>46062</v>
      </c>
      <c r="K137" s="4" t="s">
        <v>80</v>
      </c>
      <c r="L137" s="4">
        <f t="shared" si="2"/>
        <v>276032</v>
      </c>
    </row>
    <row r="138" spans="1:12" x14ac:dyDescent="0.3">
      <c r="A138" s="9">
        <v>1137</v>
      </c>
      <c r="B138" s="9" t="s">
        <v>50</v>
      </c>
      <c r="C138" s="4" t="s">
        <v>19</v>
      </c>
      <c r="D138" s="4" t="s">
        <v>20</v>
      </c>
      <c r="E138" s="4" t="s">
        <v>37</v>
      </c>
      <c r="F138" s="4">
        <v>16</v>
      </c>
      <c r="G138" s="4">
        <v>270</v>
      </c>
      <c r="H138" s="4">
        <v>10</v>
      </c>
      <c r="I138" s="7">
        <v>46184</v>
      </c>
      <c r="J138" s="7">
        <v>46190</v>
      </c>
      <c r="K138" s="4" t="s">
        <v>49</v>
      </c>
      <c r="L138" s="4">
        <f t="shared" si="2"/>
        <v>4320</v>
      </c>
    </row>
    <row r="139" spans="1:12" x14ac:dyDescent="0.3">
      <c r="A139" s="9">
        <v>1138</v>
      </c>
      <c r="B139" s="9" t="s">
        <v>53</v>
      </c>
      <c r="C139" s="4" t="s">
        <v>42</v>
      </c>
      <c r="D139" s="4" t="s">
        <v>24</v>
      </c>
      <c r="E139" s="4" t="s">
        <v>7</v>
      </c>
      <c r="F139" s="4">
        <v>5</v>
      </c>
      <c r="G139" s="4">
        <v>14466</v>
      </c>
      <c r="H139" s="4">
        <v>2</v>
      </c>
      <c r="I139" s="7">
        <v>46084</v>
      </c>
      <c r="J139" s="7">
        <v>46092</v>
      </c>
      <c r="K139" s="4" t="s">
        <v>81</v>
      </c>
      <c r="L139" s="4">
        <f t="shared" si="2"/>
        <v>72330</v>
      </c>
    </row>
    <row r="140" spans="1:12" x14ac:dyDescent="0.3">
      <c r="A140" s="9">
        <v>1139</v>
      </c>
      <c r="B140" s="9" t="s">
        <v>53</v>
      </c>
      <c r="C140" s="4" t="s">
        <v>33</v>
      </c>
      <c r="D140" s="4" t="s">
        <v>34</v>
      </c>
      <c r="E140" s="4" t="s">
        <v>12</v>
      </c>
      <c r="F140" s="4">
        <v>17</v>
      </c>
      <c r="G140" s="4">
        <v>28839</v>
      </c>
      <c r="H140" s="4">
        <v>10</v>
      </c>
      <c r="I140" s="7">
        <v>46093</v>
      </c>
      <c r="J140" s="7">
        <v>46099</v>
      </c>
      <c r="K140" s="4" t="s">
        <v>78</v>
      </c>
      <c r="L140" s="4">
        <f t="shared" si="2"/>
        <v>490263</v>
      </c>
    </row>
    <row r="141" spans="1:12" x14ac:dyDescent="0.3">
      <c r="A141" s="9">
        <v>1140</v>
      </c>
      <c r="B141" s="9" t="s">
        <v>54</v>
      </c>
      <c r="C141" s="4" t="s">
        <v>38</v>
      </c>
      <c r="D141" s="4" t="s">
        <v>34</v>
      </c>
      <c r="E141" s="4" t="s">
        <v>40</v>
      </c>
      <c r="F141" s="4">
        <v>5</v>
      </c>
      <c r="G141" s="4">
        <v>68012</v>
      </c>
      <c r="H141" s="4">
        <v>5</v>
      </c>
      <c r="I141" s="7">
        <v>46061</v>
      </c>
      <c r="J141" s="7">
        <v>46065</v>
      </c>
      <c r="K141" s="4" t="s">
        <v>78</v>
      </c>
      <c r="L141" s="4">
        <f t="shared" si="2"/>
        <v>340060</v>
      </c>
    </row>
    <row r="142" spans="1:12" x14ac:dyDescent="0.3">
      <c r="A142" s="9">
        <v>1141</v>
      </c>
      <c r="B142" s="9" t="s">
        <v>18</v>
      </c>
      <c r="C142" s="4" t="s">
        <v>23</v>
      </c>
      <c r="D142" s="4" t="s">
        <v>24</v>
      </c>
      <c r="E142" s="4" t="s">
        <v>43</v>
      </c>
      <c r="F142" s="4">
        <v>20</v>
      </c>
      <c r="G142" s="4">
        <v>6835</v>
      </c>
      <c r="H142" s="4">
        <v>2</v>
      </c>
      <c r="I142" s="7">
        <v>46043</v>
      </c>
      <c r="J142" s="7">
        <v>46053</v>
      </c>
      <c r="K142" s="4" t="s">
        <v>78</v>
      </c>
      <c r="L142" s="4">
        <f t="shared" si="2"/>
        <v>136700</v>
      </c>
    </row>
    <row r="143" spans="1:12" x14ac:dyDescent="0.3">
      <c r="A143" s="9">
        <v>1142</v>
      </c>
      <c r="B143" s="9" t="s">
        <v>39</v>
      </c>
      <c r="C143" s="4" t="s">
        <v>27</v>
      </c>
      <c r="D143" s="4" t="s">
        <v>34</v>
      </c>
      <c r="E143" s="4" t="s">
        <v>9</v>
      </c>
      <c r="F143" s="4">
        <v>9</v>
      </c>
      <c r="G143" s="4">
        <v>59788</v>
      </c>
      <c r="H143" s="4">
        <v>7</v>
      </c>
      <c r="I143" s="7">
        <v>46064</v>
      </c>
      <c r="J143" s="7">
        <v>46071</v>
      </c>
      <c r="K143" s="4" t="s">
        <v>49</v>
      </c>
      <c r="L143" s="4">
        <f t="shared" si="2"/>
        <v>538092</v>
      </c>
    </row>
    <row r="144" spans="1:12" x14ac:dyDescent="0.3">
      <c r="A144" s="9">
        <v>1143</v>
      </c>
      <c r="B144" s="9" t="s">
        <v>49</v>
      </c>
      <c r="C144" s="4" t="s">
        <v>23</v>
      </c>
      <c r="D144" s="4" t="s">
        <v>20</v>
      </c>
      <c r="E144" s="4" t="s">
        <v>37</v>
      </c>
      <c r="F144" s="4">
        <v>13</v>
      </c>
      <c r="G144" s="4">
        <v>456</v>
      </c>
      <c r="H144" s="4">
        <v>2</v>
      </c>
      <c r="I144" s="7">
        <v>46160</v>
      </c>
      <c r="J144" s="7">
        <v>46167</v>
      </c>
      <c r="K144" s="4" t="s">
        <v>80</v>
      </c>
      <c r="L144" s="4">
        <f t="shared" si="2"/>
        <v>5928</v>
      </c>
    </row>
    <row r="145" spans="1:12" x14ac:dyDescent="0.3">
      <c r="A145" s="9">
        <v>1144</v>
      </c>
      <c r="B145" s="9" t="s">
        <v>41</v>
      </c>
      <c r="C145" s="4" t="s">
        <v>27</v>
      </c>
      <c r="D145" s="4" t="s">
        <v>20</v>
      </c>
      <c r="E145" s="4" t="s">
        <v>21</v>
      </c>
      <c r="F145" s="4">
        <v>16</v>
      </c>
      <c r="G145" s="4">
        <v>219</v>
      </c>
      <c r="H145" s="4">
        <v>7</v>
      </c>
      <c r="I145" s="7">
        <v>46138</v>
      </c>
      <c r="J145" s="7">
        <v>46140</v>
      </c>
      <c r="K145" s="4" t="s">
        <v>79</v>
      </c>
      <c r="L145" s="4">
        <f t="shared" si="2"/>
        <v>3504</v>
      </c>
    </row>
    <row r="146" spans="1:12" x14ac:dyDescent="0.3">
      <c r="A146" s="9">
        <v>1145</v>
      </c>
      <c r="B146" s="9" t="s">
        <v>41</v>
      </c>
      <c r="C146" s="4" t="s">
        <v>33</v>
      </c>
      <c r="D146" s="4" t="s">
        <v>34</v>
      </c>
      <c r="E146" s="4" t="s">
        <v>5</v>
      </c>
      <c r="F146" s="4">
        <v>2</v>
      </c>
      <c r="G146" s="4">
        <v>34429</v>
      </c>
      <c r="H146" s="4">
        <v>12</v>
      </c>
      <c r="I146" s="7">
        <v>46102</v>
      </c>
      <c r="J146" s="7">
        <v>46112</v>
      </c>
      <c r="K146" s="4" t="s">
        <v>80</v>
      </c>
      <c r="L146" s="4">
        <f t="shared" si="2"/>
        <v>68858</v>
      </c>
    </row>
    <row r="147" spans="1:12" x14ac:dyDescent="0.3">
      <c r="A147" s="9">
        <v>1146</v>
      </c>
      <c r="B147" s="9" t="s">
        <v>22</v>
      </c>
      <c r="C147" s="4" t="s">
        <v>42</v>
      </c>
      <c r="D147" s="4" t="s">
        <v>34</v>
      </c>
      <c r="E147" s="4" t="s">
        <v>6</v>
      </c>
      <c r="F147" s="4">
        <v>7</v>
      </c>
      <c r="G147" s="4">
        <v>68217</v>
      </c>
      <c r="H147" s="4">
        <v>0</v>
      </c>
      <c r="I147" s="7">
        <v>46190</v>
      </c>
      <c r="J147" s="7">
        <v>46197</v>
      </c>
      <c r="K147" s="4" t="s">
        <v>49</v>
      </c>
      <c r="L147" s="4">
        <f t="shared" si="2"/>
        <v>477519</v>
      </c>
    </row>
    <row r="148" spans="1:12" x14ac:dyDescent="0.3">
      <c r="A148" s="9">
        <v>1147</v>
      </c>
      <c r="B148" s="9" t="s">
        <v>18</v>
      </c>
      <c r="C148" s="4" t="s">
        <v>26</v>
      </c>
      <c r="D148" s="4" t="s">
        <v>24</v>
      </c>
      <c r="E148" s="4" t="s">
        <v>8</v>
      </c>
      <c r="F148" s="4">
        <v>7</v>
      </c>
      <c r="G148" s="4">
        <v>9581</v>
      </c>
      <c r="H148" s="4">
        <v>5</v>
      </c>
      <c r="I148" s="7">
        <v>46154</v>
      </c>
      <c r="J148" s="7">
        <v>46155</v>
      </c>
      <c r="K148" s="4" t="s">
        <v>79</v>
      </c>
      <c r="L148" s="4">
        <f t="shared" si="2"/>
        <v>67067</v>
      </c>
    </row>
    <row r="149" spans="1:12" x14ac:dyDescent="0.3">
      <c r="A149" s="9">
        <v>1148</v>
      </c>
      <c r="B149" s="9" t="s">
        <v>56</v>
      </c>
      <c r="C149" s="4" t="s">
        <v>33</v>
      </c>
      <c r="D149" s="4" t="s">
        <v>24</v>
      </c>
      <c r="E149" s="4" t="s">
        <v>8</v>
      </c>
      <c r="F149" s="4">
        <v>11</v>
      </c>
      <c r="G149" s="4">
        <v>3023</v>
      </c>
      <c r="H149" s="4">
        <v>7</v>
      </c>
      <c r="I149" s="7">
        <v>46030</v>
      </c>
      <c r="J149" s="7">
        <v>46032</v>
      </c>
      <c r="K149" s="4" t="s">
        <v>80</v>
      </c>
      <c r="L149" s="4">
        <f t="shared" si="2"/>
        <v>33253</v>
      </c>
    </row>
    <row r="150" spans="1:12" x14ac:dyDescent="0.3">
      <c r="A150" s="9">
        <v>1149</v>
      </c>
      <c r="B150" s="9" t="s">
        <v>28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7">
        <v>46053</v>
      </c>
      <c r="J150" s="7">
        <v>46054</v>
      </c>
      <c r="K150" s="4" t="s">
        <v>49</v>
      </c>
      <c r="L150" s="4">
        <f t="shared" si="2"/>
        <v>228530</v>
      </c>
    </row>
    <row r="151" spans="1:12" x14ac:dyDescent="0.3">
      <c r="A151" s="9">
        <v>1150</v>
      </c>
      <c r="B151" s="9" t="s">
        <v>41</v>
      </c>
      <c r="C151" s="4" t="s">
        <v>19</v>
      </c>
      <c r="D151" s="4" t="s">
        <v>24</v>
      </c>
      <c r="E151" s="4" t="s">
        <v>11</v>
      </c>
      <c r="F151" s="4">
        <v>10</v>
      </c>
      <c r="G151" s="4">
        <v>5323</v>
      </c>
      <c r="H151" s="4">
        <v>7</v>
      </c>
      <c r="I151" s="7">
        <v>46143</v>
      </c>
      <c r="J151" s="7">
        <v>46153</v>
      </c>
      <c r="K151" s="4" t="s">
        <v>80</v>
      </c>
      <c r="L151" s="4">
        <f t="shared" si="2"/>
        <v>53230</v>
      </c>
    </row>
    <row r="152" spans="1:12" x14ac:dyDescent="0.3">
      <c r="A152" s="9">
        <v>1151</v>
      </c>
      <c r="B152" s="9" t="s">
        <v>44</v>
      </c>
      <c r="C152" s="4" t="s">
        <v>42</v>
      </c>
      <c r="D152" s="4" t="s">
        <v>20</v>
      </c>
      <c r="E152" s="4" t="s">
        <v>48</v>
      </c>
      <c r="F152" s="4">
        <v>20</v>
      </c>
      <c r="G152" s="4">
        <v>272</v>
      </c>
      <c r="H152" s="4">
        <v>15</v>
      </c>
      <c r="I152" s="7">
        <v>46024</v>
      </c>
      <c r="J152" s="7">
        <v>46029</v>
      </c>
      <c r="K152" s="4" t="s">
        <v>81</v>
      </c>
      <c r="L152" s="4">
        <f t="shared" si="2"/>
        <v>5440</v>
      </c>
    </row>
    <row r="153" spans="1:12" x14ac:dyDescent="0.3">
      <c r="A153" s="9">
        <v>1152</v>
      </c>
      <c r="B153" s="9" t="s">
        <v>29</v>
      </c>
      <c r="C153" s="4" t="s">
        <v>31</v>
      </c>
      <c r="D153" s="4" t="s">
        <v>34</v>
      </c>
      <c r="E153" s="4" t="s">
        <v>12</v>
      </c>
      <c r="F153" s="4">
        <v>14</v>
      </c>
      <c r="G153" s="4">
        <v>8150</v>
      </c>
      <c r="H153" s="4">
        <v>10</v>
      </c>
      <c r="I153" s="7">
        <v>46062</v>
      </c>
      <c r="J153" s="7">
        <v>46070</v>
      </c>
      <c r="K153" s="4" t="s">
        <v>78</v>
      </c>
      <c r="L153" s="4">
        <f t="shared" si="2"/>
        <v>114100</v>
      </c>
    </row>
    <row r="154" spans="1:12" x14ac:dyDescent="0.3">
      <c r="A154" s="9">
        <v>1153</v>
      </c>
      <c r="B154" s="9" t="s">
        <v>41</v>
      </c>
      <c r="C154" s="4" t="s">
        <v>27</v>
      </c>
      <c r="D154" s="4" t="s">
        <v>24</v>
      </c>
      <c r="E154" s="4" t="s">
        <v>10</v>
      </c>
      <c r="F154" s="4">
        <v>19</v>
      </c>
      <c r="G154" s="4">
        <v>10273</v>
      </c>
      <c r="H154" s="4">
        <v>12</v>
      </c>
      <c r="I154" s="7">
        <v>46069</v>
      </c>
      <c r="J154" s="7">
        <v>46072</v>
      </c>
      <c r="K154" s="4" t="s">
        <v>49</v>
      </c>
      <c r="L154" s="4">
        <f t="shared" si="2"/>
        <v>195187</v>
      </c>
    </row>
    <row r="155" spans="1:12" x14ac:dyDescent="0.3">
      <c r="A155" s="9">
        <v>1154</v>
      </c>
      <c r="B155" s="9" t="s">
        <v>32</v>
      </c>
      <c r="C155" s="4" t="s">
        <v>23</v>
      </c>
      <c r="D155" s="4" t="s">
        <v>24</v>
      </c>
      <c r="E155" s="4" t="s">
        <v>11</v>
      </c>
      <c r="F155" s="4">
        <v>15</v>
      </c>
      <c r="G155" s="4">
        <v>6101</v>
      </c>
      <c r="H155" s="4">
        <v>0</v>
      </c>
      <c r="I155" s="7">
        <v>46178</v>
      </c>
      <c r="J155" s="7">
        <v>46183</v>
      </c>
      <c r="K155" s="4" t="s">
        <v>81</v>
      </c>
      <c r="L155" s="4">
        <f t="shared" si="2"/>
        <v>91515</v>
      </c>
    </row>
    <row r="156" spans="1:12" x14ac:dyDescent="0.3">
      <c r="A156" s="9">
        <v>1155</v>
      </c>
      <c r="B156" s="9" t="s">
        <v>18</v>
      </c>
      <c r="C156" s="4" t="s">
        <v>31</v>
      </c>
      <c r="D156" s="4" t="s">
        <v>24</v>
      </c>
      <c r="E156" s="4" t="s">
        <v>8</v>
      </c>
      <c r="F156" s="4">
        <v>13</v>
      </c>
      <c r="G156" s="4">
        <v>4341</v>
      </c>
      <c r="H156" s="4">
        <v>15</v>
      </c>
      <c r="I156" s="7">
        <v>46093</v>
      </c>
      <c r="J156" s="7">
        <v>46096</v>
      </c>
      <c r="K156" s="4" t="s">
        <v>80</v>
      </c>
      <c r="L156" s="4">
        <f t="shared" si="2"/>
        <v>56433</v>
      </c>
    </row>
    <row r="157" spans="1:12" x14ac:dyDescent="0.3">
      <c r="A157" s="9">
        <v>1156</v>
      </c>
      <c r="B157" s="9" t="s">
        <v>52</v>
      </c>
      <c r="C157" s="4" t="s">
        <v>38</v>
      </c>
      <c r="D157" s="4" t="s">
        <v>20</v>
      </c>
      <c r="E157" s="4" t="s">
        <v>36</v>
      </c>
      <c r="F157" s="4">
        <v>5</v>
      </c>
      <c r="G157" s="4">
        <v>466</v>
      </c>
      <c r="H157" s="4">
        <v>15</v>
      </c>
      <c r="I157" s="7">
        <v>46025</v>
      </c>
      <c r="J157" s="7">
        <v>46029</v>
      </c>
      <c r="K157" s="4" t="s">
        <v>78</v>
      </c>
      <c r="L157" s="4">
        <f t="shared" si="2"/>
        <v>2330</v>
      </c>
    </row>
    <row r="158" spans="1:12" x14ac:dyDescent="0.3">
      <c r="A158" s="9">
        <v>1157</v>
      </c>
      <c r="B158" s="9" t="s">
        <v>50</v>
      </c>
      <c r="C158" s="4" t="s">
        <v>33</v>
      </c>
      <c r="D158" s="4" t="s">
        <v>20</v>
      </c>
      <c r="E158" s="4" t="s">
        <v>48</v>
      </c>
      <c r="F158" s="4">
        <v>3</v>
      </c>
      <c r="G158" s="4">
        <v>203</v>
      </c>
      <c r="H158" s="4">
        <v>15</v>
      </c>
      <c r="I158" s="7">
        <v>46076</v>
      </c>
      <c r="J158" s="7">
        <v>46080</v>
      </c>
      <c r="K158" s="4" t="s">
        <v>49</v>
      </c>
      <c r="L158" s="4">
        <f t="shared" si="2"/>
        <v>609</v>
      </c>
    </row>
    <row r="159" spans="1:12" x14ac:dyDescent="0.3">
      <c r="A159" s="9">
        <v>1158</v>
      </c>
      <c r="B159" s="9" t="s">
        <v>28</v>
      </c>
      <c r="C159" s="4" t="s">
        <v>38</v>
      </c>
      <c r="D159" s="4" t="s">
        <v>34</v>
      </c>
      <c r="E159" s="4" t="s">
        <v>40</v>
      </c>
      <c r="F159" s="4">
        <v>13</v>
      </c>
      <c r="G159" s="4">
        <v>12518</v>
      </c>
      <c r="H159" s="4">
        <v>2</v>
      </c>
      <c r="I159" s="7">
        <v>46079</v>
      </c>
      <c r="J159" s="7">
        <v>46082</v>
      </c>
      <c r="K159" s="4" t="s">
        <v>81</v>
      </c>
      <c r="L159" s="4">
        <f t="shared" si="2"/>
        <v>162734</v>
      </c>
    </row>
    <row r="160" spans="1:12" x14ac:dyDescent="0.3">
      <c r="A160" s="9">
        <v>1159</v>
      </c>
      <c r="B160" s="9" t="s">
        <v>32</v>
      </c>
      <c r="C160" s="4" t="s">
        <v>42</v>
      </c>
      <c r="D160" s="4" t="s">
        <v>24</v>
      </c>
      <c r="E160" s="4" t="s">
        <v>8</v>
      </c>
      <c r="F160" s="4">
        <v>20</v>
      </c>
      <c r="G160" s="4">
        <v>14000</v>
      </c>
      <c r="H160" s="4">
        <v>15</v>
      </c>
      <c r="I160" s="7">
        <v>46184</v>
      </c>
      <c r="J160" s="7">
        <v>46187</v>
      </c>
      <c r="K160" s="4" t="s">
        <v>78</v>
      </c>
      <c r="L160" s="4">
        <f t="shared" si="2"/>
        <v>280000</v>
      </c>
    </row>
    <row r="161" spans="1:12" x14ac:dyDescent="0.3">
      <c r="A161" s="9">
        <v>1160</v>
      </c>
      <c r="B161" s="9" t="s">
        <v>56</v>
      </c>
      <c r="C161" s="4" t="s">
        <v>26</v>
      </c>
      <c r="D161" s="4" t="s">
        <v>34</v>
      </c>
      <c r="E161" s="4" t="s">
        <v>5</v>
      </c>
      <c r="F161" s="4">
        <v>7</v>
      </c>
      <c r="G161" s="4">
        <v>53986</v>
      </c>
      <c r="H161" s="4">
        <v>10</v>
      </c>
      <c r="I161" s="7">
        <v>46142</v>
      </c>
      <c r="J161" s="7">
        <v>46147</v>
      </c>
      <c r="K161" s="4" t="s">
        <v>81</v>
      </c>
      <c r="L161" s="4">
        <f t="shared" si="2"/>
        <v>377902</v>
      </c>
    </row>
    <row r="162" spans="1:12" x14ac:dyDescent="0.3">
      <c r="A162" s="9">
        <v>1161</v>
      </c>
      <c r="B162" s="9" t="s">
        <v>29</v>
      </c>
      <c r="C162" s="4" t="s">
        <v>27</v>
      </c>
      <c r="D162" s="4" t="s">
        <v>34</v>
      </c>
      <c r="E162" s="4" t="s">
        <v>5</v>
      </c>
      <c r="F162" s="4">
        <v>4</v>
      </c>
      <c r="G162" s="4">
        <v>54659</v>
      </c>
      <c r="H162" s="4">
        <v>7</v>
      </c>
      <c r="I162" s="7">
        <v>46105</v>
      </c>
      <c r="J162" s="7">
        <v>46109</v>
      </c>
      <c r="K162" s="4" t="s">
        <v>79</v>
      </c>
      <c r="L162" s="4">
        <f t="shared" si="2"/>
        <v>218636</v>
      </c>
    </row>
    <row r="163" spans="1:12" x14ac:dyDescent="0.3">
      <c r="A163" s="9">
        <v>1162</v>
      </c>
      <c r="B163" s="9" t="s">
        <v>54</v>
      </c>
      <c r="C163" s="4" t="s">
        <v>31</v>
      </c>
      <c r="D163" s="4" t="s">
        <v>34</v>
      </c>
      <c r="E163" s="4" t="s">
        <v>6</v>
      </c>
      <c r="F163" s="4">
        <v>2</v>
      </c>
      <c r="G163" s="4">
        <v>28176</v>
      </c>
      <c r="H163" s="4">
        <v>10</v>
      </c>
      <c r="I163" s="7">
        <v>46100</v>
      </c>
      <c r="J163" s="7">
        <v>46101</v>
      </c>
      <c r="K163" s="4" t="s">
        <v>79</v>
      </c>
      <c r="L163" s="4">
        <f t="shared" si="2"/>
        <v>56352</v>
      </c>
    </row>
    <row r="164" spans="1:12" x14ac:dyDescent="0.3">
      <c r="A164" s="9">
        <v>1163</v>
      </c>
      <c r="B164" s="9" t="s">
        <v>49</v>
      </c>
      <c r="C164" s="4" t="s">
        <v>38</v>
      </c>
      <c r="D164" s="4" t="s">
        <v>34</v>
      </c>
      <c r="E164" s="4" t="s">
        <v>5</v>
      </c>
      <c r="F164" s="4">
        <v>9</v>
      </c>
      <c r="G164" s="4">
        <v>62440</v>
      </c>
      <c r="H164" s="4">
        <v>2</v>
      </c>
      <c r="I164" s="7">
        <v>46081</v>
      </c>
      <c r="J164" s="7">
        <v>46086</v>
      </c>
      <c r="K164" s="4" t="s">
        <v>49</v>
      </c>
      <c r="L164" s="4">
        <f t="shared" si="2"/>
        <v>561960</v>
      </c>
    </row>
    <row r="165" spans="1:12" x14ac:dyDescent="0.3">
      <c r="A165" s="9">
        <v>1164</v>
      </c>
      <c r="B165" s="9" t="s">
        <v>39</v>
      </c>
      <c r="C165" s="4" t="s">
        <v>42</v>
      </c>
      <c r="D165" s="4" t="s">
        <v>34</v>
      </c>
      <c r="E165" s="4" t="s">
        <v>12</v>
      </c>
      <c r="F165" s="4">
        <v>7</v>
      </c>
      <c r="G165" s="4">
        <v>24615</v>
      </c>
      <c r="H165" s="4">
        <v>12</v>
      </c>
      <c r="I165" s="7">
        <v>46196</v>
      </c>
      <c r="J165" s="7">
        <v>46203</v>
      </c>
      <c r="K165" s="4" t="s">
        <v>81</v>
      </c>
      <c r="L165" s="4">
        <f t="shared" si="2"/>
        <v>172305</v>
      </c>
    </row>
    <row r="166" spans="1:12" x14ac:dyDescent="0.3">
      <c r="A166" s="9">
        <v>1165</v>
      </c>
      <c r="B166" s="9" t="s">
        <v>46</v>
      </c>
      <c r="C166" s="4" t="s">
        <v>27</v>
      </c>
      <c r="D166" s="4" t="s">
        <v>20</v>
      </c>
      <c r="E166" s="4" t="s">
        <v>37</v>
      </c>
      <c r="F166" s="4">
        <v>1</v>
      </c>
      <c r="G166" s="4">
        <v>427</v>
      </c>
      <c r="H166" s="4">
        <v>0</v>
      </c>
      <c r="I166" s="7">
        <v>46042</v>
      </c>
      <c r="J166" s="7">
        <v>46050</v>
      </c>
      <c r="K166" s="4" t="s">
        <v>81</v>
      </c>
      <c r="L166" s="4">
        <f t="shared" si="2"/>
        <v>427</v>
      </c>
    </row>
    <row r="167" spans="1:12" x14ac:dyDescent="0.3">
      <c r="A167" s="9">
        <v>1166</v>
      </c>
      <c r="B167" s="9" t="s">
        <v>32</v>
      </c>
      <c r="C167" s="4" t="s">
        <v>31</v>
      </c>
      <c r="D167" s="4" t="s">
        <v>20</v>
      </c>
      <c r="E167" s="4" t="s">
        <v>37</v>
      </c>
      <c r="F167" s="4">
        <v>1</v>
      </c>
      <c r="G167" s="4">
        <v>396</v>
      </c>
      <c r="H167" s="4">
        <v>5</v>
      </c>
      <c r="I167" s="7">
        <v>46092</v>
      </c>
      <c r="J167" s="7">
        <v>46093</v>
      </c>
      <c r="K167" s="4" t="s">
        <v>79</v>
      </c>
      <c r="L167" s="4">
        <f t="shared" si="2"/>
        <v>396</v>
      </c>
    </row>
    <row r="168" spans="1:12" x14ac:dyDescent="0.3">
      <c r="A168" s="9">
        <v>1167</v>
      </c>
      <c r="B168" s="9" t="s">
        <v>46</v>
      </c>
      <c r="C168" s="4" t="s">
        <v>23</v>
      </c>
      <c r="D168" s="4" t="s">
        <v>20</v>
      </c>
      <c r="E168" s="4" t="s">
        <v>37</v>
      </c>
      <c r="F168" s="4">
        <v>20</v>
      </c>
      <c r="G168" s="4">
        <v>251</v>
      </c>
      <c r="H168" s="4">
        <v>5</v>
      </c>
      <c r="I168" s="7">
        <v>46160</v>
      </c>
      <c r="J168" s="7">
        <v>46170</v>
      </c>
      <c r="K168" s="4" t="s">
        <v>49</v>
      </c>
      <c r="L168" s="4">
        <f t="shared" si="2"/>
        <v>5020</v>
      </c>
    </row>
    <row r="169" spans="1:12" x14ac:dyDescent="0.3">
      <c r="A169" s="9">
        <v>1168</v>
      </c>
      <c r="B169" s="9" t="s">
        <v>52</v>
      </c>
      <c r="C169" s="4" t="s">
        <v>19</v>
      </c>
      <c r="D169" s="4" t="s">
        <v>20</v>
      </c>
      <c r="E169" s="4" t="s">
        <v>37</v>
      </c>
      <c r="F169" s="4">
        <v>18</v>
      </c>
      <c r="G169" s="4">
        <v>335</v>
      </c>
      <c r="H169" s="4">
        <v>15</v>
      </c>
      <c r="I169" s="7">
        <v>46130</v>
      </c>
      <c r="J169" s="7">
        <v>46140</v>
      </c>
      <c r="K169" s="4" t="s">
        <v>49</v>
      </c>
      <c r="L169" s="4">
        <f t="shared" si="2"/>
        <v>6030</v>
      </c>
    </row>
    <row r="170" spans="1:12" x14ac:dyDescent="0.3">
      <c r="A170" s="9">
        <v>1169</v>
      </c>
      <c r="B170" s="9" t="s">
        <v>45</v>
      </c>
      <c r="C170" s="4" t="s">
        <v>19</v>
      </c>
      <c r="D170" s="4" t="s">
        <v>24</v>
      </c>
      <c r="E170" s="4" t="s">
        <v>11</v>
      </c>
      <c r="F170" s="4">
        <v>12</v>
      </c>
      <c r="G170" s="4">
        <v>12104</v>
      </c>
      <c r="H170" s="4">
        <v>7</v>
      </c>
      <c r="I170" s="7">
        <v>46121</v>
      </c>
      <c r="J170" s="7">
        <v>46130</v>
      </c>
      <c r="K170" s="4" t="s">
        <v>80</v>
      </c>
      <c r="L170" s="4">
        <f t="shared" si="2"/>
        <v>145248</v>
      </c>
    </row>
    <row r="171" spans="1:12" x14ac:dyDescent="0.3">
      <c r="A171" s="9">
        <v>1170</v>
      </c>
      <c r="B171" s="9" t="s">
        <v>47</v>
      </c>
      <c r="C171" s="4" t="s">
        <v>38</v>
      </c>
      <c r="D171" s="4" t="s">
        <v>20</v>
      </c>
      <c r="E171" s="4" t="s">
        <v>21</v>
      </c>
      <c r="F171" s="4">
        <v>6</v>
      </c>
      <c r="G171" s="4">
        <v>339</v>
      </c>
      <c r="H171" s="4">
        <v>12</v>
      </c>
      <c r="I171" s="7">
        <v>46105</v>
      </c>
      <c r="J171" s="7">
        <v>46106</v>
      </c>
      <c r="K171" s="4" t="s">
        <v>80</v>
      </c>
      <c r="L171" s="4">
        <f t="shared" si="2"/>
        <v>2034</v>
      </c>
    </row>
    <row r="172" spans="1:12" x14ac:dyDescent="0.3">
      <c r="A172" s="9">
        <v>1171</v>
      </c>
      <c r="B172" s="9" t="s">
        <v>54</v>
      </c>
      <c r="C172" s="4" t="s">
        <v>27</v>
      </c>
      <c r="D172" s="4" t="s">
        <v>20</v>
      </c>
      <c r="E172" s="4" t="s">
        <v>48</v>
      </c>
      <c r="F172" s="4">
        <v>17</v>
      </c>
      <c r="G172" s="4">
        <v>147</v>
      </c>
      <c r="H172" s="4">
        <v>12</v>
      </c>
      <c r="I172" s="7">
        <v>46155</v>
      </c>
      <c r="J172" s="7">
        <v>46160</v>
      </c>
      <c r="K172" s="4" t="s">
        <v>79</v>
      </c>
      <c r="L172" s="4">
        <f t="shared" si="2"/>
        <v>2499</v>
      </c>
    </row>
    <row r="173" spans="1:12" x14ac:dyDescent="0.3">
      <c r="A173" s="9">
        <v>1172</v>
      </c>
      <c r="B173" s="9" t="s">
        <v>22</v>
      </c>
      <c r="C173" s="4" t="s">
        <v>19</v>
      </c>
      <c r="D173" s="4" t="s">
        <v>34</v>
      </c>
      <c r="E173" s="4" t="s">
        <v>6</v>
      </c>
      <c r="F173" s="4">
        <v>13</v>
      </c>
      <c r="G173" s="4">
        <v>43163</v>
      </c>
      <c r="H173" s="4">
        <v>12</v>
      </c>
      <c r="I173" s="7">
        <v>46120</v>
      </c>
      <c r="J173" s="7">
        <v>46129</v>
      </c>
      <c r="K173" s="4" t="s">
        <v>80</v>
      </c>
      <c r="L173" s="4">
        <f t="shared" si="2"/>
        <v>561119</v>
      </c>
    </row>
    <row r="174" spans="1:12" x14ac:dyDescent="0.3">
      <c r="A174" s="9">
        <v>1173</v>
      </c>
      <c r="B174" s="9" t="s">
        <v>39</v>
      </c>
      <c r="C174" s="4" t="s">
        <v>23</v>
      </c>
      <c r="D174" s="4" t="s">
        <v>20</v>
      </c>
      <c r="E174" s="4" t="s">
        <v>37</v>
      </c>
      <c r="F174" s="4">
        <v>15</v>
      </c>
      <c r="G174" s="4">
        <v>214</v>
      </c>
      <c r="H174" s="4">
        <v>10</v>
      </c>
      <c r="I174" s="7">
        <v>46050</v>
      </c>
      <c r="J174" s="7">
        <v>46060</v>
      </c>
      <c r="K174" s="4" t="s">
        <v>81</v>
      </c>
      <c r="L174" s="4">
        <f t="shared" si="2"/>
        <v>3210</v>
      </c>
    </row>
    <row r="175" spans="1:12" x14ac:dyDescent="0.3">
      <c r="A175" s="9">
        <v>1174</v>
      </c>
      <c r="B175" s="9" t="s">
        <v>55</v>
      </c>
      <c r="C175" s="4" t="s">
        <v>38</v>
      </c>
      <c r="D175" s="4" t="s">
        <v>20</v>
      </c>
      <c r="E175" s="4" t="s">
        <v>21</v>
      </c>
      <c r="F175" s="4">
        <v>13</v>
      </c>
      <c r="G175" s="4">
        <v>155</v>
      </c>
      <c r="H175" s="4">
        <v>2</v>
      </c>
      <c r="I175" s="7">
        <v>46066</v>
      </c>
      <c r="J175" s="7">
        <v>46069</v>
      </c>
      <c r="K175" s="4" t="s">
        <v>80</v>
      </c>
      <c r="L175" s="4">
        <f t="shared" si="2"/>
        <v>2015</v>
      </c>
    </row>
    <row r="176" spans="1:12" x14ac:dyDescent="0.3">
      <c r="A176" s="9">
        <v>1175</v>
      </c>
      <c r="B176" s="9" t="s">
        <v>28</v>
      </c>
      <c r="C176" s="4" t="s">
        <v>23</v>
      </c>
      <c r="D176" s="4" t="s">
        <v>34</v>
      </c>
      <c r="E176" s="4" t="s">
        <v>40</v>
      </c>
      <c r="F176" s="4">
        <v>10</v>
      </c>
      <c r="G176" s="4">
        <v>20339</v>
      </c>
      <c r="H176" s="4">
        <v>2</v>
      </c>
      <c r="I176" s="7">
        <v>46088</v>
      </c>
      <c r="J176" s="7">
        <v>46094</v>
      </c>
      <c r="K176" s="4" t="s">
        <v>79</v>
      </c>
      <c r="L176" s="4">
        <f t="shared" si="2"/>
        <v>203390</v>
      </c>
    </row>
    <row r="177" spans="1:12" x14ac:dyDescent="0.3">
      <c r="A177" s="9">
        <v>1176</v>
      </c>
      <c r="B177" s="9" t="s">
        <v>55</v>
      </c>
      <c r="C177" s="4" t="s">
        <v>38</v>
      </c>
      <c r="D177" s="4" t="s">
        <v>34</v>
      </c>
      <c r="E177" s="4" t="s">
        <v>40</v>
      </c>
      <c r="F177" s="4">
        <v>17</v>
      </c>
      <c r="G177" s="4">
        <v>46937</v>
      </c>
      <c r="H177" s="4">
        <v>12</v>
      </c>
      <c r="I177" s="7">
        <v>46048</v>
      </c>
      <c r="J177" s="7">
        <v>46056</v>
      </c>
      <c r="K177" s="4" t="s">
        <v>49</v>
      </c>
      <c r="L177" s="4">
        <f t="shared" si="2"/>
        <v>797929</v>
      </c>
    </row>
    <row r="178" spans="1:12" x14ac:dyDescent="0.3">
      <c r="A178" s="9">
        <v>1177</v>
      </c>
      <c r="B178" s="9" t="s">
        <v>49</v>
      </c>
      <c r="C178" s="4" t="s">
        <v>26</v>
      </c>
      <c r="D178" s="4" t="s">
        <v>24</v>
      </c>
      <c r="E178" s="4" t="s">
        <v>7</v>
      </c>
      <c r="F178" s="4">
        <v>14</v>
      </c>
      <c r="G178" s="4">
        <v>7501</v>
      </c>
      <c r="H178" s="4">
        <v>7</v>
      </c>
      <c r="I178" s="7">
        <v>46169</v>
      </c>
      <c r="J178" s="7">
        <v>46179</v>
      </c>
      <c r="K178" s="4" t="s">
        <v>79</v>
      </c>
      <c r="L178" s="4">
        <f t="shared" si="2"/>
        <v>105014</v>
      </c>
    </row>
    <row r="179" spans="1:12" x14ac:dyDescent="0.3">
      <c r="A179" s="9">
        <v>1178</v>
      </c>
      <c r="B179" s="9" t="s">
        <v>54</v>
      </c>
      <c r="C179" s="4" t="s">
        <v>23</v>
      </c>
      <c r="D179" s="4" t="s">
        <v>20</v>
      </c>
      <c r="E179" s="4" t="s">
        <v>48</v>
      </c>
      <c r="F179" s="4">
        <v>5</v>
      </c>
      <c r="G179" s="4">
        <v>50</v>
      </c>
      <c r="H179" s="4">
        <v>0</v>
      </c>
      <c r="I179" s="7">
        <v>46111</v>
      </c>
      <c r="J179" s="7">
        <v>46117</v>
      </c>
      <c r="K179" s="4" t="s">
        <v>79</v>
      </c>
      <c r="L179" s="4">
        <f t="shared" si="2"/>
        <v>250</v>
      </c>
    </row>
    <row r="180" spans="1:12" x14ac:dyDescent="0.3">
      <c r="A180" s="9">
        <v>1179</v>
      </c>
      <c r="B180" s="9" t="s">
        <v>45</v>
      </c>
      <c r="C180" s="4" t="s">
        <v>23</v>
      </c>
      <c r="D180" s="4" t="s">
        <v>34</v>
      </c>
      <c r="E180" s="4" t="s">
        <v>5</v>
      </c>
      <c r="F180" s="4">
        <v>6</v>
      </c>
      <c r="G180" s="4">
        <v>10400</v>
      </c>
      <c r="H180" s="4">
        <v>2</v>
      </c>
      <c r="I180" s="7">
        <v>46155</v>
      </c>
      <c r="J180" s="7">
        <v>46158</v>
      </c>
      <c r="K180" s="4" t="s">
        <v>78</v>
      </c>
      <c r="L180" s="4">
        <f t="shared" si="2"/>
        <v>62400</v>
      </c>
    </row>
    <row r="181" spans="1:12" x14ac:dyDescent="0.3">
      <c r="A181" s="9">
        <v>1180</v>
      </c>
      <c r="B181" s="9" t="s">
        <v>39</v>
      </c>
      <c r="C181" s="4" t="s">
        <v>31</v>
      </c>
      <c r="D181" s="4" t="s">
        <v>24</v>
      </c>
      <c r="E181" s="4" t="s">
        <v>8</v>
      </c>
      <c r="F181" s="4">
        <v>2</v>
      </c>
      <c r="G181" s="4">
        <v>2076</v>
      </c>
      <c r="H181" s="4">
        <v>2</v>
      </c>
      <c r="I181" s="7">
        <v>46111</v>
      </c>
      <c r="J181" s="7">
        <v>46121</v>
      </c>
      <c r="K181" s="4" t="s">
        <v>49</v>
      </c>
      <c r="L181" s="4">
        <f t="shared" si="2"/>
        <v>4152</v>
      </c>
    </row>
    <row r="182" spans="1:12" x14ac:dyDescent="0.3">
      <c r="A182" s="9">
        <v>1181</v>
      </c>
      <c r="B182" s="9" t="s">
        <v>55</v>
      </c>
      <c r="C182" s="4" t="s">
        <v>33</v>
      </c>
      <c r="D182" s="4" t="s">
        <v>20</v>
      </c>
      <c r="E182" s="4" t="s">
        <v>36</v>
      </c>
      <c r="F182" s="4">
        <v>4</v>
      </c>
      <c r="G182" s="4">
        <v>357</v>
      </c>
      <c r="H182" s="4">
        <v>2</v>
      </c>
      <c r="I182" s="7">
        <v>46033</v>
      </c>
      <c r="J182" s="7">
        <v>46035</v>
      </c>
      <c r="K182" s="4" t="s">
        <v>78</v>
      </c>
      <c r="L182" s="4">
        <f t="shared" si="2"/>
        <v>1428</v>
      </c>
    </row>
    <row r="183" spans="1:12" x14ac:dyDescent="0.3">
      <c r="A183" s="9">
        <v>1182</v>
      </c>
      <c r="B183" s="9" t="s">
        <v>41</v>
      </c>
      <c r="C183" s="4" t="s">
        <v>19</v>
      </c>
      <c r="D183" s="4" t="s">
        <v>34</v>
      </c>
      <c r="E183" s="4" t="s">
        <v>5</v>
      </c>
      <c r="F183" s="4">
        <v>8</v>
      </c>
      <c r="G183" s="4">
        <v>66022</v>
      </c>
      <c r="H183" s="4">
        <v>12</v>
      </c>
      <c r="I183" s="7">
        <v>46108</v>
      </c>
      <c r="J183" s="7">
        <v>46114</v>
      </c>
      <c r="K183" s="4" t="s">
        <v>80</v>
      </c>
      <c r="L183" s="4">
        <f t="shared" si="2"/>
        <v>528176</v>
      </c>
    </row>
    <row r="184" spans="1:12" x14ac:dyDescent="0.3">
      <c r="A184" s="9">
        <v>1183</v>
      </c>
      <c r="B184" s="9" t="s">
        <v>50</v>
      </c>
      <c r="C184" s="4" t="s">
        <v>42</v>
      </c>
      <c r="D184" s="4" t="s">
        <v>20</v>
      </c>
      <c r="E184" s="4" t="s">
        <v>21</v>
      </c>
      <c r="F184" s="4">
        <v>2</v>
      </c>
      <c r="G184" s="4">
        <v>309</v>
      </c>
      <c r="H184" s="4">
        <v>2</v>
      </c>
      <c r="I184" s="7">
        <v>46109</v>
      </c>
      <c r="J184" s="7">
        <v>46111</v>
      </c>
      <c r="K184" s="4" t="s">
        <v>79</v>
      </c>
      <c r="L184" s="4">
        <f t="shared" si="2"/>
        <v>618</v>
      </c>
    </row>
    <row r="185" spans="1:12" x14ac:dyDescent="0.3">
      <c r="A185" s="9">
        <v>1184</v>
      </c>
      <c r="B185" s="9" t="s">
        <v>39</v>
      </c>
      <c r="C185" s="4" t="s">
        <v>31</v>
      </c>
      <c r="D185" s="4" t="s">
        <v>34</v>
      </c>
      <c r="E185" s="4" t="s">
        <v>5</v>
      </c>
      <c r="F185" s="4">
        <v>12</v>
      </c>
      <c r="G185" s="4">
        <v>50517</v>
      </c>
      <c r="H185" s="4">
        <v>15</v>
      </c>
      <c r="I185" s="7">
        <v>46145</v>
      </c>
      <c r="J185" s="7">
        <v>46153</v>
      </c>
      <c r="K185" s="4" t="s">
        <v>49</v>
      </c>
      <c r="L185" s="4">
        <f t="shared" si="2"/>
        <v>606204</v>
      </c>
    </row>
    <row r="186" spans="1:12" x14ac:dyDescent="0.3">
      <c r="A186" s="9">
        <v>1185</v>
      </c>
      <c r="B186" s="9" t="s">
        <v>55</v>
      </c>
      <c r="C186" s="4" t="s">
        <v>26</v>
      </c>
      <c r="D186" s="4" t="s">
        <v>34</v>
      </c>
      <c r="E186" s="4" t="s">
        <v>9</v>
      </c>
      <c r="F186" s="4">
        <v>16</v>
      </c>
      <c r="G186" s="4">
        <v>15536</v>
      </c>
      <c r="H186" s="4">
        <v>2</v>
      </c>
      <c r="I186" s="7">
        <v>46153</v>
      </c>
      <c r="J186" s="7">
        <v>46156</v>
      </c>
      <c r="K186" s="4" t="s">
        <v>78</v>
      </c>
      <c r="L186" s="4">
        <f t="shared" si="2"/>
        <v>248576</v>
      </c>
    </row>
    <row r="187" spans="1:12" x14ac:dyDescent="0.3">
      <c r="A187" s="9">
        <v>1186</v>
      </c>
      <c r="B187" s="9" t="s">
        <v>22</v>
      </c>
      <c r="C187" s="4" t="s">
        <v>27</v>
      </c>
      <c r="D187" s="4" t="s">
        <v>24</v>
      </c>
      <c r="E187" s="4" t="s">
        <v>43</v>
      </c>
      <c r="F187" s="4">
        <v>10</v>
      </c>
      <c r="G187" s="4">
        <v>14951</v>
      </c>
      <c r="H187" s="4">
        <v>2</v>
      </c>
      <c r="I187" s="7">
        <v>46188</v>
      </c>
      <c r="J187" s="7">
        <v>46196</v>
      </c>
      <c r="K187" s="4" t="s">
        <v>80</v>
      </c>
      <c r="L187" s="4">
        <f t="shared" si="2"/>
        <v>149510</v>
      </c>
    </row>
    <row r="188" spans="1:12" x14ac:dyDescent="0.3">
      <c r="A188" s="9">
        <v>1187</v>
      </c>
      <c r="B188" s="9" t="s">
        <v>52</v>
      </c>
      <c r="C188" s="4" t="s">
        <v>26</v>
      </c>
      <c r="D188" s="4" t="s">
        <v>34</v>
      </c>
      <c r="E188" s="4" t="s">
        <v>6</v>
      </c>
      <c r="F188" s="4">
        <v>18</v>
      </c>
      <c r="G188" s="4">
        <v>68527</v>
      </c>
      <c r="H188" s="4">
        <v>12</v>
      </c>
      <c r="I188" s="7">
        <v>46178</v>
      </c>
      <c r="J188" s="7">
        <v>46184</v>
      </c>
      <c r="K188" s="4" t="s">
        <v>81</v>
      </c>
      <c r="L188" s="4">
        <f t="shared" si="2"/>
        <v>1233486</v>
      </c>
    </row>
    <row r="189" spans="1:12" x14ac:dyDescent="0.3">
      <c r="A189" s="9">
        <v>1188</v>
      </c>
      <c r="B189" s="9" t="s">
        <v>49</v>
      </c>
      <c r="C189" s="4" t="s">
        <v>26</v>
      </c>
      <c r="D189" s="4" t="s">
        <v>24</v>
      </c>
      <c r="E189" s="4" t="s">
        <v>11</v>
      </c>
      <c r="F189" s="4">
        <v>6</v>
      </c>
      <c r="G189" s="4">
        <v>10368</v>
      </c>
      <c r="H189" s="4">
        <v>7</v>
      </c>
      <c r="I189" s="7">
        <v>46137</v>
      </c>
      <c r="J189" s="7">
        <v>46142</v>
      </c>
      <c r="K189" s="4" t="s">
        <v>78</v>
      </c>
      <c r="L189" s="4">
        <f t="shared" si="2"/>
        <v>62208</v>
      </c>
    </row>
    <row r="190" spans="1:12" x14ac:dyDescent="0.3">
      <c r="A190" s="9">
        <v>1189</v>
      </c>
      <c r="B190" s="9" t="s">
        <v>47</v>
      </c>
      <c r="C190" s="4" t="s">
        <v>31</v>
      </c>
      <c r="D190" s="4" t="s">
        <v>24</v>
      </c>
      <c r="E190" s="4" t="s">
        <v>11</v>
      </c>
      <c r="F190" s="4">
        <v>12</v>
      </c>
      <c r="G190" s="4">
        <v>8327</v>
      </c>
      <c r="H190" s="4">
        <v>10</v>
      </c>
      <c r="I190" s="7">
        <v>46184</v>
      </c>
      <c r="J190" s="7">
        <v>46185</v>
      </c>
      <c r="K190" s="4" t="s">
        <v>49</v>
      </c>
      <c r="L190" s="4">
        <f t="shared" si="2"/>
        <v>99924</v>
      </c>
    </row>
    <row r="191" spans="1:12" x14ac:dyDescent="0.3">
      <c r="A191" s="9">
        <v>1190</v>
      </c>
      <c r="B191" s="9" t="s">
        <v>54</v>
      </c>
      <c r="C191" s="4" t="s">
        <v>23</v>
      </c>
      <c r="D191" s="4" t="s">
        <v>24</v>
      </c>
      <c r="E191" s="4" t="s">
        <v>8</v>
      </c>
      <c r="F191" s="4">
        <v>4</v>
      </c>
      <c r="G191" s="4">
        <v>10154</v>
      </c>
      <c r="H191" s="4">
        <v>7</v>
      </c>
      <c r="I191" s="7">
        <v>46052</v>
      </c>
      <c r="J191" s="7">
        <v>46062</v>
      </c>
      <c r="K191" s="4" t="s">
        <v>79</v>
      </c>
      <c r="L191" s="4">
        <f t="shared" si="2"/>
        <v>40616</v>
      </c>
    </row>
    <row r="192" spans="1:12" x14ac:dyDescent="0.3">
      <c r="A192" s="9">
        <v>1191</v>
      </c>
      <c r="B192" s="9" t="s">
        <v>50</v>
      </c>
      <c r="C192" s="4" t="s">
        <v>33</v>
      </c>
      <c r="D192" s="4" t="s">
        <v>24</v>
      </c>
      <c r="E192" s="4" t="s">
        <v>11</v>
      </c>
      <c r="F192" s="4">
        <v>9</v>
      </c>
      <c r="G192" s="4">
        <v>8631</v>
      </c>
      <c r="H192" s="4">
        <v>10</v>
      </c>
      <c r="I192" s="7">
        <v>46149</v>
      </c>
      <c r="J192" s="7">
        <v>46156</v>
      </c>
      <c r="K192" s="4" t="s">
        <v>79</v>
      </c>
      <c r="L192" s="4">
        <f t="shared" si="2"/>
        <v>77679</v>
      </c>
    </row>
    <row r="193" spans="1:12" x14ac:dyDescent="0.3">
      <c r="A193" s="9">
        <v>1192</v>
      </c>
      <c r="B193" s="9" t="s">
        <v>25</v>
      </c>
      <c r="C193" s="4" t="s">
        <v>33</v>
      </c>
      <c r="D193" s="4" t="s">
        <v>20</v>
      </c>
      <c r="E193" s="4" t="s">
        <v>51</v>
      </c>
      <c r="F193" s="4">
        <v>18</v>
      </c>
      <c r="G193" s="4">
        <v>49</v>
      </c>
      <c r="H193" s="4">
        <v>12</v>
      </c>
      <c r="I193" s="7">
        <v>46089</v>
      </c>
      <c r="J193" s="7">
        <v>46095</v>
      </c>
      <c r="K193" s="4" t="s">
        <v>80</v>
      </c>
      <c r="L193" s="4">
        <f t="shared" si="2"/>
        <v>882</v>
      </c>
    </row>
    <row r="194" spans="1:12" x14ac:dyDescent="0.3">
      <c r="A194" s="9">
        <v>1193</v>
      </c>
      <c r="B194" s="9" t="s">
        <v>54</v>
      </c>
      <c r="C194" s="4" t="s">
        <v>19</v>
      </c>
      <c r="D194" s="4" t="s">
        <v>24</v>
      </c>
      <c r="E194" s="4" t="s">
        <v>10</v>
      </c>
      <c r="F194" s="4">
        <v>19</v>
      </c>
      <c r="G194" s="4">
        <v>2699</v>
      </c>
      <c r="H194" s="4">
        <v>7</v>
      </c>
      <c r="I194" s="7">
        <v>46110</v>
      </c>
      <c r="J194" s="7">
        <v>46112</v>
      </c>
      <c r="K194" s="4" t="s">
        <v>49</v>
      </c>
      <c r="L194" s="4">
        <f t="shared" si="2"/>
        <v>51281</v>
      </c>
    </row>
    <row r="195" spans="1:12" x14ac:dyDescent="0.3">
      <c r="A195" s="9">
        <v>1194</v>
      </c>
      <c r="B195" s="9" t="s">
        <v>54</v>
      </c>
      <c r="C195" s="4" t="s">
        <v>42</v>
      </c>
      <c r="D195" s="4" t="s">
        <v>24</v>
      </c>
      <c r="E195" s="4" t="s">
        <v>8</v>
      </c>
      <c r="F195" s="4">
        <v>13</v>
      </c>
      <c r="G195" s="4">
        <v>12856</v>
      </c>
      <c r="H195" s="4">
        <v>15</v>
      </c>
      <c r="I195" s="7">
        <v>46129</v>
      </c>
      <c r="J195" s="7">
        <v>46133</v>
      </c>
      <c r="K195" s="4" t="s">
        <v>81</v>
      </c>
      <c r="L195" s="4">
        <f t="shared" ref="L195:L258" si="3">G195*F195</f>
        <v>167128</v>
      </c>
    </row>
    <row r="196" spans="1:12" x14ac:dyDescent="0.3">
      <c r="A196" s="9">
        <v>1195</v>
      </c>
      <c r="B196" s="9" t="s">
        <v>56</v>
      </c>
      <c r="C196" s="4" t="s">
        <v>23</v>
      </c>
      <c r="D196" s="4" t="s">
        <v>20</v>
      </c>
      <c r="E196" s="4" t="s">
        <v>48</v>
      </c>
      <c r="F196" s="4">
        <v>19</v>
      </c>
      <c r="G196" s="4">
        <v>313</v>
      </c>
      <c r="H196" s="4">
        <v>2</v>
      </c>
      <c r="I196" s="7">
        <v>46198</v>
      </c>
      <c r="J196" s="7">
        <v>46206</v>
      </c>
      <c r="K196" s="4" t="s">
        <v>81</v>
      </c>
      <c r="L196" s="4">
        <f t="shared" si="3"/>
        <v>5947</v>
      </c>
    </row>
    <row r="197" spans="1:12" x14ac:dyDescent="0.3">
      <c r="A197" s="9">
        <v>1196</v>
      </c>
      <c r="B197" s="9" t="s">
        <v>46</v>
      </c>
      <c r="C197" s="4" t="s">
        <v>26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7">
        <v>46155</v>
      </c>
      <c r="J197" s="7">
        <v>46159</v>
      </c>
      <c r="K197" s="4" t="s">
        <v>79</v>
      </c>
      <c r="L197" s="4">
        <f t="shared" si="3"/>
        <v>63440</v>
      </c>
    </row>
    <row r="198" spans="1:12" x14ac:dyDescent="0.3">
      <c r="A198" s="9">
        <v>1197</v>
      </c>
      <c r="B198" s="9" t="s">
        <v>50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7">
        <v>46045</v>
      </c>
      <c r="J198" s="7">
        <v>46048</v>
      </c>
      <c r="K198" s="4" t="s">
        <v>78</v>
      </c>
      <c r="L198" s="4">
        <f t="shared" si="3"/>
        <v>226760</v>
      </c>
    </row>
    <row r="199" spans="1:12" x14ac:dyDescent="0.3">
      <c r="A199" s="9">
        <v>1198</v>
      </c>
      <c r="B199" s="9" t="s">
        <v>55</v>
      </c>
      <c r="C199" s="4" t="s">
        <v>19</v>
      </c>
      <c r="D199" s="4" t="s">
        <v>20</v>
      </c>
      <c r="E199" s="4" t="s">
        <v>21</v>
      </c>
      <c r="F199" s="4">
        <v>12</v>
      </c>
      <c r="G199" s="4">
        <v>491</v>
      </c>
      <c r="H199" s="4">
        <v>2</v>
      </c>
      <c r="I199" s="7">
        <v>46106</v>
      </c>
      <c r="J199" s="7">
        <v>46109</v>
      </c>
      <c r="K199" s="4" t="s">
        <v>81</v>
      </c>
      <c r="L199" s="4">
        <f t="shared" si="3"/>
        <v>5892</v>
      </c>
    </row>
    <row r="200" spans="1:12" x14ac:dyDescent="0.3">
      <c r="A200" s="9">
        <v>1199</v>
      </c>
      <c r="B200" s="9" t="s">
        <v>18</v>
      </c>
      <c r="C200" s="4" t="s">
        <v>27</v>
      </c>
      <c r="D200" s="4" t="s">
        <v>34</v>
      </c>
      <c r="E200" s="4" t="s">
        <v>6</v>
      </c>
      <c r="F200" s="4">
        <v>2</v>
      </c>
      <c r="G200" s="4">
        <v>4375</v>
      </c>
      <c r="H200" s="4">
        <v>7</v>
      </c>
      <c r="I200" s="7">
        <v>46178</v>
      </c>
      <c r="J200" s="7">
        <v>46180</v>
      </c>
      <c r="K200" s="4" t="s">
        <v>80</v>
      </c>
      <c r="L200" s="4">
        <f t="shared" si="3"/>
        <v>8750</v>
      </c>
    </row>
    <row r="201" spans="1:12" x14ac:dyDescent="0.3">
      <c r="A201" s="9">
        <v>1200</v>
      </c>
      <c r="B201" s="9" t="s">
        <v>49</v>
      </c>
      <c r="C201" s="4" t="s">
        <v>31</v>
      </c>
      <c r="D201" s="4" t="s">
        <v>34</v>
      </c>
      <c r="E201" s="4" t="s">
        <v>6</v>
      </c>
      <c r="F201" s="4">
        <v>13</v>
      </c>
      <c r="G201" s="4">
        <v>69422</v>
      </c>
      <c r="H201" s="4">
        <v>0</v>
      </c>
      <c r="I201" s="7">
        <v>46134</v>
      </c>
      <c r="J201" s="7">
        <v>46143</v>
      </c>
      <c r="K201" s="4" t="s">
        <v>49</v>
      </c>
      <c r="L201" s="4">
        <f t="shared" si="3"/>
        <v>902486</v>
      </c>
    </row>
    <row r="202" spans="1:12" x14ac:dyDescent="0.3">
      <c r="A202" s="9">
        <v>1201</v>
      </c>
      <c r="B202" s="9" t="s">
        <v>52</v>
      </c>
      <c r="C202" s="4" t="s">
        <v>31</v>
      </c>
      <c r="D202" s="4" t="s">
        <v>20</v>
      </c>
      <c r="E202" s="4" t="s">
        <v>51</v>
      </c>
      <c r="F202" s="4">
        <v>18</v>
      </c>
      <c r="G202" s="4">
        <v>139</v>
      </c>
      <c r="H202" s="4">
        <v>12</v>
      </c>
      <c r="I202" s="7">
        <v>46075</v>
      </c>
      <c r="J202" s="7">
        <v>46076</v>
      </c>
      <c r="K202" s="4" t="s">
        <v>79</v>
      </c>
      <c r="L202" s="4">
        <f t="shared" si="3"/>
        <v>2502</v>
      </c>
    </row>
    <row r="203" spans="1:12" x14ac:dyDescent="0.3">
      <c r="A203" s="9">
        <v>1202</v>
      </c>
      <c r="B203" s="9" t="s">
        <v>54</v>
      </c>
      <c r="C203" s="4" t="s">
        <v>26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7">
        <v>46082</v>
      </c>
      <c r="J203" s="7">
        <v>46091</v>
      </c>
      <c r="K203" s="4" t="s">
        <v>78</v>
      </c>
      <c r="L203" s="4">
        <f t="shared" si="3"/>
        <v>40624</v>
      </c>
    </row>
    <row r="204" spans="1:12" x14ac:dyDescent="0.3">
      <c r="A204" s="9">
        <v>1203</v>
      </c>
      <c r="B204" s="9" t="s">
        <v>39</v>
      </c>
      <c r="C204" s="4" t="s">
        <v>26</v>
      </c>
      <c r="D204" s="4" t="s">
        <v>24</v>
      </c>
      <c r="E204" s="4" t="s">
        <v>10</v>
      </c>
      <c r="F204" s="4">
        <v>17</v>
      </c>
      <c r="G204" s="4">
        <v>6695</v>
      </c>
      <c r="H204" s="4">
        <v>2</v>
      </c>
      <c r="I204" s="7">
        <v>46119</v>
      </c>
      <c r="J204" s="7">
        <v>46122</v>
      </c>
      <c r="K204" s="4" t="s">
        <v>81</v>
      </c>
      <c r="L204" s="4">
        <f t="shared" si="3"/>
        <v>113815</v>
      </c>
    </row>
    <row r="205" spans="1:12" x14ac:dyDescent="0.3">
      <c r="A205" s="9">
        <v>1204</v>
      </c>
      <c r="B205" s="9" t="s">
        <v>22</v>
      </c>
      <c r="C205" s="4" t="s">
        <v>31</v>
      </c>
      <c r="D205" s="4" t="s">
        <v>20</v>
      </c>
      <c r="E205" s="4" t="s">
        <v>37</v>
      </c>
      <c r="F205" s="4">
        <v>13</v>
      </c>
      <c r="G205" s="4">
        <v>416</v>
      </c>
      <c r="H205" s="4">
        <v>10</v>
      </c>
      <c r="I205" s="7">
        <v>46123</v>
      </c>
      <c r="J205" s="7">
        <v>46132</v>
      </c>
      <c r="K205" s="4" t="s">
        <v>79</v>
      </c>
      <c r="L205" s="4">
        <f t="shared" si="3"/>
        <v>5408</v>
      </c>
    </row>
    <row r="206" spans="1:12" x14ac:dyDescent="0.3">
      <c r="A206" s="9">
        <v>1205</v>
      </c>
      <c r="B206" s="9" t="s">
        <v>25</v>
      </c>
      <c r="C206" s="4" t="s">
        <v>38</v>
      </c>
      <c r="D206" s="4" t="s">
        <v>20</v>
      </c>
      <c r="E206" s="4" t="s">
        <v>36</v>
      </c>
      <c r="F206" s="4">
        <v>1</v>
      </c>
      <c r="G206" s="4">
        <v>112</v>
      </c>
      <c r="H206" s="4">
        <v>7</v>
      </c>
      <c r="I206" s="7">
        <v>46033</v>
      </c>
      <c r="J206" s="7">
        <v>46040</v>
      </c>
      <c r="K206" s="4" t="s">
        <v>81</v>
      </c>
      <c r="L206" s="4">
        <f t="shared" si="3"/>
        <v>112</v>
      </c>
    </row>
    <row r="207" spans="1:12" x14ac:dyDescent="0.3">
      <c r="A207" s="9">
        <v>1206</v>
      </c>
      <c r="B207" s="9" t="s">
        <v>53</v>
      </c>
      <c r="C207" s="4" t="s">
        <v>33</v>
      </c>
      <c r="D207" s="4" t="s">
        <v>20</v>
      </c>
      <c r="E207" s="4" t="s">
        <v>21</v>
      </c>
      <c r="F207" s="4">
        <v>9</v>
      </c>
      <c r="G207" s="4">
        <v>60</v>
      </c>
      <c r="H207" s="4">
        <v>0</v>
      </c>
      <c r="I207" s="7">
        <v>46166</v>
      </c>
      <c r="J207" s="7">
        <v>46174</v>
      </c>
      <c r="K207" s="4" t="s">
        <v>78</v>
      </c>
      <c r="L207" s="4">
        <f t="shared" si="3"/>
        <v>540</v>
      </c>
    </row>
    <row r="208" spans="1:12" x14ac:dyDescent="0.3">
      <c r="A208" s="9">
        <v>1207</v>
      </c>
      <c r="B208" s="9" t="s">
        <v>53</v>
      </c>
      <c r="C208" s="4" t="s">
        <v>27</v>
      </c>
      <c r="D208" s="4" t="s">
        <v>20</v>
      </c>
      <c r="E208" s="4" t="s">
        <v>51</v>
      </c>
      <c r="F208" s="4">
        <v>7</v>
      </c>
      <c r="G208" s="4">
        <v>244</v>
      </c>
      <c r="H208" s="4">
        <v>2</v>
      </c>
      <c r="I208" s="7">
        <v>46164</v>
      </c>
      <c r="J208" s="7">
        <v>46173</v>
      </c>
      <c r="K208" s="4" t="s">
        <v>80</v>
      </c>
      <c r="L208" s="4">
        <f t="shared" si="3"/>
        <v>1708</v>
      </c>
    </row>
    <row r="209" spans="1:12" x14ac:dyDescent="0.3">
      <c r="A209" s="9">
        <v>1208</v>
      </c>
      <c r="B209" s="9" t="s">
        <v>52</v>
      </c>
      <c r="C209" s="4" t="s">
        <v>42</v>
      </c>
      <c r="D209" s="4" t="s">
        <v>24</v>
      </c>
      <c r="E209" s="4" t="s">
        <v>43</v>
      </c>
      <c r="F209" s="4">
        <v>6</v>
      </c>
      <c r="G209" s="4">
        <v>7627</v>
      </c>
      <c r="H209" s="4">
        <v>10</v>
      </c>
      <c r="I209" s="7">
        <v>46042</v>
      </c>
      <c r="J209" s="7">
        <v>46047</v>
      </c>
      <c r="K209" s="4" t="s">
        <v>79</v>
      </c>
      <c r="L209" s="4">
        <f t="shared" si="3"/>
        <v>45762</v>
      </c>
    </row>
    <row r="210" spans="1:12" x14ac:dyDescent="0.3">
      <c r="A210" s="9">
        <v>1209</v>
      </c>
      <c r="B210" s="9" t="s">
        <v>46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7">
        <v>46103</v>
      </c>
      <c r="J210" s="7">
        <v>46110</v>
      </c>
      <c r="K210" s="4" t="s">
        <v>79</v>
      </c>
      <c r="L210" s="4">
        <f t="shared" si="3"/>
        <v>385396</v>
      </c>
    </row>
    <row r="211" spans="1:12" x14ac:dyDescent="0.3">
      <c r="A211" s="9">
        <v>1210</v>
      </c>
      <c r="B211" s="9" t="s">
        <v>30</v>
      </c>
      <c r="C211" s="4" t="s">
        <v>31</v>
      </c>
      <c r="D211" s="4" t="s">
        <v>20</v>
      </c>
      <c r="E211" s="4" t="s">
        <v>51</v>
      </c>
      <c r="F211" s="4">
        <v>10</v>
      </c>
      <c r="G211" s="4">
        <v>349</v>
      </c>
      <c r="H211" s="4">
        <v>0</v>
      </c>
      <c r="I211" s="7">
        <v>46052</v>
      </c>
      <c r="J211" s="7">
        <v>46060</v>
      </c>
      <c r="K211" s="4" t="s">
        <v>49</v>
      </c>
      <c r="L211" s="4">
        <f t="shared" si="3"/>
        <v>3490</v>
      </c>
    </row>
    <row r="212" spans="1:12" x14ac:dyDescent="0.3">
      <c r="A212" s="9">
        <v>1211</v>
      </c>
      <c r="B212" s="9" t="s">
        <v>46</v>
      </c>
      <c r="C212" s="4" t="s">
        <v>23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7">
        <v>46175</v>
      </c>
      <c r="J212" s="7">
        <v>46183</v>
      </c>
      <c r="K212" s="4" t="s">
        <v>78</v>
      </c>
      <c r="L212" s="4">
        <f t="shared" si="3"/>
        <v>17886</v>
      </c>
    </row>
    <row r="213" spans="1:12" x14ac:dyDescent="0.3">
      <c r="A213" s="9">
        <v>1212</v>
      </c>
      <c r="B213" s="9" t="s">
        <v>56</v>
      </c>
      <c r="C213" s="4" t="s">
        <v>27</v>
      </c>
      <c r="D213" s="4" t="s">
        <v>34</v>
      </c>
      <c r="E213" s="4" t="s">
        <v>9</v>
      </c>
      <c r="F213" s="4">
        <v>10</v>
      </c>
      <c r="G213" s="4">
        <v>34380</v>
      </c>
      <c r="H213" s="4">
        <v>7</v>
      </c>
      <c r="I213" s="7">
        <v>46194</v>
      </c>
      <c r="J213" s="7">
        <v>46195</v>
      </c>
      <c r="K213" s="4" t="s">
        <v>49</v>
      </c>
      <c r="L213" s="4">
        <f t="shared" si="3"/>
        <v>343800</v>
      </c>
    </row>
    <row r="214" spans="1:12" x14ac:dyDescent="0.3">
      <c r="A214" s="9">
        <v>1213</v>
      </c>
      <c r="B214" s="9" t="s">
        <v>32</v>
      </c>
      <c r="C214" s="4" t="s">
        <v>38</v>
      </c>
      <c r="D214" s="4" t="s">
        <v>34</v>
      </c>
      <c r="E214" s="4" t="s">
        <v>6</v>
      </c>
      <c r="F214" s="4">
        <v>16</v>
      </c>
      <c r="G214" s="4">
        <v>27741</v>
      </c>
      <c r="H214" s="4">
        <v>12</v>
      </c>
      <c r="I214" s="7">
        <v>46116</v>
      </c>
      <c r="J214" s="7">
        <v>46119</v>
      </c>
      <c r="K214" s="4" t="s">
        <v>78</v>
      </c>
      <c r="L214" s="4">
        <f t="shared" si="3"/>
        <v>443856</v>
      </c>
    </row>
    <row r="215" spans="1:12" x14ac:dyDescent="0.3">
      <c r="A215" s="9">
        <v>1214</v>
      </c>
      <c r="B215" s="9" t="s">
        <v>41</v>
      </c>
      <c r="C215" s="4" t="s">
        <v>27</v>
      </c>
      <c r="D215" s="4" t="s">
        <v>24</v>
      </c>
      <c r="E215" s="4" t="s">
        <v>8</v>
      </c>
      <c r="F215" s="4">
        <v>19</v>
      </c>
      <c r="G215" s="4">
        <v>13832</v>
      </c>
      <c r="H215" s="4">
        <v>0</v>
      </c>
      <c r="I215" s="7">
        <v>46140</v>
      </c>
      <c r="J215" s="7">
        <v>46145</v>
      </c>
      <c r="K215" s="4" t="s">
        <v>81</v>
      </c>
      <c r="L215" s="4">
        <f t="shared" si="3"/>
        <v>262808</v>
      </c>
    </row>
    <row r="216" spans="1:12" x14ac:dyDescent="0.3">
      <c r="A216" s="9">
        <v>1215</v>
      </c>
      <c r="B216" s="9" t="s">
        <v>29</v>
      </c>
      <c r="C216" s="4" t="s">
        <v>19</v>
      </c>
      <c r="D216" s="4" t="s">
        <v>24</v>
      </c>
      <c r="E216" s="4" t="s">
        <v>8</v>
      </c>
      <c r="F216" s="4">
        <v>6</v>
      </c>
      <c r="G216" s="4">
        <v>1254</v>
      </c>
      <c r="H216" s="4">
        <v>0</v>
      </c>
      <c r="I216" s="7">
        <v>46131</v>
      </c>
      <c r="J216" s="7">
        <v>46136</v>
      </c>
      <c r="K216" s="4" t="s">
        <v>49</v>
      </c>
      <c r="L216" s="4">
        <f t="shared" si="3"/>
        <v>7524</v>
      </c>
    </row>
    <row r="217" spans="1:12" x14ac:dyDescent="0.3">
      <c r="A217" s="9">
        <v>1216</v>
      </c>
      <c r="B217" s="9" t="s">
        <v>39</v>
      </c>
      <c r="C217" s="4" t="s">
        <v>26</v>
      </c>
      <c r="D217" s="4" t="s">
        <v>34</v>
      </c>
      <c r="E217" s="4" t="s">
        <v>6</v>
      </c>
      <c r="F217" s="4">
        <v>10</v>
      </c>
      <c r="G217" s="4">
        <v>56709</v>
      </c>
      <c r="H217" s="4">
        <v>15</v>
      </c>
      <c r="I217" s="7">
        <v>46135</v>
      </c>
      <c r="J217" s="7">
        <v>46139</v>
      </c>
      <c r="K217" s="4" t="s">
        <v>49</v>
      </c>
      <c r="L217" s="4">
        <f t="shared" si="3"/>
        <v>567090</v>
      </c>
    </row>
    <row r="218" spans="1:12" x14ac:dyDescent="0.3">
      <c r="A218" s="9">
        <v>1217</v>
      </c>
      <c r="B218" s="9" t="s">
        <v>30</v>
      </c>
      <c r="C218" s="4" t="s">
        <v>26</v>
      </c>
      <c r="D218" s="4" t="s">
        <v>20</v>
      </c>
      <c r="E218" s="4" t="s">
        <v>48</v>
      </c>
      <c r="F218" s="4">
        <v>18</v>
      </c>
      <c r="G218" s="4">
        <v>60</v>
      </c>
      <c r="H218" s="4">
        <v>0</v>
      </c>
      <c r="I218" s="7">
        <v>46171</v>
      </c>
      <c r="J218" s="7">
        <v>46172</v>
      </c>
      <c r="K218" s="4" t="s">
        <v>49</v>
      </c>
      <c r="L218" s="4">
        <f t="shared" si="3"/>
        <v>1080</v>
      </c>
    </row>
    <row r="219" spans="1:12" x14ac:dyDescent="0.3">
      <c r="A219" s="9">
        <v>1218</v>
      </c>
      <c r="B219" s="9" t="s">
        <v>53</v>
      </c>
      <c r="C219" s="4" t="s">
        <v>38</v>
      </c>
      <c r="D219" s="4" t="s">
        <v>20</v>
      </c>
      <c r="E219" s="4" t="s">
        <v>21</v>
      </c>
      <c r="F219" s="4">
        <v>1</v>
      </c>
      <c r="G219" s="4">
        <v>134</v>
      </c>
      <c r="H219" s="4">
        <v>10</v>
      </c>
      <c r="I219" s="7">
        <v>46143</v>
      </c>
      <c r="J219" s="7">
        <v>46151</v>
      </c>
      <c r="K219" s="4" t="s">
        <v>81</v>
      </c>
      <c r="L219" s="4">
        <f t="shared" si="3"/>
        <v>134</v>
      </c>
    </row>
    <row r="220" spans="1:12" x14ac:dyDescent="0.3">
      <c r="A220" s="9">
        <v>1219</v>
      </c>
      <c r="B220" s="9" t="s">
        <v>44</v>
      </c>
      <c r="C220" s="4" t="s">
        <v>26</v>
      </c>
      <c r="D220" s="4" t="s">
        <v>20</v>
      </c>
      <c r="E220" s="4" t="s">
        <v>21</v>
      </c>
      <c r="F220" s="4">
        <v>4</v>
      </c>
      <c r="G220" s="4">
        <v>117</v>
      </c>
      <c r="H220" s="4">
        <v>15</v>
      </c>
      <c r="I220" s="7">
        <v>46202</v>
      </c>
      <c r="J220" s="7">
        <v>46206</v>
      </c>
      <c r="K220" s="4" t="s">
        <v>49</v>
      </c>
      <c r="L220" s="4">
        <f t="shared" si="3"/>
        <v>468</v>
      </c>
    </row>
    <row r="221" spans="1:12" x14ac:dyDescent="0.3">
      <c r="A221" s="9">
        <v>1220</v>
      </c>
      <c r="B221" s="9" t="s">
        <v>18</v>
      </c>
      <c r="C221" s="4" t="s">
        <v>27</v>
      </c>
      <c r="D221" s="4" t="s">
        <v>24</v>
      </c>
      <c r="E221" s="4" t="s">
        <v>11</v>
      </c>
      <c r="F221" s="4">
        <v>2</v>
      </c>
      <c r="G221" s="4">
        <v>8861</v>
      </c>
      <c r="H221" s="4">
        <v>2</v>
      </c>
      <c r="I221" s="7">
        <v>46170</v>
      </c>
      <c r="J221" s="7">
        <v>46174</v>
      </c>
      <c r="K221" s="4" t="s">
        <v>80</v>
      </c>
      <c r="L221" s="4">
        <f t="shared" si="3"/>
        <v>17722</v>
      </c>
    </row>
    <row r="222" spans="1:12" x14ac:dyDescent="0.3">
      <c r="A222" s="9">
        <v>1221</v>
      </c>
      <c r="B222" s="9" t="s">
        <v>18</v>
      </c>
      <c r="C222" s="4" t="s">
        <v>31</v>
      </c>
      <c r="D222" s="4" t="s">
        <v>24</v>
      </c>
      <c r="E222" s="4" t="s">
        <v>11</v>
      </c>
      <c r="F222" s="4">
        <v>18</v>
      </c>
      <c r="G222" s="4">
        <v>2681</v>
      </c>
      <c r="H222" s="4">
        <v>10</v>
      </c>
      <c r="I222" s="7">
        <v>46122</v>
      </c>
      <c r="J222" s="7">
        <v>46125</v>
      </c>
      <c r="K222" s="4" t="s">
        <v>81</v>
      </c>
      <c r="L222" s="4">
        <f t="shared" si="3"/>
        <v>48258</v>
      </c>
    </row>
    <row r="223" spans="1:12" x14ac:dyDescent="0.3">
      <c r="A223" s="9">
        <v>1222</v>
      </c>
      <c r="B223" s="9" t="s">
        <v>30</v>
      </c>
      <c r="C223" s="4" t="s">
        <v>33</v>
      </c>
      <c r="D223" s="4" t="s">
        <v>24</v>
      </c>
      <c r="E223" s="4" t="s">
        <v>10</v>
      </c>
      <c r="F223" s="4">
        <v>9</v>
      </c>
      <c r="G223" s="4">
        <v>2712</v>
      </c>
      <c r="H223" s="4">
        <v>12</v>
      </c>
      <c r="I223" s="7">
        <v>46154</v>
      </c>
      <c r="J223" s="7">
        <v>46163</v>
      </c>
      <c r="K223" s="4" t="s">
        <v>78</v>
      </c>
      <c r="L223" s="4">
        <f t="shared" si="3"/>
        <v>24408</v>
      </c>
    </row>
    <row r="224" spans="1:12" x14ac:dyDescent="0.3">
      <c r="A224" s="9">
        <v>1223</v>
      </c>
      <c r="B224" s="9" t="s">
        <v>56</v>
      </c>
      <c r="C224" s="4" t="s">
        <v>23</v>
      </c>
      <c r="D224" s="4" t="s">
        <v>24</v>
      </c>
      <c r="E224" s="4" t="s">
        <v>10</v>
      </c>
      <c r="F224" s="4">
        <v>4</v>
      </c>
      <c r="G224" s="4">
        <v>2249</v>
      </c>
      <c r="H224" s="4">
        <v>7</v>
      </c>
      <c r="I224" s="7">
        <v>46077</v>
      </c>
      <c r="J224" s="7">
        <v>46084</v>
      </c>
      <c r="K224" s="4" t="s">
        <v>78</v>
      </c>
      <c r="L224" s="4">
        <f t="shared" si="3"/>
        <v>8996</v>
      </c>
    </row>
    <row r="225" spans="1:12" x14ac:dyDescent="0.3">
      <c r="A225" s="9">
        <v>1224</v>
      </c>
      <c r="B225" s="9" t="s">
        <v>30</v>
      </c>
      <c r="C225" s="4" t="s">
        <v>38</v>
      </c>
      <c r="D225" s="4" t="s">
        <v>34</v>
      </c>
      <c r="E225" s="4" t="s">
        <v>6</v>
      </c>
      <c r="F225" s="4">
        <v>16</v>
      </c>
      <c r="G225" s="4">
        <v>18378</v>
      </c>
      <c r="H225" s="4">
        <v>10</v>
      </c>
      <c r="I225" s="7">
        <v>46045</v>
      </c>
      <c r="J225" s="7">
        <v>46052</v>
      </c>
      <c r="K225" s="4" t="s">
        <v>80</v>
      </c>
      <c r="L225" s="4">
        <f t="shared" si="3"/>
        <v>294048</v>
      </c>
    </row>
    <row r="226" spans="1:12" x14ac:dyDescent="0.3">
      <c r="A226" s="9">
        <v>1225</v>
      </c>
      <c r="B226" s="9" t="s">
        <v>41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7">
        <v>46125</v>
      </c>
      <c r="J226" s="7">
        <v>46126</v>
      </c>
      <c r="K226" s="4" t="s">
        <v>79</v>
      </c>
      <c r="L226" s="4">
        <f t="shared" si="3"/>
        <v>516192</v>
      </c>
    </row>
    <row r="227" spans="1:12" x14ac:dyDescent="0.3">
      <c r="A227" s="9">
        <v>1226</v>
      </c>
      <c r="B227" s="9" t="s">
        <v>49</v>
      </c>
      <c r="C227" s="4" t="s">
        <v>31</v>
      </c>
      <c r="D227" s="4" t="s">
        <v>34</v>
      </c>
      <c r="E227" s="4" t="s">
        <v>40</v>
      </c>
      <c r="F227" s="4">
        <v>13</v>
      </c>
      <c r="G227" s="4">
        <v>21332</v>
      </c>
      <c r="H227" s="4">
        <v>0</v>
      </c>
      <c r="I227" s="7">
        <v>46044</v>
      </c>
      <c r="J227" s="7">
        <v>46048</v>
      </c>
      <c r="K227" s="4" t="s">
        <v>49</v>
      </c>
      <c r="L227" s="4">
        <f t="shared" si="3"/>
        <v>277316</v>
      </c>
    </row>
    <row r="228" spans="1:12" x14ac:dyDescent="0.3">
      <c r="A228" s="9">
        <v>1227</v>
      </c>
      <c r="B228" s="9" t="s">
        <v>55</v>
      </c>
      <c r="C228" s="4" t="s">
        <v>26</v>
      </c>
      <c r="D228" s="4" t="s">
        <v>34</v>
      </c>
      <c r="E228" s="4" t="s">
        <v>6</v>
      </c>
      <c r="F228" s="4">
        <v>16</v>
      </c>
      <c r="G228" s="4">
        <v>1321</v>
      </c>
      <c r="H228" s="4">
        <v>12</v>
      </c>
      <c r="I228" s="7">
        <v>46113</v>
      </c>
      <c r="J228" s="7">
        <v>46116</v>
      </c>
      <c r="K228" s="4" t="s">
        <v>78</v>
      </c>
      <c r="L228" s="4">
        <f t="shared" si="3"/>
        <v>21136</v>
      </c>
    </row>
    <row r="229" spans="1:12" x14ac:dyDescent="0.3">
      <c r="A229" s="9">
        <v>1228</v>
      </c>
      <c r="B229" s="9" t="s">
        <v>49</v>
      </c>
      <c r="C229" s="4" t="s">
        <v>27</v>
      </c>
      <c r="D229" s="4" t="s">
        <v>34</v>
      </c>
      <c r="E229" s="4" t="s">
        <v>6</v>
      </c>
      <c r="F229" s="4">
        <v>16</v>
      </c>
      <c r="G229" s="4">
        <v>17477</v>
      </c>
      <c r="H229" s="4">
        <v>10</v>
      </c>
      <c r="I229" s="7">
        <v>46041</v>
      </c>
      <c r="J229" s="7">
        <v>46043</v>
      </c>
      <c r="K229" s="4" t="s">
        <v>80</v>
      </c>
      <c r="L229" s="4">
        <f t="shared" si="3"/>
        <v>279632</v>
      </c>
    </row>
    <row r="230" spans="1:12" x14ac:dyDescent="0.3">
      <c r="A230" s="9">
        <v>1229</v>
      </c>
      <c r="B230" s="9" t="s">
        <v>54</v>
      </c>
      <c r="C230" s="4" t="s">
        <v>19</v>
      </c>
      <c r="D230" s="4" t="s">
        <v>24</v>
      </c>
      <c r="E230" s="4" t="s">
        <v>11</v>
      </c>
      <c r="F230" s="4">
        <v>14</v>
      </c>
      <c r="G230" s="4">
        <v>5859</v>
      </c>
      <c r="H230" s="4">
        <v>12</v>
      </c>
      <c r="I230" s="7">
        <v>46027</v>
      </c>
      <c r="J230" s="7">
        <v>46036</v>
      </c>
      <c r="K230" s="4" t="s">
        <v>79</v>
      </c>
      <c r="L230" s="4">
        <f t="shared" si="3"/>
        <v>82026</v>
      </c>
    </row>
    <row r="231" spans="1:12" x14ac:dyDescent="0.3">
      <c r="A231" s="9">
        <v>1230</v>
      </c>
      <c r="B231" s="9" t="s">
        <v>56</v>
      </c>
      <c r="C231" s="4" t="s">
        <v>33</v>
      </c>
      <c r="D231" s="4" t="s">
        <v>34</v>
      </c>
      <c r="E231" s="4" t="s">
        <v>9</v>
      </c>
      <c r="F231" s="4">
        <v>7</v>
      </c>
      <c r="G231" s="4">
        <v>2932</v>
      </c>
      <c r="H231" s="4">
        <v>7</v>
      </c>
      <c r="I231" s="7">
        <v>46050</v>
      </c>
      <c r="J231" s="7">
        <v>46059</v>
      </c>
      <c r="K231" s="4" t="s">
        <v>80</v>
      </c>
      <c r="L231" s="4">
        <f t="shared" si="3"/>
        <v>20524</v>
      </c>
    </row>
    <row r="232" spans="1:12" x14ac:dyDescent="0.3">
      <c r="A232" s="9">
        <v>1231</v>
      </c>
      <c r="B232" s="9" t="s">
        <v>46</v>
      </c>
      <c r="C232" s="4" t="s">
        <v>38</v>
      </c>
      <c r="D232" s="4" t="s">
        <v>24</v>
      </c>
      <c r="E232" s="4" t="s">
        <v>7</v>
      </c>
      <c r="F232" s="4">
        <v>13</v>
      </c>
      <c r="G232" s="4">
        <v>10297</v>
      </c>
      <c r="H232" s="4">
        <v>12</v>
      </c>
      <c r="I232" s="7">
        <v>46178</v>
      </c>
      <c r="J232" s="7">
        <v>46186</v>
      </c>
      <c r="K232" s="4" t="s">
        <v>79</v>
      </c>
      <c r="L232" s="4">
        <f t="shared" si="3"/>
        <v>133861</v>
      </c>
    </row>
    <row r="233" spans="1:12" x14ac:dyDescent="0.3">
      <c r="A233" s="9">
        <v>1232</v>
      </c>
      <c r="B233" s="9" t="s">
        <v>25</v>
      </c>
      <c r="C233" s="4" t="s">
        <v>19</v>
      </c>
      <c r="D233" s="4" t="s">
        <v>34</v>
      </c>
      <c r="E233" s="4" t="s">
        <v>9</v>
      </c>
      <c r="F233" s="4">
        <v>3</v>
      </c>
      <c r="G233" s="4">
        <v>13272</v>
      </c>
      <c r="H233" s="4">
        <v>2</v>
      </c>
      <c r="I233" s="7">
        <v>46060</v>
      </c>
      <c r="J233" s="7">
        <v>46065</v>
      </c>
      <c r="K233" s="4" t="s">
        <v>78</v>
      </c>
      <c r="L233" s="4">
        <f t="shared" si="3"/>
        <v>39816</v>
      </c>
    </row>
    <row r="234" spans="1:12" x14ac:dyDescent="0.3">
      <c r="A234" s="9">
        <v>1233</v>
      </c>
      <c r="B234" s="9" t="s">
        <v>55</v>
      </c>
      <c r="C234" s="4" t="s">
        <v>26</v>
      </c>
      <c r="D234" s="4" t="s">
        <v>24</v>
      </c>
      <c r="E234" s="4" t="s">
        <v>7</v>
      </c>
      <c r="F234" s="4">
        <v>20</v>
      </c>
      <c r="G234" s="4">
        <v>13941</v>
      </c>
      <c r="H234" s="4">
        <v>15</v>
      </c>
      <c r="I234" s="7">
        <v>46198</v>
      </c>
      <c r="J234" s="7">
        <v>46202</v>
      </c>
      <c r="K234" s="4" t="s">
        <v>80</v>
      </c>
      <c r="L234" s="4">
        <f t="shared" si="3"/>
        <v>278820</v>
      </c>
    </row>
    <row r="235" spans="1:12" x14ac:dyDescent="0.3">
      <c r="A235" s="9">
        <v>1234</v>
      </c>
      <c r="B235" s="9" t="s">
        <v>18</v>
      </c>
      <c r="C235" s="4" t="s">
        <v>27</v>
      </c>
      <c r="D235" s="4" t="s">
        <v>24</v>
      </c>
      <c r="E235" s="4" t="s">
        <v>8</v>
      </c>
      <c r="F235" s="4">
        <v>1</v>
      </c>
      <c r="G235" s="4">
        <v>14320</v>
      </c>
      <c r="H235" s="4">
        <v>12</v>
      </c>
      <c r="I235" s="7">
        <v>46114</v>
      </c>
      <c r="J235" s="7">
        <v>46121</v>
      </c>
      <c r="K235" s="4" t="s">
        <v>81</v>
      </c>
      <c r="L235" s="4">
        <f t="shared" si="3"/>
        <v>14320</v>
      </c>
    </row>
    <row r="236" spans="1:12" x14ac:dyDescent="0.3">
      <c r="A236" s="9">
        <v>1235</v>
      </c>
      <c r="B236" s="9" t="s">
        <v>54</v>
      </c>
      <c r="C236" s="4" t="s">
        <v>27</v>
      </c>
      <c r="D236" s="4" t="s">
        <v>20</v>
      </c>
      <c r="E236" s="4" t="s">
        <v>48</v>
      </c>
      <c r="F236" s="4">
        <v>15</v>
      </c>
      <c r="G236" s="4">
        <v>267</v>
      </c>
      <c r="H236" s="4">
        <v>15</v>
      </c>
      <c r="I236" s="7">
        <v>46172</v>
      </c>
      <c r="J236" s="7">
        <v>46177</v>
      </c>
      <c r="K236" s="4" t="s">
        <v>49</v>
      </c>
      <c r="L236" s="4">
        <f t="shared" si="3"/>
        <v>4005</v>
      </c>
    </row>
    <row r="237" spans="1:12" x14ac:dyDescent="0.3">
      <c r="A237" s="9">
        <v>1236</v>
      </c>
      <c r="B237" s="9" t="s">
        <v>52</v>
      </c>
      <c r="C237" s="4" t="s">
        <v>42</v>
      </c>
      <c r="D237" s="4" t="s">
        <v>20</v>
      </c>
      <c r="E237" s="4" t="s">
        <v>37</v>
      </c>
      <c r="F237" s="4">
        <v>12</v>
      </c>
      <c r="G237" s="4">
        <v>189</v>
      </c>
      <c r="H237" s="4">
        <v>7</v>
      </c>
      <c r="I237" s="7">
        <v>46164</v>
      </c>
      <c r="J237" s="7">
        <v>46169</v>
      </c>
      <c r="K237" s="4" t="s">
        <v>49</v>
      </c>
      <c r="L237" s="4">
        <f t="shared" si="3"/>
        <v>2268</v>
      </c>
    </row>
    <row r="238" spans="1:12" x14ac:dyDescent="0.3">
      <c r="A238" s="9">
        <v>1237</v>
      </c>
      <c r="B238" s="9" t="s">
        <v>44</v>
      </c>
      <c r="C238" s="4" t="s">
        <v>38</v>
      </c>
      <c r="D238" s="4" t="s">
        <v>24</v>
      </c>
      <c r="E238" s="4" t="s">
        <v>11</v>
      </c>
      <c r="F238" s="4">
        <v>8</v>
      </c>
      <c r="G238" s="4">
        <v>12123</v>
      </c>
      <c r="H238" s="4">
        <v>2</v>
      </c>
      <c r="I238" s="7">
        <v>46137</v>
      </c>
      <c r="J238" s="7">
        <v>46145</v>
      </c>
      <c r="K238" s="4" t="s">
        <v>78</v>
      </c>
      <c r="L238" s="4">
        <f t="shared" si="3"/>
        <v>96984</v>
      </c>
    </row>
    <row r="239" spans="1:12" x14ac:dyDescent="0.3">
      <c r="A239" s="9">
        <v>1238</v>
      </c>
      <c r="B239" s="9" t="s">
        <v>30</v>
      </c>
      <c r="C239" s="4" t="s">
        <v>31</v>
      </c>
      <c r="D239" s="4" t="s">
        <v>20</v>
      </c>
      <c r="E239" s="4" t="s">
        <v>21</v>
      </c>
      <c r="F239" s="4">
        <v>6</v>
      </c>
      <c r="G239" s="4">
        <v>180</v>
      </c>
      <c r="H239" s="4">
        <v>12</v>
      </c>
      <c r="I239" s="7">
        <v>46096</v>
      </c>
      <c r="J239" s="7">
        <v>46097</v>
      </c>
      <c r="K239" s="4" t="s">
        <v>81</v>
      </c>
      <c r="L239" s="4">
        <f t="shared" si="3"/>
        <v>1080</v>
      </c>
    </row>
    <row r="240" spans="1:12" x14ac:dyDescent="0.3">
      <c r="A240" s="9">
        <v>1239</v>
      </c>
      <c r="B240" s="9" t="s">
        <v>46</v>
      </c>
      <c r="C240" s="4" t="s">
        <v>23</v>
      </c>
      <c r="D240" s="4" t="s">
        <v>24</v>
      </c>
      <c r="E240" s="4" t="s">
        <v>11</v>
      </c>
      <c r="F240" s="4">
        <v>2</v>
      </c>
      <c r="G240" s="4">
        <v>12330</v>
      </c>
      <c r="H240" s="4">
        <v>12</v>
      </c>
      <c r="I240" s="7">
        <v>46122</v>
      </c>
      <c r="J240" s="7">
        <v>46125</v>
      </c>
      <c r="K240" s="4" t="s">
        <v>78</v>
      </c>
      <c r="L240" s="4">
        <f t="shared" si="3"/>
        <v>24660</v>
      </c>
    </row>
    <row r="241" spans="1:12" x14ac:dyDescent="0.3">
      <c r="A241" s="9">
        <v>1240</v>
      </c>
      <c r="B241" s="9" t="s">
        <v>53</v>
      </c>
      <c r="C241" s="4" t="s">
        <v>33</v>
      </c>
      <c r="D241" s="4" t="s">
        <v>24</v>
      </c>
      <c r="E241" s="4" t="s">
        <v>10</v>
      </c>
      <c r="F241" s="4">
        <v>2</v>
      </c>
      <c r="G241" s="4">
        <v>5475</v>
      </c>
      <c r="H241" s="4">
        <v>2</v>
      </c>
      <c r="I241" s="7">
        <v>46142</v>
      </c>
      <c r="J241" s="7">
        <v>46146</v>
      </c>
      <c r="K241" s="4" t="s">
        <v>49</v>
      </c>
      <c r="L241" s="4">
        <f t="shared" si="3"/>
        <v>10950</v>
      </c>
    </row>
    <row r="242" spans="1:12" x14ac:dyDescent="0.3">
      <c r="A242" s="9">
        <v>1241</v>
      </c>
      <c r="B242" s="9" t="s">
        <v>44</v>
      </c>
      <c r="C242" s="4" t="s">
        <v>31</v>
      </c>
      <c r="D242" s="4" t="s">
        <v>24</v>
      </c>
      <c r="E242" s="4" t="s">
        <v>43</v>
      </c>
      <c r="F242" s="4">
        <v>1</v>
      </c>
      <c r="G242" s="4">
        <v>12537</v>
      </c>
      <c r="H242" s="4">
        <v>0</v>
      </c>
      <c r="I242" s="7">
        <v>46119</v>
      </c>
      <c r="J242" s="7">
        <v>46122</v>
      </c>
      <c r="K242" s="4" t="s">
        <v>78</v>
      </c>
      <c r="L242" s="4">
        <f t="shared" si="3"/>
        <v>12537</v>
      </c>
    </row>
    <row r="243" spans="1:12" x14ac:dyDescent="0.3">
      <c r="A243" s="9">
        <v>1242</v>
      </c>
      <c r="B243" s="9" t="s">
        <v>52</v>
      </c>
      <c r="C243" s="4" t="s">
        <v>38</v>
      </c>
      <c r="D243" s="4" t="s">
        <v>20</v>
      </c>
      <c r="E243" s="4" t="s">
        <v>48</v>
      </c>
      <c r="F243" s="4">
        <v>7</v>
      </c>
      <c r="G243" s="4">
        <v>168</v>
      </c>
      <c r="H243" s="4">
        <v>10</v>
      </c>
      <c r="I243" s="7">
        <v>46191</v>
      </c>
      <c r="J243" s="7">
        <v>46196</v>
      </c>
      <c r="K243" s="4" t="s">
        <v>81</v>
      </c>
      <c r="L243" s="4">
        <f t="shared" si="3"/>
        <v>1176</v>
      </c>
    </row>
    <row r="244" spans="1:12" x14ac:dyDescent="0.3">
      <c r="A244" s="9">
        <v>1243</v>
      </c>
      <c r="B244" s="9" t="s">
        <v>30</v>
      </c>
      <c r="C244" s="4" t="s">
        <v>31</v>
      </c>
      <c r="D244" s="4" t="s">
        <v>34</v>
      </c>
      <c r="E244" s="4" t="s">
        <v>40</v>
      </c>
      <c r="F244" s="4">
        <v>5</v>
      </c>
      <c r="G244" s="4">
        <v>11570</v>
      </c>
      <c r="H244" s="4">
        <v>15</v>
      </c>
      <c r="I244" s="7">
        <v>46069</v>
      </c>
      <c r="J244" s="7">
        <v>46077</v>
      </c>
      <c r="K244" s="4" t="s">
        <v>80</v>
      </c>
      <c r="L244" s="4">
        <f t="shared" si="3"/>
        <v>57850</v>
      </c>
    </row>
    <row r="245" spans="1:12" x14ac:dyDescent="0.3">
      <c r="A245" s="9">
        <v>1244</v>
      </c>
      <c r="B245" s="9" t="s">
        <v>54</v>
      </c>
      <c r="C245" s="4" t="s">
        <v>38</v>
      </c>
      <c r="D245" s="4" t="s">
        <v>24</v>
      </c>
      <c r="E245" s="4" t="s">
        <v>8</v>
      </c>
      <c r="F245" s="4">
        <v>10</v>
      </c>
      <c r="G245" s="4">
        <v>6339</v>
      </c>
      <c r="H245" s="4">
        <v>12</v>
      </c>
      <c r="I245" s="7">
        <v>46200</v>
      </c>
      <c r="J245" s="7">
        <v>46205</v>
      </c>
      <c r="K245" s="4" t="s">
        <v>78</v>
      </c>
      <c r="L245" s="4">
        <f t="shared" si="3"/>
        <v>63390</v>
      </c>
    </row>
    <row r="246" spans="1:12" x14ac:dyDescent="0.3">
      <c r="A246" s="9">
        <v>1245</v>
      </c>
      <c r="B246" s="9" t="s">
        <v>53</v>
      </c>
      <c r="C246" s="4" t="s">
        <v>42</v>
      </c>
      <c r="D246" s="4" t="s">
        <v>34</v>
      </c>
      <c r="E246" s="4" t="s">
        <v>40</v>
      </c>
      <c r="F246" s="4">
        <v>19</v>
      </c>
      <c r="G246" s="4">
        <v>69029</v>
      </c>
      <c r="H246" s="4">
        <v>7</v>
      </c>
      <c r="I246" s="7">
        <v>46176</v>
      </c>
      <c r="J246" s="7">
        <v>46179</v>
      </c>
      <c r="K246" s="4" t="s">
        <v>49</v>
      </c>
      <c r="L246" s="4">
        <f t="shared" si="3"/>
        <v>1311551</v>
      </c>
    </row>
    <row r="247" spans="1:12" x14ac:dyDescent="0.3">
      <c r="A247" s="9">
        <v>1246</v>
      </c>
      <c r="B247" s="9" t="s">
        <v>53</v>
      </c>
      <c r="C247" s="4" t="s">
        <v>26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7">
        <v>46039</v>
      </c>
      <c r="J247" s="7">
        <v>46045</v>
      </c>
      <c r="K247" s="4" t="s">
        <v>81</v>
      </c>
      <c r="L247" s="4">
        <f t="shared" si="3"/>
        <v>23725</v>
      </c>
    </row>
    <row r="248" spans="1:12" x14ac:dyDescent="0.3">
      <c r="A248" s="9">
        <v>1247</v>
      </c>
      <c r="B248" s="9" t="s">
        <v>28</v>
      </c>
      <c r="C248" s="4" t="s">
        <v>19</v>
      </c>
      <c r="D248" s="4" t="s">
        <v>20</v>
      </c>
      <c r="E248" s="4" t="s">
        <v>48</v>
      </c>
      <c r="F248" s="4">
        <v>10</v>
      </c>
      <c r="G248" s="4">
        <v>336</v>
      </c>
      <c r="H248" s="4">
        <v>7</v>
      </c>
      <c r="I248" s="7">
        <v>46173</v>
      </c>
      <c r="J248" s="7">
        <v>46175</v>
      </c>
      <c r="K248" s="4" t="s">
        <v>79</v>
      </c>
      <c r="L248" s="4">
        <f t="shared" si="3"/>
        <v>3360</v>
      </c>
    </row>
    <row r="249" spans="1:12" x14ac:dyDescent="0.3">
      <c r="A249" s="9">
        <v>1248</v>
      </c>
      <c r="B249" s="9" t="s">
        <v>29</v>
      </c>
      <c r="C249" s="4" t="s">
        <v>42</v>
      </c>
      <c r="D249" s="4" t="s">
        <v>20</v>
      </c>
      <c r="E249" s="4" t="s">
        <v>37</v>
      </c>
      <c r="F249" s="4">
        <v>5</v>
      </c>
      <c r="G249" s="4">
        <v>398</v>
      </c>
      <c r="H249" s="4">
        <v>7</v>
      </c>
      <c r="I249" s="7">
        <v>46161</v>
      </c>
      <c r="J249" s="7">
        <v>46171</v>
      </c>
      <c r="K249" s="4" t="s">
        <v>49</v>
      </c>
      <c r="L249" s="4">
        <f t="shared" si="3"/>
        <v>1990</v>
      </c>
    </row>
    <row r="250" spans="1:12" x14ac:dyDescent="0.3">
      <c r="A250" s="9">
        <v>1249</v>
      </c>
      <c r="B250" s="9" t="s">
        <v>22</v>
      </c>
      <c r="C250" s="4" t="s">
        <v>27</v>
      </c>
      <c r="D250" s="4" t="s">
        <v>34</v>
      </c>
      <c r="E250" s="4" t="s">
        <v>40</v>
      </c>
      <c r="F250" s="4">
        <v>18</v>
      </c>
      <c r="G250" s="4">
        <v>6360</v>
      </c>
      <c r="H250" s="4">
        <v>12</v>
      </c>
      <c r="I250" s="7">
        <v>46163</v>
      </c>
      <c r="J250" s="7">
        <v>46165</v>
      </c>
      <c r="K250" s="4" t="s">
        <v>79</v>
      </c>
      <c r="L250" s="4">
        <f t="shared" si="3"/>
        <v>114480</v>
      </c>
    </row>
    <row r="251" spans="1:12" x14ac:dyDescent="0.3">
      <c r="A251" s="9">
        <v>1250</v>
      </c>
      <c r="B251" s="9" t="s">
        <v>18</v>
      </c>
      <c r="C251" s="4" t="s">
        <v>23</v>
      </c>
      <c r="D251" s="4" t="s">
        <v>34</v>
      </c>
      <c r="E251" s="4" t="s">
        <v>6</v>
      </c>
      <c r="F251" s="4">
        <v>2</v>
      </c>
      <c r="G251" s="4">
        <v>65953</v>
      </c>
      <c r="H251" s="4">
        <v>7</v>
      </c>
      <c r="I251" s="7">
        <v>46051</v>
      </c>
      <c r="J251" s="7">
        <v>46053</v>
      </c>
      <c r="K251" s="4" t="s">
        <v>49</v>
      </c>
      <c r="L251" s="4">
        <f t="shared" si="3"/>
        <v>131906</v>
      </c>
    </row>
    <row r="252" spans="1:12" x14ac:dyDescent="0.3">
      <c r="A252" s="9">
        <v>1251</v>
      </c>
      <c r="B252" s="9" t="s">
        <v>53</v>
      </c>
      <c r="C252" s="4" t="s">
        <v>38</v>
      </c>
      <c r="D252" s="4" t="s">
        <v>34</v>
      </c>
      <c r="E252" s="4" t="s">
        <v>12</v>
      </c>
      <c r="F252" s="4">
        <v>19</v>
      </c>
      <c r="G252" s="4">
        <v>48548</v>
      </c>
      <c r="H252" s="4">
        <v>0</v>
      </c>
      <c r="I252" s="7">
        <v>46112</v>
      </c>
      <c r="J252" s="7">
        <v>46121</v>
      </c>
      <c r="K252" s="4" t="s">
        <v>81</v>
      </c>
      <c r="L252" s="4">
        <f t="shared" si="3"/>
        <v>922412</v>
      </c>
    </row>
    <row r="253" spans="1:12" x14ac:dyDescent="0.3">
      <c r="A253" s="9">
        <v>1252</v>
      </c>
      <c r="B253" s="9" t="s">
        <v>45</v>
      </c>
      <c r="C253" s="4" t="s">
        <v>27</v>
      </c>
      <c r="D253" s="4" t="s">
        <v>20</v>
      </c>
      <c r="E253" s="4" t="s">
        <v>36</v>
      </c>
      <c r="F253" s="4">
        <v>15</v>
      </c>
      <c r="G253" s="4">
        <v>257</v>
      </c>
      <c r="H253" s="4">
        <v>5</v>
      </c>
      <c r="I253" s="7">
        <v>46166</v>
      </c>
      <c r="J253" s="7">
        <v>46173</v>
      </c>
      <c r="K253" s="4" t="s">
        <v>79</v>
      </c>
      <c r="L253" s="4">
        <f t="shared" si="3"/>
        <v>3855</v>
      </c>
    </row>
    <row r="254" spans="1:12" x14ac:dyDescent="0.3">
      <c r="A254" s="9">
        <v>1253</v>
      </c>
      <c r="B254" s="9" t="s">
        <v>25</v>
      </c>
      <c r="C254" s="4" t="s">
        <v>31</v>
      </c>
      <c r="D254" s="4" t="s">
        <v>34</v>
      </c>
      <c r="E254" s="4" t="s">
        <v>6</v>
      </c>
      <c r="F254" s="4">
        <v>20</v>
      </c>
      <c r="G254" s="4">
        <v>47880</v>
      </c>
      <c r="H254" s="4">
        <v>7</v>
      </c>
      <c r="I254" s="7">
        <v>46074</v>
      </c>
      <c r="J254" s="7">
        <v>46075</v>
      </c>
      <c r="K254" s="4" t="s">
        <v>49</v>
      </c>
      <c r="L254" s="4">
        <f t="shared" si="3"/>
        <v>957600</v>
      </c>
    </row>
    <row r="255" spans="1:12" x14ac:dyDescent="0.3">
      <c r="A255" s="9">
        <v>1254</v>
      </c>
      <c r="B255" s="9" t="s">
        <v>50</v>
      </c>
      <c r="C255" s="4" t="s">
        <v>26</v>
      </c>
      <c r="D255" s="4" t="s">
        <v>20</v>
      </c>
      <c r="E255" s="4" t="s">
        <v>48</v>
      </c>
      <c r="F255" s="4">
        <v>18</v>
      </c>
      <c r="G255" s="4">
        <v>447</v>
      </c>
      <c r="H255" s="4">
        <v>15</v>
      </c>
      <c r="I255" s="7">
        <v>46141</v>
      </c>
      <c r="J255" s="7">
        <v>46149</v>
      </c>
      <c r="K255" s="4" t="s">
        <v>80</v>
      </c>
      <c r="L255" s="4">
        <f t="shared" si="3"/>
        <v>8046</v>
      </c>
    </row>
    <row r="256" spans="1:12" x14ac:dyDescent="0.3">
      <c r="A256" s="9">
        <v>1255</v>
      </c>
      <c r="B256" s="9" t="s">
        <v>32</v>
      </c>
      <c r="C256" s="4" t="s">
        <v>23</v>
      </c>
      <c r="D256" s="4" t="s">
        <v>24</v>
      </c>
      <c r="E256" s="4" t="s">
        <v>7</v>
      </c>
      <c r="F256" s="4">
        <v>1</v>
      </c>
      <c r="G256" s="4">
        <v>2240</v>
      </c>
      <c r="H256" s="4">
        <v>5</v>
      </c>
      <c r="I256" s="7">
        <v>46091</v>
      </c>
      <c r="J256" s="7">
        <v>46095</v>
      </c>
      <c r="K256" s="4" t="s">
        <v>79</v>
      </c>
      <c r="L256" s="4">
        <f t="shared" si="3"/>
        <v>2240</v>
      </c>
    </row>
    <row r="257" spans="1:12" x14ac:dyDescent="0.3">
      <c r="A257" s="9">
        <v>1256</v>
      </c>
      <c r="B257" s="9" t="s">
        <v>46</v>
      </c>
      <c r="C257" s="4" t="s">
        <v>31</v>
      </c>
      <c r="D257" s="4" t="s">
        <v>20</v>
      </c>
      <c r="E257" s="4" t="s">
        <v>48</v>
      </c>
      <c r="F257" s="4">
        <v>19</v>
      </c>
      <c r="G257" s="4">
        <v>406</v>
      </c>
      <c r="H257" s="4">
        <v>7</v>
      </c>
      <c r="I257" s="7">
        <v>46057</v>
      </c>
      <c r="J257" s="7">
        <v>46061</v>
      </c>
      <c r="K257" s="4" t="s">
        <v>78</v>
      </c>
      <c r="L257" s="4">
        <f t="shared" si="3"/>
        <v>7714</v>
      </c>
    </row>
    <row r="258" spans="1:12" x14ac:dyDescent="0.3">
      <c r="A258" s="9">
        <v>1257</v>
      </c>
      <c r="B258" s="9" t="s">
        <v>52</v>
      </c>
      <c r="C258" s="4" t="s">
        <v>27</v>
      </c>
      <c r="D258" s="4" t="s">
        <v>34</v>
      </c>
      <c r="E258" s="4" t="s">
        <v>12</v>
      </c>
      <c r="F258" s="4">
        <v>7</v>
      </c>
      <c r="G258" s="4">
        <v>53243</v>
      </c>
      <c r="H258" s="4">
        <v>12</v>
      </c>
      <c r="I258" s="7">
        <v>46161</v>
      </c>
      <c r="J258" s="7">
        <v>46171</v>
      </c>
      <c r="K258" s="4" t="s">
        <v>78</v>
      </c>
      <c r="L258" s="4">
        <f t="shared" si="3"/>
        <v>372701</v>
      </c>
    </row>
    <row r="259" spans="1:12" x14ac:dyDescent="0.3">
      <c r="A259" s="9">
        <v>1258</v>
      </c>
      <c r="B259" s="9" t="s">
        <v>32</v>
      </c>
      <c r="C259" s="4" t="s">
        <v>31</v>
      </c>
      <c r="D259" s="4" t="s">
        <v>34</v>
      </c>
      <c r="E259" s="4" t="s">
        <v>9</v>
      </c>
      <c r="F259" s="4">
        <v>1</v>
      </c>
      <c r="G259" s="4">
        <v>10600</v>
      </c>
      <c r="H259" s="4">
        <v>5</v>
      </c>
      <c r="I259" s="7">
        <v>46137</v>
      </c>
      <c r="J259" s="7">
        <v>46138</v>
      </c>
      <c r="K259" s="4" t="s">
        <v>49</v>
      </c>
      <c r="L259" s="4">
        <f t="shared" ref="L259:L322" si="4">G259*F259</f>
        <v>10600</v>
      </c>
    </row>
    <row r="260" spans="1:12" x14ac:dyDescent="0.3">
      <c r="A260" s="9">
        <v>1259</v>
      </c>
      <c r="B260" s="9" t="s">
        <v>41</v>
      </c>
      <c r="C260" s="4" t="s">
        <v>26</v>
      </c>
      <c r="D260" s="4" t="s">
        <v>34</v>
      </c>
      <c r="E260" s="4" t="s">
        <v>6</v>
      </c>
      <c r="F260" s="4">
        <v>10</v>
      </c>
      <c r="G260" s="4">
        <v>38771</v>
      </c>
      <c r="H260" s="4">
        <v>15</v>
      </c>
      <c r="I260" s="7">
        <v>46172</v>
      </c>
      <c r="J260" s="7">
        <v>46182</v>
      </c>
      <c r="K260" s="4" t="s">
        <v>78</v>
      </c>
      <c r="L260" s="4">
        <f t="shared" si="4"/>
        <v>387710</v>
      </c>
    </row>
    <row r="261" spans="1:12" x14ac:dyDescent="0.3">
      <c r="A261" s="9">
        <v>1260</v>
      </c>
      <c r="B261" s="9" t="s">
        <v>52</v>
      </c>
      <c r="C261" s="4" t="s">
        <v>38</v>
      </c>
      <c r="D261" s="4" t="s">
        <v>34</v>
      </c>
      <c r="E261" s="4" t="s">
        <v>40</v>
      </c>
      <c r="F261" s="4">
        <v>19</v>
      </c>
      <c r="G261" s="4">
        <v>54981</v>
      </c>
      <c r="H261" s="4">
        <v>10</v>
      </c>
      <c r="I261" s="7">
        <v>46040</v>
      </c>
      <c r="J261" s="7">
        <v>46045</v>
      </c>
      <c r="K261" s="4" t="s">
        <v>49</v>
      </c>
      <c r="L261" s="4">
        <f t="shared" si="4"/>
        <v>1044639</v>
      </c>
    </row>
    <row r="262" spans="1:12" x14ac:dyDescent="0.3">
      <c r="A262" s="9">
        <v>1261</v>
      </c>
      <c r="B262" s="9" t="s">
        <v>39</v>
      </c>
      <c r="C262" s="4" t="s">
        <v>23</v>
      </c>
      <c r="D262" s="4" t="s">
        <v>20</v>
      </c>
      <c r="E262" s="4" t="s">
        <v>48</v>
      </c>
      <c r="F262" s="4">
        <v>20</v>
      </c>
      <c r="G262" s="4">
        <v>162</v>
      </c>
      <c r="H262" s="4">
        <v>7</v>
      </c>
      <c r="I262" s="7">
        <v>46119</v>
      </c>
      <c r="J262" s="7">
        <v>46120</v>
      </c>
      <c r="K262" s="4" t="s">
        <v>81</v>
      </c>
      <c r="L262" s="4">
        <f t="shared" si="4"/>
        <v>3240</v>
      </c>
    </row>
    <row r="263" spans="1:12" x14ac:dyDescent="0.3">
      <c r="A263" s="9">
        <v>1262</v>
      </c>
      <c r="B263" s="9" t="s">
        <v>22</v>
      </c>
      <c r="C263" s="4" t="s">
        <v>26</v>
      </c>
      <c r="D263" s="4" t="s">
        <v>24</v>
      </c>
      <c r="E263" s="4" t="s">
        <v>8</v>
      </c>
      <c r="F263" s="4">
        <v>9</v>
      </c>
      <c r="G263" s="4">
        <v>2231</v>
      </c>
      <c r="H263" s="4">
        <v>15</v>
      </c>
      <c r="I263" s="7">
        <v>46174</v>
      </c>
      <c r="J263" s="7">
        <v>46183</v>
      </c>
      <c r="K263" s="4" t="s">
        <v>78</v>
      </c>
      <c r="L263" s="4">
        <f t="shared" si="4"/>
        <v>20079</v>
      </c>
    </row>
    <row r="264" spans="1:12" x14ac:dyDescent="0.3">
      <c r="A264" s="9">
        <v>1263</v>
      </c>
      <c r="B264" s="9" t="s">
        <v>49</v>
      </c>
      <c r="C264" s="4" t="s">
        <v>38</v>
      </c>
      <c r="D264" s="4" t="s">
        <v>24</v>
      </c>
      <c r="E264" s="4" t="s">
        <v>8</v>
      </c>
      <c r="F264" s="4">
        <v>10</v>
      </c>
      <c r="G264" s="4">
        <v>1505</v>
      </c>
      <c r="H264" s="4">
        <v>0</v>
      </c>
      <c r="I264" s="7">
        <v>46130</v>
      </c>
      <c r="J264" s="7">
        <v>46138</v>
      </c>
      <c r="K264" s="4" t="s">
        <v>81</v>
      </c>
      <c r="L264" s="4">
        <f t="shared" si="4"/>
        <v>15050</v>
      </c>
    </row>
    <row r="265" spans="1:12" x14ac:dyDescent="0.3">
      <c r="A265" s="9">
        <v>1264</v>
      </c>
      <c r="B265" s="9" t="s">
        <v>18</v>
      </c>
      <c r="C265" s="4" t="s">
        <v>26</v>
      </c>
      <c r="D265" s="4" t="s">
        <v>24</v>
      </c>
      <c r="E265" s="4" t="s">
        <v>8</v>
      </c>
      <c r="F265" s="4">
        <v>15</v>
      </c>
      <c r="G265" s="4">
        <v>6365</v>
      </c>
      <c r="H265" s="4">
        <v>10</v>
      </c>
      <c r="I265" s="7">
        <v>46200</v>
      </c>
      <c r="J265" s="7">
        <v>46206</v>
      </c>
      <c r="K265" s="4" t="s">
        <v>79</v>
      </c>
      <c r="L265" s="4">
        <f t="shared" si="4"/>
        <v>95475</v>
      </c>
    </row>
    <row r="266" spans="1:12" x14ac:dyDescent="0.3">
      <c r="A266" s="9">
        <v>1265</v>
      </c>
      <c r="B266" s="9" t="s">
        <v>55</v>
      </c>
      <c r="C266" s="4" t="s">
        <v>26</v>
      </c>
      <c r="D266" s="4" t="s">
        <v>24</v>
      </c>
      <c r="E266" s="4" t="s">
        <v>7</v>
      </c>
      <c r="F266" s="4">
        <v>1</v>
      </c>
      <c r="G266" s="4">
        <v>1052</v>
      </c>
      <c r="H266" s="4">
        <v>7</v>
      </c>
      <c r="I266" s="7">
        <v>46117</v>
      </c>
      <c r="J266" s="7">
        <v>46127</v>
      </c>
      <c r="K266" s="4" t="s">
        <v>81</v>
      </c>
      <c r="L266" s="4">
        <f t="shared" si="4"/>
        <v>1052</v>
      </c>
    </row>
    <row r="267" spans="1:12" x14ac:dyDescent="0.3">
      <c r="A267" s="9">
        <v>1266</v>
      </c>
      <c r="B267" s="9" t="s">
        <v>49</v>
      </c>
      <c r="C267" s="4" t="s">
        <v>33</v>
      </c>
      <c r="D267" s="4" t="s">
        <v>20</v>
      </c>
      <c r="E267" s="4" t="s">
        <v>21</v>
      </c>
      <c r="F267" s="4">
        <v>17</v>
      </c>
      <c r="G267" s="4">
        <v>365</v>
      </c>
      <c r="H267" s="4">
        <v>2</v>
      </c>
      <c r="I267" s="7">
        <v>46096</v>
      </c>
      <c r="J267" s="7">
        <v>46104</v>
      </c>
      <c r="K267" s="4" t="s">
        <v>81</v>
      </c>
      <c r="L267" s="4">
        <f t="shared" si="4"/>
        <v>6205</v>
      </c>
    </row>
    <row r="268" spans="1:12" x14ac:dyDescent="0.3">
      <c r="A268" s="9">
        <v>1267</v>
      </c>
      <c r="B268" s="9" t="s">
        <v>29</v>
      </c>
      <c r="C268" s="4" t="s">
        <v>38</v>
      </c>
      <c r="D268" s="4" t="s">
        <v>20</v>
      </c>
      <c r="E268" s="4" t="s">
        <v>48</v>
      </c>
      <c r="F268" s="4">
        <v>1</v>
      </c>
      <c r="G268" s="4">
        <v>50</v>
      </c>
      <c r="H268" s="4">
        <v>0</v>
      </c>
      <c r="I268" s="7">
        <v>46129</v>
      </c>
      <c r="J268" s="7">
        <v>46138</v>
      </c>
      <c r="K268" s="4" t="s">
        <v>79</v>
      </c>
      <c r="L268" s="4">
        <f t="shared" si="4"/>
        <v>50</v>
      </c>
    </row>
    <row r="269" spans="1:12" x14ac:dyDescent="0.3">
      <c r="A269" s="9">
        <v>1268</v>
      </c>
      <c r="B269" s="9" t="s">
        <v>41</v>
      </c>
      <c r="C269" s="4" t="s">
        <v>38</v>
      </c>
      <c r="D269" s="4" t="s">
        <v>34</v>
      </c>
      <c r="E269" s="4" t="s">
        <v>6</v>
      </c>
      <c r="F269" s="4">
        <v>10</v>
      </c>
      <c r="G269" s="4">
        <v>46291</v>
      </c>
      <c r="H269" s="4">
        <v>12</v>
      </c>
      <c r="I269" s="7">
        <v>46199</v>
      </c>
      <c r="J269" s="7">
        <v>46202</v>
      </c>
      <c r="K269" s="4" t="s">
        <v>79</v>
      </c>
      <c r="L269" s="4">
        <f t="shared" si="4"/>
        <v>462910</v>
      </c>
    </row>
    <row r="270" spans="1:12" x14ac:dyDescent="0.3">
      <c r="A270" s="9">
        <v>1269</v>
      </c>
      <c r="B270" s="9" t="s">
        <v>50</v>
      </c>
      <c r="C270" s="4" t="s">
        <v>42</v>
      </c>
      <c r="D270" s="4" t="s">
        <v>24</v>
      </c>
      <c r="E270" s="4" t="s">
        <v>7</v>
      </c>
      <c r="F270" s="4">
        <v>14</v>
      </c>
      <c r="G270" s="4">
        <v>5704</v>
      </c>
      <c r="H270" s="4">
        <v>2</v>
      </c>
      <c r="I270" s="7">
        <v>46129</v>
      </c>
      <c r="J270" s="7">
        <v>46131</v>
      </c>
      <c r="K270" s="4" t="s">
        <v>78</v>
      </c>
      <c r="L270" s="4">
        <f t="shared" si="4"/>
        <v>79856</v>
      </c>
    </row>
    <row r="271" spans="1:12" x14ac:dyDescent="0.3">
      <c r="A271" s="9">
        <v>1270</v>
      </c>
      <c r="B271" s="9" t="s">
        <v>47</v>
      </c>
      <c r="C271" s="4" t="s">
        <v>42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7">
        <v>46135</v>
      </c>
      <c r="J271" s="7">
        <v>46141</v>
      </c>
      <c r="K271" s="4" t="s">
        <v>81</v>
      </c>
      <c r="L271" s="4">
        <f t="shared" si="4"/>
        <v>1007056</v>
      </c>
    </row>
    <row r="272" spans="1:12" x14ac:dyDescent="0.3">
      <c r="A272" s="9">
        <v>1271</v>
      </c>
      <c r="B272" s="9" t="s">
        <v>39</v>
      </c>
      <c r="C272" s="4" t="s">
        <v>33</v>
      </c>
      <c r="D272" s="4" t="s">
        <v>34</v>
      </c>
      <c r="E272" s="4" t="s">
        <v>9</v>
      </c>
      <c r="F272" s="4">
        <v>20</v>
      </c>
      <c r="G272" s="4">
        <v>36941</v>
      </c>
      <c r="H272" s="4">
        <v>15</v>
      </c>
      <c r="I272" s="7">
        <v>46083</v>
      </c>
      <c r="J272" s="7">
        <v>46085</v>
      </c>
      <c r="K272" s="4" t="s">
        <v>49</v>
      </c>
      <c r="L272" s="4">
        <f t="shared" si="4"/>
        <v>738820</v>
      </c>
    </row>
    <row r="273" spans="1:12" x14ac:dyDescent="0.3">
      <c r="A273" s="9">
        <v>1272</v>
      </c>
      <c r="B273" s="9" t="s">
        <v>50</v>
      </c>
      <c r="C273" s="4" t="s">
        <v>38</v>
      </c>
      <c r="D273" s="4" t="s">
        <v>34</v>
      </c>
      <c r="E273" s="4" t="s">
        <v>40</v>
      </c>
      <c r="F273" s="4">
        <v>13</v>
      </c>
      <c r="G273" s="4">
        <v>42179</v>
      </c>
      <c r="H273" s="4">
        <v>0</v>
      </c>
      <c r="I273" s="7">
        <v>46078</v>
      </c>
      <c r="J273" s="7">
        <v>46084</v>
      </c>
      <c r="K273" s="4" t="s">
        <v>79</v>
      </c>
      <c r="L273" s="4">
        <f t="shared" si="4"/>
        <v>548327</v>
      </c>
    </row>
    <row r="274" spans="1:12" x14ac:dyDescent="0.3">
      <c r="A274" s="9">
        <v>1273</v>
      </c>
      <c r="B274" s="9" t="s">
        <v>44</v>
      </c>
      <c r="C274" s="4" t="s">
        <v>27</v>
      </c>
      <c r="D274" s="4" t="s">
        <v>34</v>
      </c>
      <c r="E274" s="4" t="s">
        <v>5</v>
      </c>
      <c r="F274" s="4">
        <v>12</v>
      </c>
      <c r="G274" s="4">
        <v>20618</v>
      </c>
      <c r="H274" s="4">
        <v>12</v>
      </c>
      <c r="I274" s="7">
        <v>46172</v>
      </c>
      <c r="J274" s="7">
        <v>46174</v>
      </c>
      <c r="K274" s="4" t="s">
        <v>79</v>
      </c>
      <c r="L274" s="4">
        <f t="shared" si="4"/>
        <v>247416</v>
      </c>
    </row>
    <row r="275" spans="1:12" x14ac:dyDescent="0.3">
      <c r="A275" s="9">
        <v>1274</v>
      </c>
      <c r="B275" s="9" t="s">
        <v>28</v>
      </c>
      <c r="C275" s="4" t="s">
        <v>27</v>
      </c>
      <c r="D275" s="4" t="s">
        <v>34</v>
      </c>
      <c r="E275" s="4" t="s">
        <v>40</v>
      </c>
      <c r="F275" s="4">
        <v>13</v>
      </c>
      <c r="G275" s="4">
        <v>36652</v>
      </c>
      <c r="H275" s="4">
        <v>12</v>
      </c>
      <c r="I275" s="7">
        <v>46179</v>
      </c>
      <c r="J275" s="7">
        <v>46186</v>
      </c>
      <c r="K275" s="4" t="s">
        <v>79</v>
      </c>
      <c r="L275" s="4">
        <f t="shared" si="4"/>
        <v>476476</v>
      </c>
    </row>
    <row r="276" spans="1:12" x14ac:dyDescent="0.3">
      <c r="A276" s="9">
        <v>1275</v>
      </c>
      <c r="B276" s="9" t="s">
        <v>22</v>
      </c>
      <c r="C276" s="4" t="s">
        <v>31</v>
      </c>
      <c r="D276" s="4" t="s">
        <v>20</v>
      </c>
      <c r="E276" s="4" t="s">
        <v>48</v>
      </c>
      <c r="F276" s="4">
        <v>20</v>
      </c>
      <c r="G276" s="4">
        <v>451</v>
      </c>
      <c r="H276" s="4">
        <v>15</v>
      </c>
      <c r="I276" s="7">
        <v>46092</v>
      </c>
      <c r="J276" s="7">
        <v>46094</v>
      </c>
      <c r="K276" s="4" t="s">
        <v>79</v>
      </c>
      <c r="L276" s="4">
        <f t="shared" si="4"/>
        <v>9020</v>
      </c>
    </row>
    <row r="277" spans="1:12" x14ac:dyDescent="0.3">
      <c r="A277" s="9">
        <v>1276</v>
      </c>
      <c r="B277" s="9" t="s">
        <v>39</v>
      </c>
      <c r="C277" s="4" t="s">
        <v>19</v>
      </c>
      <c r="D277" s="4" t="s">
        <v>24</v>
      </c>
      <c r="E277" s="4" t="s">
        <v>7</v>
      </c>
      <c r="F277" s="4">
        <v>1</v>
      </c>
      <c r="G277" s="4">
        <v>13437</v>
      </c>
      <c r="H277" s="4">
        <v>15</v>
      </c>
      <c r="I277" s="7">
        <v>46097</v>
      </c>
      <c r="J277" s="7">
        <v>46099</v>
      </c>
      <c r="K277" s="4" t="s">
        <v>80</v>
      </c>
      <c r="L277" s="4">
        <f t="shared" si="4"/>
        <v>13437</v>
      </c>
    </row>
    <row r="278" spans="1:12" x14ac:dyDescent="0.3">
      <c r="A278" s="9">
        <v>1277</v>
      </c>
      <c r="B278" s="9" t="s">
        <v>56</v>
      </c>
      <c r="C278" s="4" t="s">
        <v>23</v>
      </c>
      <c r="D278" s="4" t="s">
        <v>20</v>
      </c>
      <c r="E278" s="4" t="s">
        <v>36</v>
      </c>
      <c r="F278" s="4">
        <v>14</v>
      </c>
      <c r="G278" s="4">
        <v>276</v>
      </c>
      <c r="H278" s="4">
        <v>0</v>
      </c>
      <c r="I278" s="7">
        <v>46086</v>
      </c>
      <c r="J278" s="7">
        <v>46089</v>
      </c>
      <c r="K278" s="4" t="s">
        <v>78</v>
      </c>
      <c r="L278" s="4">
        <f t="shared" si="4"/>
        <v>3864</v>
      </c>
    </row>
    <row r="279" spans="1:12" x14ac:dyDescent="0.3">
      <c r="A279" s="9">
        <v>1278</v>
      </c>
      <c r="B279" s="9" t="s">
        <v>45</v>
      </c>
      <c r="C279" s="4" t="s">
        <v>26</v>
      </c>
      <c r="D279" s="4" t="s">
        <v>34</v>
      </c>
      <c r="E279" s="4" t="s">
        <v>12</v>
      </c>
      <c r="F279" s="4">
        <v>4</v>
      </c>
      <c r="G279" s="4">
        <v>20639</v>
      </c>
      <c r="H279" s="4">
        <v>7</v>
      </c>
      <c r="I279" s="7">
        <v>46180</v>
      </c>
      <c r="J279" s="7">
        <v>46186</v>
      </c>
      <c r="K279" s="4" t="s">
        <v>79</v>
      </c>
      <c r="L279" s="4">
        <f t="shared" si="4"/>
        <v>82556</v>
      </c>
    </row>
    <row r="280" spans="1:12" x14ac:dyDescent="0.3">
      <c r="A280" s="9">
        <v>1279</v>
      </c>
      <c r="B280" s="9" t="s">
        <v>53</v>
      </c>
      <c r="C280" s="4" t="s">
        <v>33</v>
      </c>
      <c r="D280" s="4" t="s">
        <v>34</v>
      </c>
      <c r="E280" s="4" t="s">
        <v>6</v>
      </c>
      <c r="F280" s="4">
        <v>20</v>
      </c>
      <c r="G280" s="4">
        <v>49042</v>
      </c>
      <c r="H280" s="4">
        <v>2</v>
      </c>
      <c r="I280" s="7">
        <v>46124</v>
      </c>
      <c r="J280" s="7">
        <v>46126</v>
      </c>
      <c r="K280" s="4" t="s">
        <v>78</v>
      </c>
      <c r="L280" s="4">
        <f t="shared" si="4"/>
        <v>980840</v>
      </c>
    </row>
    <row r="281" spans="1:12" x14ac:dyDescent="0.3">
      <c r="A281" s="9">
        <v>1280</v>
      </c>
      <c r="B281" s="9" t="s">
        <v>56</v>
      </c>
      <c r="C281" s="4" t="s">
        <v>38</v>
      </c>
      <c r="D281" s="4" t="s">
        <v>20</v>
      </c>
      <c r="E281" s="4" t="s">
        <v>51</v>
      </c>
      <c r="F281" s="4">
        <v>9</v>
      </c>
      <c r="G281" s="4">
        <v>50</v>
      </c>
      <c r="H281" s="4">
        <v>7</v>
      </c>
      <c r="I281" s="7">
        <v>46085</v>
      </c>
      <c r="J281" s="7">
        <v>46095</v>
      </c>
      <c r="K281" s="4" t="s">
        <v>81</v>
      </c>
      <c r="L281" s="4">
        <f t="shared" si="4"/>
        <v>450</v>
      </c>
    </row>
    <row r="282" spans="1:12" x14ac:dyDescent="0.3">
      <c r="A282" s="9">
        <v>1281</v>
      </c>
      <c r="B282" s="9" t="s">
        <v>53</v>
      </c>
      <c r="C282" s="4" t="s">
        <v>23</v>
      </c>
      <c r="D282" s="4" t="s">
        <v>20</v>
      </c>
      <c r="E282" s="4" t="s">
        <v>48</v>
      </c>
      <c r="F282" s="4">
        <v>6</v>
      </c>
      <c r="G282" s="4">
        <v>253</v>
      </c>
      <c r="H282" s="4">
        <v>0</v>
      </c>
      <c r="I282" s="7">
        <v>46055</v>
      </c>
      <c r="J282" s="7">
        <v>46063</v>
      </c>
      <c r="K282" s="4" t="s">
        <v>80</v>
      </c>
      <c r="L282" s="4">
        <f t="shared" si="4"/>
        <v>1518</v>
      </c>
    </row>
    <row r="283" spans="1:12" x14ac:dyDescent="0.3">
      <c r="A283" s="9">
        <v>1282</v>
      </c>
      <c r="B283" s="9" t="s">
        <v>54</v>
      </c>
      <c r="C283" s="4" t="s">
        <v>42</v>
      </c>
      <c r="D283" s="4" t="s">
        <v>24</v>
      </c>
      <c r="E283" s="4" t="s">
        <v>43</v>
      </c>
      <c r="F283" s="4">
        <v>12</v>
      </c>
      <c r="G283" s="4">
        <v>3178</v>
      </c>
      <c r="H283" s="4">
        <v>10</v>
      </c>
      <c r="I283" s="7">
        <v>46176</v>
      </c>
      <c r="J283" s="7">
        <v>46177</v>
      </c>
      <c r="K283" s="4" t="s">
        <v>49</v>
      </c>
      <c r="L283" s="4">
        <f t="shared" si="4"/>
        <v>38136</v>
      </c>
    </row>
    <row r="284" spans="1:12" x14ac:dyDescent="0.3">
      <c r="A284" s="9">
        <v>1283</v>
      </c>
      <c r="B284" s="9" t="s">
        <v>39</v>
      </c>
      <c r="C284" s="4" t="s">
        <v>19</v>
      </c>
      <c r="D284" s="4" t="s">
        <v>24</v>
      </c>
      <c r="E284" s="4" t="s">
        <v>10</v>
      </c>
      <c r="F284" s="4">
        <v>6</v>
      </c>
      <c r="G284" s="4">
        <v>1167</v>
      </c>
      <c r="H284" s="4">
        <v>2</v>
      </c>
      <c r="I284" s="7">
        <v>46100</v>
      </c>
      <c r="J284" s="7">
        <v>46106</v>
      </c>
      <c r="K284" s="4" t="s">
        <v>78</v>
      </c>
      <c r="L284" s="4">
        <f t="shared" si="4"/>
        <v>7002</v>
      </c>
    </row>
    <row r="285" spans="1:12" x14ac:dyDescent="0.3">
      <c r="A285" s="9">
        <v>1284</v>
      </c>
      <c r="B285" s="9" t="s">
        <v>39</v>
      </c>
      <c r="C285" s="4" t="s">
        <v>27</v>
      </c>
      <c r="D285" s="4" t="s">
        <v>20</v>
      </c>
      <c r="E285" s="4" t="s">
        <v>37</v>
      </c>
      <c r="F285" s="4">
        <v>16</v>
      </c>
      <c r="G285" s="4">
        <v>419</v>
      </c>
      <c r="H285" s="4">
        <v>2</v>
      </c>
      <c r="I285" s="7">
        <v>46082</v>
      </c>
      <c r="J285" s="7">
        <v>46090</v>
      </c>
      <c r="K285" s="4" t="s">
        <v>78</v>
      </c>
      <c r="L285" s="4">
        <f t="shared" si="4"/>
        <v>6704</v>
      </c>
    </row>
    <row r="286" spans="1:12" x14ac:dyDescent="0.3">
      <c r="A286" s="9">
        <v>1285</v>
      </c>
      <c r="B286" s="9" t="s">
        <v>32</v>
      </c>
      <c r="C286" s="4" t="s">
        <v>38</v>
      </c>
      <c r="D286" s="4" t="s">
        <v>20</v>
      </c>
      <c r="E286" s="4" t="s">
        <v>36</v>
      </c>
      <c r="F286" s="4">
        <v>7</v>
      </c>
      <c r="G286" s="4">
        <v>439</v>
      </c>
      <c r="H286" s="4">
        <v>15</v>
      </c>
      <c r="I286" s="7">
        <v>46055</v>
      </c>
      <c r="J286" s="7">
        <v>46058</v>
      </c>
      <c r="K286" s="4" t="s">
        <v>79</v>
      </c>
      <c r="L286" s="4">
        <f t="shared" si="4"/>
        <v>3073</v>
      </c>
    </row>
    <row r="287" spans="1:12" x14ac:dyDescent="0.3">
      <c r="A287" s="9">
        <v>1286</v>
      </c>
      <c r="B287" s="9" t="s">
        <v>44</v>
      </c>
      <c r="C287" s="4" t="s">
        <v>23</v>
      </c>
      <c r="D287" s="4" t="s">
        <v>24</v>
      </c>
      <c r="E287" s="4" t="s">
        <v>11</v>
      </c>
      <c r="F287" s="4">
        <v>9</v>
      </c>
      <c r="G287" s="4">
        <v>1340</v>
      </c>
      <c r="H287" s="4">
        <v>2</v>
      </c>
      <c r="I287" s="7">
        <v>46168</v>
      </c>
      <c r="J287" s="7">
        <v>46173</v>
      </c>
      <c r="K287" s="4" t="s">
        <v>78</v>
      </c>
      <c r="L287" s="4">
        <f t="shared" si="4"/>
        <v>12060</v>
      </c>
    </row>
    <row r="288" spans="1:12" x14ac:dyDescent="0.3">
      <c r="A288" s="9">
        <v>1287</v>
      </c>
      <c r="B288" s="9" t="s">
        <v>56</v>
      </c>
      <c r="C288" s="4" t="s">
        <v>31</v>
      </c>
      <c r="D288" s="4" t="s">
        <v>20</v>
      </c>
      <c r="E288" s="4" t="s">
        <v>21</v>
      </c>
      <c r="F288" s="4">
        <v>15</v>
      </c>
      <c r="G288" s="4">
        <v>251</v>
      </c>
      <c r="H288" s="4">
        <v>2</v>
      </c>
      <c r="I288" s="7">
        <v>46116</v>
      </c>
      <c r="J288" s="7">
        <v>46122</v>
      </c>
      <c r="K288" s="4" t="s">
        <v>81</v>
      </c>
      <c r="L288" s="4">
        <f t="shared" si="4"/>
        <v>3765</v>
      </c>
    </row>
    <row r="289" spans="1:12" x14ac:dyDescent="0.3">
      <c r="A289" s="9">
        <v>1288</v>
      </c>
      <c r="B289" s="9" t="s">
        <v>52</v>
      </c>
      <c r="C289" s="4" t="s">
        <v>26</v>
      </c>
      <c r="D289" s="4" t="s">
        <v>34</v>
      </c>
      <c r="E289" s="4" t="s">
        <v>9</v>
      </c>
      <c r="F289" s="4">
        <v>14</v>
      </c>
      <c r="G289" s="4">
        <v>35601</v>
      </c>
      <c r="H289" s="4">
        <v>10</v>
      </c>
      <c r="I289" s="7">
        <v>46179</v>
      </c>
      <c r="J289" s="7">
        <v>46187</v>
      </c>
      <c r="K289" s="4" t="s">
        <v>49</v>
      </c>
      <c r="L289" s="4">
        <f t="shared" si="4"/>
        <v>498414</v>
      </c>
    </row>
    <row r="290" spans="1:12" x14ac:dyDescent="0.3">
      <c r="A290" s="9">
        <v>1289</v>
      </c>
      <c r="B290" s="9" t="s">
        <v>28</v>
      </c>
      <c r="C290" s="4" t="s">
        <v>26</v>
      </c>
      <c r="D290" s="4" t="s">
        <v>34</v>
      </c>
      <c r="E290" s="4" t="s">
        <v>6</v>
      </c>
      <c r="F290" s="4">
        <v>19</v>
      </c>
      <c r="G290" s="4">
        <v>25336</v>
      </c>
      <c r="H290" s="4">
        <v>2</v>
      </c>
      <c r="I290" s="7">
        <v>46122</v>
      </c>
      <c r="J290" s="7">
        <v>46130</v>
      </c>
      <c r="K290" s="4" t="s">
        <v>80</v>
      </c>
      <c r="L290" s="4">
        <f t="shared" si="4"/>
        <v>481384</v>
      </c>
    </row>
    <row r="291" spans="1:12" x14ac:dyDescent="0.3">
      <c r="A291" s="9">
        <v>1290</v>
      </c>
      <c r="B291" s="9" t="s">
        <v>28</v>
      </c>
      <c r="C291" s="4" t="s">
        <v>26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7">
        <v>46110</v>
      </c>
      <c r="J291" s="7">
        <v>46111</v>
      </c>
      <c r="K291" s="4" t="s">
        <v>49</v>
      </c>
      <c r="L291" s="4">
        <f t="shared" si="4"/>
        <v>209379</v>
      </c>
    </row>
    <row r="292" spans="1:12" x14ac:dyDescent="0.3">
      <c r="A292" s="9">
        <v>1291</v>
      </c>
      <c r="B292" s="9" t="s">
        <v>25</v>
      </c>
      <c r="C292" s="4" t="s">
        <v>23</v>
      </c>
      <c r="D292" s="4" t="s">
        <v>20</v>
      </c>
      <c r="E292" s="4" t="s">
        <v>36</v>
      </c>
      <c r="F292" s="4">
        <v>17</v>
      </c>
      <c r="G292" s="4">
        <v>415</v>
      </c>
      <c r="H292" s="4">
        <v>5</v>
      </c>
      <c r="I292" s="7">
        <v>46137</v>
      </c>
      <c r="J292" s="7">
        <v>46141</v>
      </c>
      <c r="K292" s="4" t="s">
        <v>79</v>
      </c>
      <c r="L292" s="4">
        <f t="shared" si="4"/>
        <v>7055</v>
      </c>
    </row>
    <row r="293" spans="1:12" x14ac:dyDescent="0.3">
      <c r="A293" s="9">
        <v>1292</v>
      </c>
      <c r="B293" s="9" t="s">
        <v>52</v>
      </c>
      <c r="C293" s="4" t="s">
        <v>33</v>
      </c>
      <c r="D293" s="4" t="s">
        <v>34</v>
      </c>
      <c r="E293" s="4" t="s">
        <v>12</v>
      </c>
      <c r="F293" s="4">
        <v>11</v>
      </c>
      <c r="G293" s="4">
        <v>25158</v>
      </c>
      <c r="H293" s="4">
        <v>5</v>
      </c>
      <c r="I293" s="7">
        <v>46186</v>
      </c>
      <c r="J293" s="7">
        <v>46193</v>
      </c>
      <c r="K293" s="4" t="s">
        <v>79</v>
      </c>
      <c r="L293" s="4">
        <f t="shared" si="4"/>
        <v>276738</v>
      </c>
    </row>
    <row r="294" spans="1:12" x14ac:dyDescent="0.3">
      <c r="A294" s="9">
        <v>1293</v>
      </c>
      <c r="B294" s="9" t="s">
        <v>47</v>
      </c>
      <c r="C294" s="4" t="s">
        <v>42</v>
      </c>
      <c r="D294" s="4" t="s">
        <v>24</v>
      </c>
      <c r="E294" s="4" t="s">
        <v>10</v>
      </c>
      <c r="F294" s="4">
        <v>7</v>
      </c>
      <c r="G294" s="4">
        <v>11481</v>
      </c>
      <c r="H294" s="4">
        <v>15</v>
      </c>
      <c r="I294" s="7">
        <v>46045</v>
      </c>
      <c r="J294" s="7">
        <v>46050</v>
      </c>
      <c r="K294" s="4" t="s">
        <v>79</v>
      </c>
      <c r="L294" s="4">
        <f t="shared" si="4"/>
        <v>80367</v>
      </c>
    </row>
    <row r="295" spans="1:12" x14ac:dyDescent="0.3">
      <c r="A295" s="9">
        <v>1294</v>
      </c>
      <c r="B295" s="9" t="s">
        <v>25</v>
      </c>
      <c r="C295" s="4" t="s">
        <v>19</v>
      </c>
      <c r="D295" s="4" t="s">
        <v>24</v>
      </c>
      <c r="E295" s="4" t="s">
        <v>7</v>
      </c>
      <c r="F295" s="4">
        <v>8</v>
      </c>
      <c r="G295" s="4">
        <v>14448</v>
      </c>
      <c r="H295" s="4">
        <v>10</v>
      </c>
      <c r="I295" s="7">
        <v>46181</v>
      </c>
      <c r="J295" s="7">
        <v>46189</v>
      </c>
      <c r="K295" s="4" t="s">
        <v>78</v>
      </c>
      <c r="L295" s="4">
        <f t="shared" si="4"/>
        <v>115584</v>
      </c>
    </row>
    <row r="296" spans="1:12" x14ac:dyDescent="0.3">
      <c r="A296" s="9">
        <v>1295</v>
      </c>
      <c r="B296" s="9" t="s">
        <v>50</v>
      </c>
      <c r="C296" s="4" t="s">
        <v>38</v>
      </c>
      <c r="D296" s="4" t="s">
        <v>24</v>
      </c>
      <c r="E296" s="4" t="s">
        <v>8</v>
      </c>
      <c r="F296" s="4">
        <v>16</v>
      </c>
      <c r="G296" s="4">
        <v>11935</v>
      </c>
      <c r="H296" s="4">
        <v>12</v>
      </c>
      <c r="I296" s="7">
        <v>46157</v>
      </c>
      <c r="J296" s="7">
        <v>46162</v>
      </c>
      <c r="K296" s="4" t="s">
        <v>78</v>
      </c>
      <c r="L296" s="4">
        <f t="shared" si="4"/>
        <v>190960</v>
      </c>
    </row>
    <row r="297" spans="1:12" x14ac:dyDescent="0.3">
      <c r="A297" s="9">
        <v>1296</v>
      </c>
      <c r="B297" s="9" t="s">
        <v>28</v>
      </c>
      <c r="C297" s="4" t="s">
        <v>38</v>
      </c>
      <c r="D297" s="4" t="s">
        <v>20</v>
      </c>
      <c r="E297" s="4" t="s">
        <v>48</v>
      </c>
      <c r="F297" s="4">
        <v>6</v>
      </c>
      <c r="G297" s="4">
        <v>201</v>
      </c>
      <c r="H297" s="4">
        <v>0</v>
      </c>
      <c r="I297" s="7">
        <v>46063</v>
      </c>
      <c r="J297" s="7">
        <v>46072</v>
      </c>
      <c r="K297" s="4" t="s">
        <v>81</v>
      </c>
      <c r="L297" s="4">
        <f t="shared" si="4"/>
        <v>1206</v>
      </c>
    </row>
    <row r="298" spans="1:12" x14ac:dyDescent="0.3">
      <c r="A298" s="9">
        <v>1297</v>
      </c>
      <c r="B298" s="9" t="s">
        <v>52</v>
      </c>
      <c r="C298" s="4" t="s">
        <v>27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7">
        <v>46178</v>
      </c>
      <c r="J298" s="7">
        <v>46187</v>
      </c>
      <c r="K298" s="4" t="s">
        <v>49</v>
      </c>
      <c r="L298" s="4">
        <f t="shared" si="4"/>
        <v>343336</v>
      </c>
    </row>
    <row r="299" spans="1:12" x14ac:dyDescent="0.3">
      <c r="A299" s="9">
        <v>1298</v>
      </c>
      <c r="B299" s="9" t="s">
        <v>25</v>
      </c>
      <c r="C299" s="4" t="s">
        <v>19</v>
      </c>
      <c r="D299" s="4" t="s">
        <v>34</v>
      </c>
      <c r="E299" s="4" t="s">
        <v>12</v>
      </c>
      <c r="F299" s="4">
        <v>19</v>
      </c>
      <c r="G299" s="4">
        <v>20745</v>
      </c>
      <c r="H299" s="4">
        <v>2</v>
      </c>
      <c r="I299" s="7">
        <v>46083</v>
      </c>
      <c r="J299" s="7">
        <v>46093</v>
      </c>
      <c r="K299" s="4" t="s">
        <v>80</v>
      </c>
      <c r="L299" s="4">
        <f t="shared" si="4"/>
        <v>394155</v>
      </c>
    </row>
    <row r="300" spans="1:12" x14ac:dyDescent="0.3">
      <c r="A300" s="9">
        <v>1299</v>
      </c>
      <c r="B300" s="9" t="s">
        <v>28</v>
      </c>
      <c r="C300" s="4" t="s">
        <v>23</v>
      </c>
      <c r="D300" s="4" t="s">
        <v>24</v>
      </c>
      <c r="E300" s="4" t="s">
        <v>11</v>
      </c>
      <c r="F300" s="4">
        <v>8</v>
      </c>
      <c r="G300" s="4">
        <v>8783</v>
      </c>
      <c r="H300" s="4">
        <v>2</v>
      </c>
      <c r="I300" s="7">
        <v>46123</v>
      </c>
      <c r="J300" s="7">
        <v>46132</v>
      </c>
      <c r="K300" s="4" t="s">
        <v>78</v>
      </c>
      <c r="L300" s="4">
        <f t="shared" si="4"/>
        <v>70264</v>
      </c>
    </row>
    <row r="301" spans="1:12" x14ac:dyDescent="0.3">
      <c r="A301" s="9">
        <v>1300</v>
      </c>
      <c r="B301" s="9" t="s">
        <v>45</v>
      </c>
      <c r="C301" s="4" t="s">
        <v>33</v>
      </c>
      <c r="D301" s="4" t="s">
        <v>34</v>
      </c>
      <c r="E301" s="4" t="s">
        <v>6</v>
      </c>
      <c r="F301" s="4">
        <v>20</v>
      </c>
      <c r="G301" s="4">
        <v>1392</v>
      </c>
      <c r="H301" s="4">
        <v>2</v>
      </c>
      <c r="I301" s="7">
        <v>46110</v>
      </c>
      <c r="J301" s="7">
        <v>46117</v>
      </c>
      <c r="K301" s="4" t="s">
        <v>80</v>
      </c>
      <c r="L301" s="4">
        <f t="shared" si="4"/>
        <v>27840</v>
      </c>
    </row>
    <row r="302" spans="1:12" x14ac:dyDescent="0.3">
      <c r="A302" s="9">
        <v>1301</v>
      </c>
      <c r="B302" s="9" t="s">
        <v>52</v>
      </c>
      <c r="C302" s="4" t="s">
        <v>23</v>
      </c>
      <c r="D302" s="4" t="s">
        <v>24</v>
      </c>
      <c r="E302" s="4" t="s">
        <v>8</v>
      </c>
      <c r="F302" s="4">
        <v>3</v>
      </c>
      <c r="G302" s="4">
        <v>7020</v>
      </c>
      <c r="H302" s="4">
        <v>10</v>
      </c>
      <c r="I302" s="7">
        <v>46028</v>
      </c>
      <c r="J302" s="7">
        <v>46038</v>
      </c>
      <c r="K302" s="4" t="s">
        <v>80</v>
      </c>
      <c r="L302" s="4">
        <f t="shared" si="4"/>
        <v>21060</v>
      </c>
    </row>
    <row r="303" spans="1:12" x14ac:dyDescent="0.3">
      <c r="A303" s="9">
        <v>1302</v>
      </c>
      <c r="B303" s="9" t="s">
        <v>54</v>
      </c>
      <c r="C303" s="4" t="s">
        <v>19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7">
        <v>46163</v>
      </c>
      <c r="J303" s="7">
        <v>46172</v>
      </c>
      <c r="K303" s="4" t="s">
        <v>80</v>
      </c>
      <c r="L303" s="4">
        <f t="shared" si="4"/>
        <v>76500</v>
      </c>
    </row>
    <row r="304" spans="1:12" x14ac:dyDescent="0.3">
      <c r="A304" s="9">
        <v>1303</v>
      </c>
      <c r="B304" s="9" t="s">
        <v>54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7">
        <v>46124</v>
      </c>
      <c r="J304" s="7">
        <v>46127</v>
      </c>
      <c r="K304" s="4" t="s">
        <v>78</v>
      </c>
      <c r="L304" s="4">
        <f t="shared" si="4"/>
        <v>67210</v>
      </c>
    </row>
    <row r="305" spans="1:12" x14ac:dyDescent="0.3">
      <c r="A305" s="9">
        <v>1304</v>
      </c>
      <c r="B305" s="9" t="s">
        <v>56</v>
      </c>
      <c r="C305" s="4" t="s">
        <v>27</v>
      </c>
      <c r="D305" s="4" t="s">
        <v>20</v>
      </c>
      <c r="E305" s="4" t="s">
        <v>36</v>
      </c>
      <c r="F305" s="4">
        <v>20</v>
      </c>
      <c r="G305" s="4">
        <v>368</v>
      </c>
      <c r="H305" s="4">
        <v>7</v>
      </c>
      <c r="I305" s="7">
        <v>46042</v>
      </c>
      <c r="J305" s="7">
        <v>46051</v>
      </c>
      <c r="K305" s="4" t="s">
        <v>81</v>
      </c>
      <c r="L305" s="4">
        <f t="shared" si="4"/>
        <v>7360</v>
      </c>
    </row>
    <row r="306" spans="1:12" x14ac:dyDescent="0.3">
      <c r="A306" s="9">
        <v>1305</v>
      </c>
      <c r="B306" s="9" t="s">
        <v>55</v>
      </c>
      <c r="C306" s="4" t="s">
        <v>31</v>
      </c>
      <c r="D306" s="4" t="s">
        <v>34</v>
      </c>
      <c r="E306" s="4" t="s">
        <v>9</v>
      </c>
      <c r="F306" s="4">
        <v>20</v>
      </c>
      <c r="G306" s="4">
        <v>31406</v>
      </c>
      <c r="H306" s="4">
        <v>15</v>
      </c>
      <c r="I306" s="7">
        <v>46146</v>
      </c>
      <c r="J306" s="7">
        <v>46154</v>
      </c>
      <c r="K306" s="4" t="s">
        <v>81</v>
      </c>
      <c r="L306" s="4">
        <f t="shared" si="4"/>
        <v>628120</v>
      </c>
    </row>
    <row r="307" spans="1:12" x14ac:dyDescent="0.3">
      <c r="A307" s="9">
        <v>1306</v>
      </c>
      <c r="B307" s="9" t="s">
        <v>52</v>
      </c>
      <c r="C307" s="4" t="s">
        <v>42</v>
      </c>
      <c r="D307" s="4" t="s">
        <v>20</v>
      </c>
      <c r="E307" s="4" t="s">
        <v>36</v>
      </c>
      <c r="F307" s="4">
        <v>1</v>
      </c>
      <c r="G307" s="4">
        <v>332</v>
      </c>
      <c r="H307" s="4">
        <v>0</v>
      </c>
      <c r="I307" s="7">
        <v>46191</v>
      </c>
      <c r="J307" s="7">
        <v>46194</v>
      </c>
      <c r="K307" s="4" t="s">
        <v>79</v>
      </c>
      <c r="L307" s="4">
        <f t="shared" si="4"/>
        <v>332</v>
      </c>
    </row>
    <row r="308" spans="1:12" x14ac:dyDescent="0.3">
      <c r="A308" s="9">
        <v>1307</v>
      </c>
      <c r="B308" s="9" t="s">
        <v>54</v>
      </c>
      <c r="C308" s="4" t="s">
        <v>42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7">
        <v>46048</v>
      </c>
      <c r="J308" s="7">
        <v>46051</v>
      </c>
      <c r="K308" s="4" t="s">
        <v>81</v>
      </c>
      <c r="L308" s="4">
        <f t="shared" si="4"/>
        <v>135738</v>
      </c>
    </row>
    <row r="309" spans="1:12" x14ac:dyDescent="0.3">
      <c r="A309" s="9">
        <v>1308</v>
      </c>
      <c r="B309" s="9" t="s">
        <v>30</v>
      </c>
      <c r="C309" s="4" t="s">
        <v>26</v>
      </c>
      <c r="D309" s="4" t="s">
        <v>34</v>
      </c>
      <c r="E309" s="4" t="s">
        <v>40</v>
      </c>
      <c r="F309" s="4">
        <v>12</v>
      </c>
      <c r="G309" s="4">
        <v>66075</v>
      </c>
      <c r="H309" s="4">
        <v>5</v>
      </c>
      <c r="I309" s="7">
        <v>46129</v>
      </c>
      <c r="J309" s="7">
        <v>46135</v>
      </c>
      <c r="K309" s="4" t="s">
        <v>79</v>
      </c>
      <c r="L309" s="4">
        <f t="shared" si="4"/>
        <v>792900</v>
      </c>
    </row>
    <row r="310" spans="1:12" x14ac:dyDescent="0.3">
      <c r="A310" s="9">
        <v>1309</v>
      </c>
      <c r="B310" s="9" t="s">
        <v>49</v>
      </c>
      <c r="C310" s="4" t="s">
        <v>31</v>
      </c>
      <c r="D310" s="4" t="s">
        <v>20</v>
      </c>
      <c r="E310" s="4" t="s">
        <v>48</v>
      </c>
      <c r="F310" s="4">
        <v>2</v>
      </c>
      <c r="G310" s="4">
        <v>35</v>
      </c>
      <c r="H310" s="4">
        <v>5</v>
      </c>
      <c r="I310" s="7">
        <v>46197</v>
      </c>
      <c r="J310" s="7">
        <v>46198</v>
      </c>
      <c r="K310" s="4" t="s">
        <v>80</v>
      </c>
      <c r="L310" s="4">
        <f t="shared" si="4"/>
        <v>70</v>
      </c>
    </row>
    <row r="311" spans="1:12" x14ac:dyDescent="0.3">
      <c r="A311" s="9">
        <v>1310</v>
      </c>
      <c r="B311" s="9" t="s">
        <v>47</v>
      </c>
      <c r="C311" s="4" t="s">
        <v>23</v>
      </c>
      <c r="D311" s="4" t="s">
        <v>24</v>
      </c>
      <c r="E311" s="4" t="s">
        <v>11</v>
      </c>
      <c r="F311" s="4">
        <v>19</v>
      </c>
      <c r="G311" s="4">
        <v>12691</v>
      </c>
      <c r="H311" s="4">
        <v>0</v>
      </c>
      <c r="I311" s="7">
        <v>46181</v>
      </c>
      <c r="J311" s="7">
        <v>46189</v>
      </c>
      <c r="K311" s="4" t="s">
        <v>49</v>
      </c>
      <c r="L311" s="4">
        <f t="shared" si="4"/>
        <v>241129</v>
      </c>
    </row>
    <row r="312" spans="1:12" x14ac:dyDescent="0.3">
      <c r="A312" s="9">
        <v>1311</v>
      </c>
      <c r="B312" s="9" t="s">
        <v>53</v>
      </c>
      <c r="C312" s="4" t="s">
        <v>19</v>
      </c>
      <c r="D312" s="4" t="s">
        <v>20</v>
      </c>
      <c r="E312" s="4" t="s">
        <v>21</v>
      </c>
      <c r="F312" s="4">
        <v>2</v>
      </c>
      <c r="G312" s="4">
        <v>209</v>
      </c>
      <c r="H312" s="4">
        <v>0</v>
      </c>
      <c r="I312" s="7">
        <v>46173</v>
      </c>
      <c r="J312" s="7">
        <v>46176</v>
      </c>
      <c r="K312" s="4" t="s">
        <v>79</v>
      </c>
      <c r="L312" s="4">
        <f t="shared" si="4"/>
        <v>418</v>
      </c>
    </row>
    <row r="313" spans="1:12" x14ac:dyDescent="0.3">
      <c r="A313" s="9">
        <v>1312</v>
      </c>
      <c r="B313" s="9" t="s">
        <v>54</v>
      </c>
      <c r="C313" s="4" t="s">
        <v>26</v>
      </c>
      <c r="D313" s="4" t="s">
        <v>24</v>
      </c>
      <c r="E313" s="4" t="s">
        <v>11</v>
      </c>
      <c r="F313" s="4">
        <v>20</v>
      </c>
      <c r="G313" s="4">
        <v>3274</v>
      </c>
      <c r="H313" s="4">
        <v>2</v>
      </c>
      <c r="I313" s="7">
        <v>46148</v>
      </c>
      <c r="J313" s="7">
        <v>46156</v>
      </c>
      <c r="K313" s="4" t="s">
        <v>80</v>
      </c>
      <c r="L313" s="4">
        <f t="shared" si="4"/>
        <v>65480</v>
      </c>
    </row>
    <row r="314" spans="1:12" x14ac:dyDescent="0.3">
      <c r="A314" s="9">
        <v>1313</v>
      </c>
      <c r="B314" s="9" t="s">
        <v>56</v>
      </c>
      <c r="C314" s="4" t="s">
        <v>26</v>
      </c>
      <c r="D314" s="4" t="s">
        <v>24</v>
      </c>
      <c r="E314" s="4" t="s">
        <v>11</v>
      </c>
      <c r="F314" s="4">
        <v>6</v>
      </c>
      <c r="G314" s="4">
        <v>10864</v>
      </c>
      <c r="H314" s="4">
        <v>10</v>
      </c>
      <c r="I314" s="7">
        <v>46041</v>
      </c>
      <c r="J314" s="7">
        <v>46049</v>
      </c>
      <c r="K314" s="4" t="s">
        <v>78</v>
      </c>
      <c r="L314" s="4">
        <f t="shared" si="4"/>
        <v>65184</v>
      </c>
    </row>
    <row r="315" spans="1:12" x14ac:dyDescent="0.3">
      <c r="A315" s="9">
        <v>1314</v>
      </c>
      <c r="B315" s="9" t="s">
        <v>50</v>
      </c>
      <c r="C315" s="4" t="s">
        <v>33</v>
      </c>
      <c r="D315" s="4" t="s">
        <v>24</v>
      </c>
      <c r="E315" s="4" t="s">
        <v>7</v>
      </c>
      <c r="F315" s="4">
        <v>10</v>
      </c>
      <c r="G315" s="4">
        <v>6328</v>
      </c>
      <c r="H315" s="4">
        <v>2</v>
      </c>
      <c r="I315" s="7">
        <v>46196</v>
      </c>
      <c r="J315" s="7">
        <v>46197</v>
      </c>
      <c r="K315" s="4" t="s">
        <v>49</v>
      </c>
      <c r="L315" s="4">
        <f t="shared" si="4"/>
        <v>63280</v>
      </c>
    </row>
    <row r="316" spans="1:12" x14ac:dyDescent="0.3">
      <c r="A316" s="9">
        <v>1315</v>
      </c>
      <c r="B316" s="9" t="s">
        <v>47</v>
      </c>
      <c r="C316" s="4" t="s">
        <v>31</v>
      </c>
      <c r="D316" s="4" t="s">
        <v>34</v>
      </c>
      <c r="E316" s="4" t="s">
        <v>40</v>
      </c>
      <c r="F316" s="4">
        <v>14</v>
      </c>
      <c r="G316" s="4">
        <v>57670</v>
      </c>
      <c r="H316" s="4">
        <v>2</v>
      </c>
      <c r="I316" s="7">
        <v>46186</v>
      </c>
      <c r="J316" s="7">
        <v>46196</v>
      </c>
      <c r="K316" s="4" t="s">
        <v>78</v>
      </c>
      <c r="L316" s="4">
        <f t="shared" si="4"/>
        <v>807380</v>
      </c>
    </row>
    <row r="317" spans="1:12" x14ac:dyDescent="0.3">
      <c r="A317" s="9">
        <v>1316</v>
      </c>
      <c r="B317" s="9" t="s">
        <v>44</v>
      </c>
      <c r="C317" s="4" t="s">
        <v>19</v>
      </c>
      <c r="D317" s="4" t="s">
        <v>24</v>
      </c>
      <c r="E317" s="4" t="s">
        <v>8</v>
      </c>
      <c r="F317" s="4">
        <v>7</v>
      </c>
      <c r="G317" s="4">
        <v>9838</v>
      </c>
      <c r="H317" s="4">
        <v>7</v>
      </c>
      <c r="I317" s="7">
        <v>46078</v>
      </c>
      <c r="J317" s="7">
        <v>46085</v>
      </c>
      <c r="K317" s="4" t="s">
        <v>79</v>
      </c>
      <c r="L317" s="4">
        <f t="shared" si="4"/>
        <v>68866</v>
      </c>
    </row>
    <row r="318" spans="1:12" x14ac:dyDescent="0.3">
      <c r="A318" s="9">
        <v>1317</v>
      </c>
      <c r="B318" s="9" t="s">
        <v>56</v>
      </c>
      <c r="C318" s="4" t="s">
        <v>33</v>
      </c>
      <c r="D318" s="4" t="s">
        <v>34</v>
      </c>
      <c r="E318" s="4" t="s">
        <v>40</v>
      </c>
      <c r="F318" s="4">
        <v>7</v>
      </c>
      <c r="G318" s="4">
        <v>67339</v>
      </c>
      <c r="H318" s="4">
        <v>5</v>
      </c>
      <c r="I318" s="7">
        <v>46159</v>
      </c>
      <c r="J318" s="7">
        <v>46169</v>
      </c>
      <c r="K318" s="4" t="s">
        <v>81</v>
      </c>
      <c r="L318" s="4">
        <f t="shared" si="4"/>
        <v>471373</v>
      </c>
    </row>
    <row r="319" spans="1:12" x14ac:dyDescent="0.3">
      <c r="A319" s="9">
        <v>1318</v>
      </c>
      <c r="B319" s="9" t="s">
        <v>18</v>
      </c>
      <c r="C319" s="4" t="s">
        <v>42</v>
      </c>
      <c r="D319" s="4" t="s">
        <v>20</v>
      </c>
      <c r="E319" s="4" t="s">
        <v>48</v>
      </c>
      <c r="F319" s="4">
        <v>4</v>
      </c>
      <c r="G319" s="4">
        <v>38</v>
      </c>
      <c r="H319" s="4">
        <v>12</v>
      </c>
      <c r="I319" s="7">
        <v>46169</v>
      </c>
      <c r="J319" s="7">
        <v>46175</v>
      </c>
      <c r="K319" s="4" t="s">
        <v>49</v>
      </c>
      <c r="L319" s="4">
        <f t="shared" si="4"/>
        <v>152</v>
      </c>
    </row>
    <row r="320" spans="1:12" x14ac:dyDescent="0.3">
      <c r="A320" s="9">
        <v>1319</v>
      </c>
      <c r="B320" s="9" t="s">
        <v>25</v>
      </c>
      <c r="C320" s="4" t="s">
        <v>23</v>
      </c>
      <c r="D320" s="4" t="s">
        <v>34</v>
      </c>
      <c r="E320" s="4" t="s">
        <v>12</v>
      </c>
      <c r="F320" s="4">
        <v>17</v>
      </c>
      <c r="G320" s="4">
        <v>58407</v>
      </c>
      <c r="H320" s="4">
        <v>7</v>
      </c>
      <c r="I320" s="7">
        <v>46094</v>
      </c>
      <c r="J320" s="7">
        <v>46102</v>
      </c>
      <c r="K320" s="4" t="s">
        <v>78</v>
      </c>
      <c r="L320" s="4">
        <f t="shared" si="4"/>
        <v>992919</v>
      </c>
    </row>
    <row r="321" spans="1:12" x14ac:dyDescent="0.3">
      <c r="A321" s="9">
        <v>1320</v>
      </c>
      <c r="B321" s="9" t="s">
        <v>45</v>
      </c>
      <c r="C321" s="4" t="s">
        <v>38</v>
      </c>
      <c r="D321" s="4" t="s">
        <v>20</v>
      </c>
      <c r="E321" s="4" t="s">
        <v>36</v>
      </c>
      <c r="F321" s="4">
        <v>20</v>
      </c>
      <c r="G321" s="4">
        <v>55</v>
      </c>
      <c r="H321" s="4">
        <v>7</v>
      </c>
      <c r="I321" s="7">
        <v>46183</v>
      </c>
      <c r="J321" s="7">
        <v>46186</v>
      </c>
      <c r="K321" s="4" t="s">
        <v>79</v>
      </c>
      <c r="L321" s="4">
        <f t="shared" si="4"/>
        <v>1100</v>
      </c>
    </row>
    <row r="322" spans="1:12" x14ac:dyDescent="0.3">
      <c r="A322" s="9">
        <v>1321</v>
      </c>
      <c r="B322" s="9" t="s">
        <v>32</v>
      </c>
      <c r="C322" s="4" t="s">
        <v>26</v>
      </c>
      <c r="D322" s="4" t="s">
        <v>24</v>
      </c>
      <c r="E322" s="4" t="s">
        <v>7</v>
      </c>
      <c r="F322" s="4">
        <v>8</v>
      </c>
      <c r="G322" s="4">
        <v>5619</v>
      </c>
      <c r="H322" s="4">
        <v>7</v>
      </c>
      <c r="I322" s="7">
        <v>46107</v>
      </c>
      <c r="J322" s="7">
        <v>46109</v>
      </c>
      <c r="K322" s="4" t="s">
        <v>81</v>
      </c>
      <c r="L322" s="4">
        <f t="shared" si="4"/>
        <v>44952</v>
      </c>
    </row>
    <row r="323" spans="1:12" x14ac:dyDescent="0.3">
      <c r="A323" s="9">
        <v>1322</v>
      </c>
      <c r="B323" s="9" t="s">
        <v>29</v>
      </c>
      <c r="C323" s="4" t="s">
        <v>19</v>
      </c>
      <c r="D323" s="4" t="s">
        <v>24</v>
      </c>
      <c r="E323" s="4" t="s">
        <v>10</v>
      </c>
      <c r="F323" s="4">
        <v>14</v>
      </c>
      <c r="G323" s="4">
        <v>9081</v>
      </c>
      <c r="H323" s="4">
        <v>15</v>
      </c>
      <c r="I323" s="7">
        <v>46141</v>
      </c>
      <c r="J323" s="7">
        <v>46146</v>
      </c>
      <c r="K323" s="4" t="s">
        <v>78</v>
      </c>
      <c r="L323" s="4">
        <f t="shared" ref="L323:L386" si="5">G323*F323</f>
        <v>127134</v>
      </c>
    </row>
    <row r="324" spans="1:12" x14ac:dyDescent="0.3">
      <c r="A324" s="9">
        <v>1323</v>
      </c>
      <c r="B324" s="9" t="s">
        <v>54</v>
      </c>
      <c r="C324" s="4" t="s">
        <v>38</v>
      </c>
      <c r="D324" s="4" t="s">
        <v>34</v>
      </c>
      <c r="E324" s="4" t="s">
        <v>12</v>
      </c>
      <c r="F324" s="4">
        <v>2</v>
      </c>
      <c r="G324" s="4">
        <v>32074</v>
      </c>
      <c r="H324" s="4">
        <v>10</v>
      </c>
      <c r="I324" s="7">
        <v>46073</v>
      </c>
      <c r="J324" s="7">
        <v>46078</v>
      </c>
      <c r="K324" s="4" t="s">
        <v>78</v>
      </c>
      <c r="L324" s="4">
        <f t="shared" si="5"/>
        <v>64148</v>
      </c>
    </row>
    <row r="325" spans="1:12" x14ac:dyDescent="0.3">
      <c r="A325" s="9">
        <v>1324</v>
      </c>
      <c r="B325" s="9" t="s">
        <v>32</v>
      </c>
      <c r="C325" s="4" t="s">
        <v>26</v>
      </c>
      <c r="D325" s="4" t="s">
        <v>24</v>
      </c>
      <c r="E325" s="4" t="s">
        <v>7</v>
      </c>
      <c r="F325" s="4">
        <v>1</v>
      </c>
      <c r="G325" s="4">
        <v>4286</v>
      </c>
      <c r="H325" s="4">
        <v>15</v>
      </c>
      <c r="I325" s="7">
        <v>46053</v>
      </c>
      <c r="J325" s="7">
        <v>46056</v>
      </c>
      <c r="K325" s="4" t="s">
        <v>79</v>
      </c>
      <c r="L325" s="4">
        <f t="shared" si="5"/>
        <v>4286</v>
      </c>
    </row>
    <row r="326" spans="1:12" x14ac:dyDescent="0.3">
      <c r="A326" s="9">
        <v>1325</v>
      </c>
      <c r="B326" s="9" t="s">
        <v>46</v>
      </c>
      <c r="C326" s="4" t="s">
        <v>42</v>
      </c>
      <c r="D326" s="4" t="s">
        <v>34</v>
      </c>
      <c r="E326" s="4" t="s">
        <v>5</v>
      </c>
      <c r="F326" s="4">
        <v>9</v>
      </c>
      <c r="G326" s="4">
        <v>58442</v>
      </c>
      <c r="H326" s="4">
        <v>12</v>
      </c>
      <c r="I326" s="7">
        <v>46076</v>
      </c>
      <c r="J326" s="7">
        <v>46085</v>
      </c>
      <c r="K326" s="4" t="s">
        <v>79</v>
      </c>
      <c r="L326" s="4">
        <f t="shared" si="5"/>
        <v>525978</v>
      </c>
    </row>
    <row r="327" spans="1:12" x14ac:dyDescent="0.3">
      <c r="A327" s="9">
        <v>1326</v>
      </c>
      <c r="B327" s="9" t="s">
        <v>28</v>
      </c>
      <c r="C327" s="4" t="s">
        <v>23</v>
      </c>
      <c r="D327" s="4" t="s">
        <v>24</v>
      </c>
      <c r="E327" s="4" t="s">
        <v>43</v>
      </c>
      <c r="F327" s="4">
        <v>18</v>
      </c>
      <c r="G327" s="4">
        <v>1830</v>
      </c>
      <c r="H327" s="4">
        <v>10</v>
      </c>
      <c r="I327" s="7">
        <v>46165</v>
      </c>
      <c r="J327" s="7">
        <v>46172</v>
      </c>
      <c r="K327" s="4" t="s">
        <v>78</v>
      </c>
      <c r="L327" s="4">
        <f t="shared" si="5"/>
        <v>32940</v>
      </c>
    </row>
    <row r="328" spans="1:12" x14ac:dyDescent="0.3">
      <c r="A328" s="9">
        <v>1327</v>
      </c>
      <c r="B328" s="9" t="s">
        <v>46</v>
      </c>
      <c r="C328" s="4" t="s">
        <v>19</v>
      </c>
      <c r="D328" s="4" t="s">
        <v>20</v>
      </c>
      <c r="E328" s="4" t="s">
        <v>51</v>
      </c>
      <c r="F328" s="4">
        <v>15</v>
      </c>
      <c r="G328" s="4">
        <v>449</v>
      </c>
      <c r="H328" s="4">
        <v>5</v>
      </c>
      <c r="I328" s="7">
        <v>46152</v>
      </c>
      <c r="J328" s="7">
        <v>46153</v>
      </c>
      <c r="K328" s="4" t="s">
        <v>78</v>
      </c>
      <c r="L328" s="4">
        <f t="shared" si="5"/>
        <v>6735</v>
      </c>
    </row>
    <row r="329" spans="1:12" x14ac:dyDescent="0.3">
      <c r="A329" s="9">
        <v>1328</v>
      </c>
      <c r="B329" s="9" t="s">
        <v>22</v>
      </c>
      <c r="C329" s="4" t="s">
        <v>38</v>
      </c>
      <c r="D329" s="4" t="s">
        <v>20</v>
      </c>
      <c r="E329" s="4" t="s">
        <v>36</v>
      </c>
      <c r="F329" s="4">
        <v>4</v>
      </c>
      <c r="G329" s="4">
        <v>132</v>
      </c>
      <c r="H329" s="4">
        <v>0</v>
      </c>
      <c r="I329" s="7">
        <v>46109</v>
      </c>
      <c r="J329" s="7">
        <v>46114</v>
      </c>
      <c r="K329" s="4" t="s">
        <v>49</v>
      </c>
      <c r="L329" s="4">
        <f t="shared" si="5"/>
        <v>528</v>
      </c>
    </row>
    <row r="330" spans="1:12" x14ac:dyDescent="0.3">
      <c r="A330" s="9">
        <v>1329</v>
      </c>
      <c r="B330" s="9" t="s">
        <v>30</v>
      </c>
      <c r="C330" s="4" t="s">
        <v>42</v>
      </c>
      <c r="D330" s="4" t="s">
        <v>20</v>
      </c>
      <c r="E330" s="4" t="s">
        <v>51</v>
      </c>
      <c r="F330" s="4">
        <v>18</v>
      </c>
      <c r="G330" s="4">
        <v>227</v>
      </c>
      <c r="H330" s="4">
        <v>5</v>
      </c>
      <c r="I330" s="7">
        <v>46126</v>
      </c>
      <c r="J330" s="7">
        <v>46136</v>
      </c>
      <c r="K330" s="4" t="s">
        <v>49</v>
      </c>
      <c r="L330" s="4">
        <f t="shared" si="5"/>
        <v>4086</v>
      </c>
    </row>
    <row r="331" spans="1:12" x14ac:dyDescent="0.3">
      <c r="A331" s="9">
        <v>1330</v>
      </c>
      <c r="B331" s="9" t="s">
        <v>47</v>
      </c>
      <c r="C331" s="4" t="s">
        <v>23</v>
      </c>
      <c r="D331" s="4" t="s">
        <v>24</v>
      </c>
      <c r="E331" s="4" t="s">
        <v>7</v>
      </c>
      <c r="F331" s="4">
        <v>13</v>
      </c>
      <c r="G331" s="4">
        <v>12071</v>
      </c>
      <c r="H331" s="4">
        <v>0</v>
      </c>
      <c r="I331" s="7">
        <v>46032</v>
      </c>
      <c r="J331" s="7">
        <v>46036</v>
      </c>
      <c r="K331" s="4" t="s">
        <v>81</v>
      </c>
      <c r="L331" s="4">
        <f t="shared" si="5"/>
        <v>156923</v>
      </c>
    </row>
    <row r="332" spans="1:12" x14ac:dyDescent="0.3">
      <c r="A332" s="9">
        <v>1331</v>
      </c>
      <c r="B332" s="9" t="s">
        <v>25</v>
      </c>
      <c r="C332" s="4" t="s">
        <v>27</v>
      </c>
      <c r="D332" s="4" t="s">
        <v>34</v>
      </c>
      <c r="E332" s="4" t="s">
        <v>12</v>
      </c>
      <c r="F332" s="4">
        <v>2</v>
      </c>
      <c r="G332" s="4">
        <v>43557</v>
      </c>
      <c r="H332" s="4">
        <v>2</v>
      </c>
      <c r="I332" s="7">
        <v>46190</v>
      </c>
      <c r="J332" s="7">
        <v>46200</v>
      </c>
      <c r="K332" s="4" t="s">
        <v>78</v>
      </c>
      <c r="L332" s="4">
        <f t="shared" si="5"/>
        <v>87114</v>
      </c>
    </row>
    <row r="333" spans="1:12" x14ac:dyDescent="0.3">
      <c r="A333" s="9">
        <v>1332</v>
      </c>
      <c r="B333" s="9" t="s">
        <v>49</v>
      </c>
      <c r="C333" s="4" t="s">
        <v>42</v>
      </c>
      <c r="D333" s="4" t="s">
        <v>20</v>
      </c>
      <c r="E333" s="4" t="s">
        <v>48</v>
      </c>
      <c r="F333" s="4">
        <v>7</v>
      </c>
      <c r="G333" s="4">
        <v>439</v>
      </c>
      <c r="H333" s="4">
        <v>2</v>
      </c>
      <c r="I333" s="7">
        <v>46154</v>
      </c>
      <c r="J333" s="7">
        <v>46157</v>
      </c>
      <c r="K333" s="4" t="s">
        <v>78</v>
      </c>
      <c r="L333" s="4">
        <f t="shared" si="5"/>
        <v>3073</v>
      </c>
    </row>
    <row r="334" spans="1:12" x14ac:dyDescent="0.3">
      <c r="A334" s="9">
        <v>1333</v>
      </c>
      <c r="B334" s="9" t="s">
        <v>49</v>
      </c>
      <c r="C334" s="4" t="s">
        <v>38</v>
      </c>
      <c r="D334" s="4" t="s">
        <v>20</v>
      </c>
      <c r="E334" s="4" t="s">
        <v>51</v>
      </c>
      <c r="F334" s="4">
        <v>20</v>
      </c>
      <c r="G334" s="4">
        <v>416</v>
      </c>
      <c r="H334" s="4">
        <v>12</v>
      </c>
      <c r="I334" s="7">
        <v>46145</v>
      </c>
      <c r="J334" s="7">
        <v>46146</v>
      </c>
      <c r="K334" s="4" t="s">
        <v>81</v>
      </c>
      <c r="L334" s="4">
        <f t="shared" si="5"/>
        <v>8320</v>
      </c>
    </row>
    <row r="335" spans="1:12" x14ac:dyDescent="0.3">
      <c r="A335" s="9">
        <v>1334</v>
      </c>
      <c r="B335" s="9" t="s">
        <v>39</v>
      </c>
      <c r="C335" s="4" t="s">
        <v>19</v>
      </c>
      <c r="D335" s="4" t="s">
        <v>34</v>
      </c>
      <c r="E335" s="4" t="s">
        <v>40</v>
      </c>
      <c r="F335" s="4">
        <v>15</v>
      </c>
      <c r="G335" s="4">
        <v>39853</v>
      </c>
      <c r="H335" s="4">
        <v>7</v>
      </c>
      <c r="I335" s="7">
        <v>46038</v>
      </c>
      <c r="J335" s="7">
        <v>46047</v>
      </c>
      <c r="K335" s="4" t="s">
        <v>81</v>
      </c>
      <c r="L335" s="4">
        <f t="shared" si="5"/>
        <v>597795</v>
      </c>
    </row>
    <row r="336" spans="1:12" x14ac:dyDescent="0.3">
      <c r="A336" s="9">
        <v>1335</v>
      </c>
      <c r="B336" s="9" t="s">
        <v>45</v>
      </c>
      <c r="C336" s="4" t="s">
        <v>23</v>
      </c>
      <c r="D336" s="4" t="s">
        <v>24</v>
      </c>
      <c r="E336" s="4" t="s">
        <v>7</v>
      </c>
      <c r="F336" s="4">
        <v>9</v>
      </c>
      <c r="G336" s="4">
        <v>1495</v>
      </c>
      <c r="H336" s="4">
        <v>12</v>
      </c>
      <c r="I336" s="7">
        <v>46168</v>
      </c>
      <c r="J336" s="7">
        <v>46173</v>
      </c>
      <c r="K336" s="4" t="s">
        <v>78</v>
      </c>
      <c r="L336" s="4">
        <f t="shared" si="5"/>
        <v>13455</v>
      </c>
    </row>
    <row r="337" spans="1:12" x14ac:dyDescent="0.3">
      <c r="A337" s="9">
        <v>1336</v>
      </c>
      <c r="B337" s="9" t="s">
        <v>22</v>
      </c>
      <c r="C337" s="4" t="s">
        <v>27</v>
      </c>
      <c r="D337" s="4" t="s">
        <v>24</v>
      </c>
      <c r="E337" s="4" t="s">
        <v>11</v>
      </c>
      <c r="F337" s="4">
        <v>10</v>
      </c>
      <c r="G337" s="4">
        <v>5624</v>
      </c>
      <c r="H337" s="4">
        <v>0</v>
      </c>
      <c r="I337" s="7">
        <v>46086</v>
      </c>
      <c r="J337" s="7">
        <v>46092</v>
      </c>
      <c r="K337" s="4" t="s">
        <v>49</v>
      </c>
      <c r="L337" s="4">
        <f t="shared" si="5"/>
        <v>56240</v>
      </c>
    </row>
    <row r="338" spans="1:12" x14ac:dyDescent="0.3">
      <c r="A338" s="9">
        <v>1337</v>
      </c>
      <c r="B338" s="9" t="s">
        <v>22</v>
      </c>
      <c r="C338" s="4" t="s">
        <v>19</v>
      </c>
      <c r="D338" s="4" t="s">
        <v>20</v>
      </c>
      <c r="E338" s="4" t="s">
        <v>51</v>
      </c>
      <c r="F338" s="4">
        <v>14</v>
      </c>
      <c r="G338" s="4">
        <v>373</v>
      </c>
      <c r="H338" s="4">
        <v>10</v>
      </c>
      <c r="I338" s="7">
        <v>46074</v>
      </c>
      <c r="J338" s="7">
        <v>46080</v>
      </c>
      <c r="K338" s="4" t="s">
        <v>49</v>
      </c>
      <c r="L338" s="4">
        <f t="shared" si="5"/>
        <v>5222</v>
      </c>
    </row>
    <row r="339" spans="1:12" x14ac:dyDescent="0.3">
      <c r="A339" s="9">
        <v>1338</v>
      </c>
      <c r="B339" s="9" t="s">
        <v>56</v>
      </c>
      <c r="C339" s="4" t="s">
        <v>27</v>
      </c>
      <c r="D339" s="4" t="s">
        <v>34</v>
      </c>
      <c r="E339" s="4" t="s">
        <v>9</v>
      </c>
      <c r="F339" s="4">
        <v>10</v>
      </c>
      <c r="G339" s="4">
        <v>16719</v>
      </c>
      <c r="H339" s="4">
        <v>5</v>
      </c>
      <c r="I339" s="7">
        <v>46177</v>
      </c>
      <c r="J339" s="7">
        <v>46179</v>
      </c>
      <c r="K339" s="4" t="s">
        <v>78</v>
      </c>
      <c r="L339" s="4">
        <f t="shared" si="5"/>
        <v>167190</v>
      </c>
    </row>
    <row r="340" spans="1:12" x14ac:dyDescent="0.3">
      <c r="A340" s="9">
        <v>1339</v>
      </c>
      <c r="B340" s="9" t="s">
        <v>32</v>
      </c>
      <c r="C340" s="4" t="s">
        <v>27</v>
      </c>
      <c r="D340" s="4" t="s">
        <v>20</v>
      </c>
      <c r="E340" s="4" t="s">
        <v>21</v>
      </c>
      <c r="F340" s="4">
        <v>6</v>
      </c>
      <c r="G340" s="4">
        <v>302</v>
      </c>
      <c r="H340" s="4">
        <v>5</v>
      </c>
      <c r="I340" s="7">
        <v>46142</v>
      </c>
      <c r="J340" s="7">
        <v>46148</v>
      </c>
      <c r="K340" s="4" t="s">
        <v>79</v>
      </c>
      <c r="L340" s="4">
        <f t="shared" si="5"/>
        <v>1812</v>
      </c>
    </row>
    <row r="341" spans="1:12" x14ac:dyDescent="0.3">
      <c r="A341" s="9">
        <v>1340</v>
      </c>
      <c r="B341" s="9" t="s">
        <v>46</v>
      </c>
      <c r="C341" s="4" t="s">
        <v>23</v>
      </c>
      <c r="D341" s="4" t="s">
        <v>24</v>
      </c>
      <c r="E341" s="4" t="s">
        <v>7</v>
      </c>
      <c r="F341" s="4">
        <v>12</v>
      </c>
      <c r="G341" s="4">
        <v>3857</v>
      </c>
      <c r="H341" s="4">
        <v>12</v>
      </c>
      <c r="I341" s="7">
        <v>46196</v>
      </c>
      <c r="J341" s="7">
        <v>46198</v>
      </c>
      <c r="K341" s="4" t="s">
        <v>81</v>
      </c>
      <c r="L341" s="4">
        <f t="shared" si="5"/>
        <v>46284</v>
      </c>
    </row>
    <row r="342" spans="1:12" x14ac:dyDescent="0.3">
      <c r="A342" s="9">
        <v>1341</v>
      </c>
      <c r="B342" s="9" t="s">
        <v>54</v>
      </c>
      <c r="C342" s="4" t="s">
        <v>38</v>
      </c>
      <c r="D342" s="4" t="s">
        <v>24</v>
      </c>
      <c r="E342" s="4" t="s">
        <v>7</v>
      </c>
      <c r="F342" s="4">
        <v>19</v>
      </c>
      <c r="G342" s="4">
        <v>6488</v>
      </c>
      <c r="H342" s="4">
        <v>15</v>
      </c>
      <c r="I342" s="7">
        <v>46026</v>
      </c>
      <c r="J342" s="7">
        <v>46030</v>
      </c>
      <c r="K342" s="4" t="s">
        <v>79</v>
      </c>
      <c r="L342" s="4">
        <f t="shared" si="5"/>
        <v>123272</v>
      </c>
    </row>
    <row r="343" spans="1:12" x14ac:dyDescent="0.3">
      <c r="A343" s="9">
        <v>1342</v>
      </c>
      <c r="B343" s="9" t="s">
        <v>56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7">
        <v>46132</v>
      </c>
      <c r="J343" s="7">
        <v>46139</v>
      </c>
      <c r="K343" s="4" t="s">
        <v>49</v>
      </c>
      <c r="L343" s="4">
        <f t="shared" si="5"/>
        <v>622453</v>
      </c>
    </row>
    <row r="344" spans="1:12" x14ac:dyDescent="0.3">
      <c r="A344" s="9">
        <v>1343</v>
      </c>
      <c r="B344" s="9" t="s">
        <v>56</v>
      </c>
      <c r="C344" s="4" t="s">
        <v>31</v>
      </c>
      <c r="D344" s="4" t="s">
        <v>34</v>
      </c>
      <c r="E344" s="4" t="s">
        <v>5</v>
      </c>
      <c r="F344" s="4">
        <v>14</v>
      </c>
      <c r="G344" s="4">
        <v>32719</v>
      </c>
      <c r="H344" s="4">
        <v>15</v>
      </c>
      <c r="I344" s="7">
        <v>46174</v>
      </c>
      <c r="J344" s="7">
        <v>46179</v>
      </c>
      <c r="K344" s="4" t="s">
        <v>78</v>
      </c>
      <c r="L344" s="4">
        <f t="shared" si="5"/>
        <v>458066</v>
      </c>
    </row>
    <row r="345" spans="1:12" x14ac:dyDescent="0.3">
      <c r="A345" s="9">
        <v>1344</v>
      </c>
      <c r="B345" s="9" t="s">
        <v>30</v>
      </c>
      <c r="C345" s="4" t="s">
        <v>23</v>
      </c>
      <c r="D345" s="4" t="s">
        <v>20</v>
      </c>
      <c r="E345" s="4" t="s">
        <v>51</v>
      </c>
      <c r="F345" s="4">
        <v>18</v>
      </c>
      <c r="G345" s="4">
        <v>240</v>
      </c>
      <c r="H345" s="4">
        <v>10</v>
      </c>
      <c r="I345" s="7">
        <v>46155</v>
      </c>
      <c r="J345" s="7">
        <v>46156</v>
      </c>
      <c r="K345" s="4" t="s">
        <v>80</v>
      </c>
      <c r="L345" s="4">
        <f t="shared" si="5"/>
        <v>4320</v>
      </c>
    </row>
    <row r="346" spans="1:12" x14ac:dyDescent="0.3">
      <c r="A346" s="9">
        <v>1345</v>
      </c>
      <c r="B346" s="9" t="s">
        <v>32</v>
      </c>
      <c r="C346" s="4" t="s">
        <v>19</v>
      </c>
      <c r="D346" s="4" t="s">
        <v>34</v>
      </c>
      <c r="E346" s="4" t="s">
        <v>6</v>
      </c>
      <c r="F346" s="4">
        <v>12</v>
      </c>
      <c r="G346" s="4">
        <v>50544</v>
      </c>
      <c r="H346" s="4">
        <v>10</v>
      </c>
      <c r="I346" s="7">
        <v>46095</v>
      </c>
      <c r="J346" s="7">
        <v>46097</v>
      </c>
      <c r="K346" s="4" t="s">
        <v>49</v>
      </c>
      <c r="L346" s="4">
        <f t="shared" si="5"/>
        <v>606528</v>
      </c>
    </row>
    <row r="347" spans="1:12" x14ac:dyDescent="0.3">
      <c r="A347" s="9">
        <v>1346</v>
      </c>
      <c r="B347" s="9" t="s">
        <v>32</v>
      </c>
      <c r="C347" s="4" t="s">
        <v>26</v>
      </c>
      <c r="D347" s="4" t="s">
        <v>24</v>
      </c>
      <c r="E347" s="4" t="s">
        <v>7</v>
      </c>
      <c r="F347" s="4">
        <v>16</v>
      </c>
      <c r="G347" s="4">
        <v>6910</v>
      </c>
      <c r="H347" s="4">
        <v>15</v>
      </c>
      <c r="I347" s="7">
        <v>46140</v>
      </c>
      <c r="J347" s="7">
        <v>46142</v>
      </c>
      <c r="K347" s="4" t="s">
        <v>49</v>
      </c>
      <c r="L347" s="4">
        <f t="shared" si="5"/>
        <v>110560</v>
      </c>
    </row>
    <row r="348" spans="1:12" x14ac:dyDescent="0.3">
      <c r="A348" s="9">
        <v>1347</v>
      </c>
      <c r="B348" s="9" t="s">
        <v>49</v>
      </c>
      <c r="C348" s="4" t="s">
        <v>26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7">
        <v>46037</v>
      </c>
      <c r="J348" s="7">
        <v>46044</v>
      </c>
      <c r="K348" s="4" t="s">
        <v>80</v>
      </c>
      <c r="L348" s="4">
        <f t="shared" si="5"/>
        <v>96544</v>
      </c>
    </row>
    <row r="349" spans="1:12" x14ac:dyDescent="0.3">
      <c r="A349" s="9">
        <v>1348</v>
      </c>
      <c r="B349" s="9" t="s">
        <v>18</v>
      </c>
      <c r="C349" s="4" t="s">
        <v>33</v>
      </c>
      <c r="D349" s="4" t="s">
        <v>20</v>
      </c>
      <c r="E349" s="4" t="s">
        <v>48</v>
      </c>
      <c r="F349" s="4">
        <v>12</v>
      </c>
      <c r="G349" s="4">
        <v>244</v>
      </c>
      <c r="H349" s="4">
        <v>7</v>
      </c>
      <c r="I349" s="7">
        <v>46048</v>
      </c>
      <c r="J349" s="7">
        <v>46053</v>
      </c>
      <c r="K349" s="4" t="s">
        <v>78</v>
      </c>
      <c r="L349" s="4">
        <f t="shared" si="5"/>
        <v>2928</v>
      </c>
    </row>
    <row r="350" spans="1:12" x14ac:dyDescent="0.3">
      <c r="A350" s="9">
        <v>1349</v>
      </c>
      <c r="B350" s="9" t="s">
        <v>39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7">
        <v>46079</v>
      </c>
      <c r="J350" s="7">
        <v>46083</v>
      </c>
      <c r="K350" s="4" t="s">
        <v>79</v>
      </c>
      <c r="L350" s="4">
        <f t="shared" si="5"/>
        <v>1254420</v>
      </c>
    </row>
    <row r="351" spans="1:12" x14ac:dyDescent="0.3">
      <c r="A351" s="9">
        <v>1350</v>
      </c>
      <c r="B351" s="9" t="s">
        <v>28</v>
      </c>
      <c r="C351" s="4" t="s">
        <v>42</v>
      </c>
      <c r="D351" s="4" t="s">
        <v>24</v>
      </c>
      <c r="E351" s="4" t="s">
        <v>8</v>
      </c>
      <c r="F351" s="4">
        <v>16</v>
      </c>
      <c r="G351" s="4">
        <v>11790</v>
      </c>
      <c r="H351" s="4">
        <v>12</v>
      </c>
      <c r="I351" s="7">
        <v>46185</v>
      </c>
      <c r="J351" s="7">
        <v>46190</v>
      </c>
      <c r="K351" s="4" t="s">
        <v>49</v>
      </c>
      <c r="L351" s="4">
        <f t="shared" si="5"/>
        <v>188640</v>
      </c>
    </row>
    <row r="352" spans="1:12" x14ac:dyDescent="0.3">
      <c r="A352" s="9">
        <v>1351</v>
      </c>
      <c r="B352" s="9" t="s">
        <v>41</v>
      </c>
      <c r="C352" s="4" t="s">
        <v>33</v>
      </c>
      <c r="D352" s="4" t="s">
        <v>34</v>
      </c>
      <c r="E352" s="4" t="s">
        <v>6</v>
      </c>
      <c r="F352" s="4">
        <v>12</v>
      </c>
      <c r="G352" s="4">
        <v>1272</v>
      </c>
      <c r="H352" s="4">
        <v>0</v>
      </c>
      <c r="I352" s="7">
        <v>46026</v>
      </c>
      <c r="J352" s="7">
        <v>46029</v>
      </c>
      <c r="K352" s="4" t="s">
        <v>78</v>
      </c>
      <c r="L352" s="4">
        <f t="shared" si="5"/>
        <v>15264</v>
      </c>
    </row>
    <row r="353" spans="1:12" x14ac:dyDescent="0.3">
      <c r="A353" s="9">
        <v>1352</v>
      </c>
      <c r="B353" s="9" t="s">
        <v>52</v>
      </c>
      <c r="C353" s="4" t="s">
        <v>26</v>
      </c>
      <c r="D353" s="4" t="s">
        <v>20</v>
      </c>
      <c r="E353" s="4" t="s">
        <v>21</v>
      </c>
      <c r="F353" s="4">
        <v>12</v>
      </c>
      <c r="G353" s="4">
        <v>203</v>
      </c>
      <c r="H353" s="4">
        <v>5</v>
      </c>
      <c r="I353" s="7">
        <v>46024</v>
      </c>
      <c r="J353" s="7">
        <v>46033</v>
      </c>
      <c r="K353" s="4" t="s">
        <v>78</v>
      </c>
      <c r="L353" s="4">
        <f t="shared" si="5"/>
        <v>2436</v>
      </c>
    </row>
    <row r="354" spans="1:12" x14ac:dyDescent="0.3">
      <c r="A354" s="9">
        <v>1353</v>
      </c>
      <c r="B354" s="9" t="s">
        <v>45</v>
      </c>
      <c r="C354" s="4" t="s">
        <v>42</v>
      </c>
      <c r="D354" s="4" t="s">
        <v>20</v>
      </c>
      <c r="E354" s="4" t="s">
        <v>21</v>
      </c>
      <c r="F354" s="4">
        <v>6</v>
      </c>
      <c r="G354" s="4">
        <v>495</v>
      </c>
      <c r="H354" s="4">
        <v>2</v>
      </c>
      <c r="I354" s="7">
        <v>46194</v>
      </c>
      <c r="J354" s="7">
        <v>46200</v>
      </c>
      <c r="K354" s="4" t="s">
        <v>80</v>
      </c>
      <c r="L354" s="4">
        <f t="shared" si="5"/>
        <v>2970</v>
      </c>
    </row>
    <row r="355" spans="1:12" x14ac:dyDescent="0.3">
      <c r="A355" s="9">
        <v>1354</v>
      </c>
      <c r="B355" s="9" t="s">
        <v>45</v>
      </c>
      <c r="C355" s="4" t="s">
        <v>42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7">
        <v>46118</v>
      </c>
      <c r="J355" s="7">
        <v>46120</v>
      </c>
      <c r="K355" s="4" t="s">
        <v>81</v>
      </c>
      <c r="L355" s="4">
        <f t="shared" si="5"/>
        <v>223905</v>
      </c>
    </row>
    <row r="356" spans="1:12" x14ac:dyDescent="0.3">
      <c r="A356" s="9">
        <v>1355</v>
      </c>
      <c r="B356" s="9" t="s">
        <v>29</v>
      </c>
      <c r="C356" s="4" t="s">
        <v>19</v>
      </c>
      <c r="D356" s="4" t="s">
        <v>34</v>
      </c>
      <c r="E356" s="4" t="s">
        <v>9</v>
      </c>
      <c r="F356" s="4">
        <v>18</v>
      </c>
      <c r="G356" s="4">
        <v>35997</v>
      </c>
      <c r="H356" s="4">
        <v>2</v>
      </c>
      <c r="I356" s="7">
        <v>46024</v>
      </c>
      <c r="J356" s="7">
        <v>46031</v>
      </c>
      <c r="K356" s="4" t="s">
        <v>81</v>
      </c>
      <c r="L356" s="4">
        <f t="shared" si="5"/>
        <v>647946</v>
      </c>
    </row>
    <row r="357" spans="1:12" x14ac:dyDescent="0.3">
      <c r="A357" s="9">
        <v>1356</v>
      </c>
      <c r="B357" s="9" t="s">
        <v>28</v>
      </c>
      <c r="C357" s="4" t="s">
        <v>38</v>
      </c>
      <c r="D357" s="4" t="s">
        <v>34</v>
      </c>
      <c r="E357" s="4" t="s">
        <v>9</v>
      </c>
      <c r="F357" s="4">
        <v>16</v>
      </c>
      <c r="G357" s="4">
        <v>53457</v>
      </c>
      <c r="H357" s="4">
        <v>10</v>
      </c>
      <c r="I357" s="7">
        <v>46201</v>
      </c>
      <c r="J357" s="7">
        <v>46204</v>
      </c>
      <c r="K357" s="4" t="s">
        <v>78</v>
      </c>
      <c r="L357" s="4">
        <f t="shared" si="5"/>
        <v>855312</v>
      </c>
    </row>
    <row r="358" spans="1:12" x14ac:dyDescent="0.3">
      <c r="A358" s="9">
        <v>1357</v>
      </c>
      <c r="B358" s="9" t="s">
        <v>56</v>
      </c>
      <c r="C358" s="4" t="s">
        <v>27</v>
      </c>
      <c r="D358" s="4" t="s">
        <v>20</v>
      </c>
      <c r="E358" s="4" t="s">
        <v>37</v>
      </c>
      <c r="F358" s="4">
        <v>6</v>
      </c>
      <c r="G358" s="4">
        <v>365</v>
      </c>
      <c r="H358" s="4">
        <v>7</v>
      </c>
      <c r="I358" s="7">
        <v>46133</v>
      </c>
      <c r="J358" s="7">
        <v>46140</v>
      </c>
      <c r="K358" s="4" t="s">
        <v>81</v>
      </c>
      <c r="L358" s="4">
        <f t="shared" si="5"/>
        <v>2190</v>
      </c>
    </row>
    <row r="359" spans="1:12" x14ac:dyDescent="0.3">
      <c r="A359" s="9">
        <v>1358</v>
      </c>
      <c r="B359" s="9" t="s">
        <v>39</v>
      </c>
      <c r="C359" s="4" t="s">
        <v>38</v>
      </c>
      <c r="D359" s="4" t="s">
        <v>24</v>
      </c>
      <c r="E359" s="4" t="s">
        <v>7</v>
      </c>
      <c r="F359" s="4">
        <v>7</v>
      </c>
      <c r="G359" s="4">
        <v>6618</v>
      </c>
      <c r="H359" s="4">
        <v>0</v>
      </c>
      <c r="I359" s="7">
        <v>46127</v>
      </c>
      <c r="J359" s="7">
        <v>46129</v>
      </c>
      <c r="K359" s="4" t="s">
        <v>79</v>
      </c>
      <c r="L359" s="4">
        <f t="shared" si="5"/>
        <v>46326</v>
      </c>
    </row>
    <row r="360" spans="1:12" x14ac:dyDescent="0.3">
      <c r="A360" s="9">
        <v>1359</v>
      </c>
      <c r="B360" s="9" t="s">
        <v>52</v>
      </c>
      <c r="C360" s="4" t="s">
        <v>19</v>
      </c>
      <c r="D360" s="4" t="s">
        <v>34</v>
      </c>
      <c r="E360" s="4" t="s">
        <v>12</v>
      </c>
      <c r="F360" s="4">
        <v>9</v>
      </c>
      <c r="G360" s="4">
        <v>38179</v>
      </c>
      <c r="H360" s="4">
        <v>0</v>
      </c>
      <c r="I360" s="7">
        <v>46096</v>
      </c>
      <c r="J360" s="7">
        <v>46099</v>
      </c>
      <c r="K360" s="4" t="s">
        <v>78</v>
      </c>
      <c r="L360" s="4">
        <f t="shared" si="5"/>
        <v>343611</v>
      </c>
    </row>
    <row r="361" spans="1:12" x14ac:dyDescent="0.3">
      <c r="A361" s="9">
        <v>1360</v>
      </c>
      <c r="B361" s="9" t="s">
        <v>18</v>
      </c>
      <c r="C361" s="4" t="s">
        <v>42</v>
      </c>
      <c r="D361" s="4" t="s">
        <v>24</v>
      </c>
      <c r="E361" s="4" t="s">
        <v>10</v>
      </c>
      <c r="F361" s="4">
        <v>19</v>
      </c>
      <c r="G361" s="4">
        <v>6681</v>
      </c>
      <c r="H361" s="4">
        <v>2</v>
      </c>
      <c r="I361" s="7">
        <v>46146</v>
      </c>
      <c r="J361" s="7">
        <v>46150</v>
      </c>
      <c r="K361" s="4" t="s">
        <v>78</v>
      </c>
      <c r="L361" s="4">
        <f t="shared" si="5"/>
        <v>126939</v>
      </c>
    </row>
    <row r="362" spans="1:12" x14ac:dyDescent="0.3">
      <c r="A362" s="9">
        <v>1361</v>
      </c>
      <c r="B362" s="9" t="s">
        <v>41</v>
      </c>
      <c r="C362" s="4" t="s">
        <v>23</v>
      </c>
      <c r="D362" s="4" t="s">
        <v>24</v>
      </c>
      <c r="E362" s="4" t="s">
        <v>10</v>
      </c>
      <c r="F362" s="4">
        <v>2</v>
      </c>
      <c r="G362" s="4">
        <v>1822</v>
      </c>
      <c r="H362" s="4">
        <v>5</v>
      </c>
      <c r="I362" s="7">
        <v>46141</v>
      </c>
      <c r="J362" s="7">
        <v>46145</v>
      </c>
      <c r="K362" s="4" t="s">
        <v>79</v>
      </c>
      <c r="L362" s="4">
        <f t="shared" si="5"/>
        <v>3644</v>
      </c>
    </row>
    <row r="363" spans="1:12" x14ac:dyDescent="0.3">
      <c r="A363" s="9">
        <v>1362</v>
      </c>
      <c r="B363" s="9" t="s">
        <v>22</v>
      </c>
      <c r="C363" s="4" t="s">
        <v>19</v>
      </c>
      <c r="D363" s="4" t="s">
        <v>24</v>
      </c>
      <c r="E363" s="4" t="s">
        <v>8</v>
      </c>
      <c r="F363" s="4">
        <v>1</v>
      </c>
      <c r="G363" s="4">
        <v>10474</v>
      </c>
      <c r="H363" s="4">
        <v>0</v>
      </c>
      <c r="I363" s="7">
        <v>46094</v>
      </c>
      <c r="J363" s="7">
        <v>46096</v>
      </c>
      <c r="K363" s="4" t="s">
        <v>49</v>
      </c>
      <c r="L363" s="4">
        <f t="shared" si="5"/>
        <v>10474</v>
      </c>
    </row>
    <row r="364" spans="1:12" x14ac:dyDescent="0.3">
      <c r="A364" s="9">
        <v>1363</v>
      </c>
      <c r="B364" s="9" t="s">
        <v>29</v>
      </c>
      <c r="C364" s="4" t="s">
        <v>27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7">
        <v>46122</v>
      </c>
      <c r="J364" s="7">
        <v>46128</v>
      </c>
      <c r="K364" s="4" t="s">
        <v>78</v>
      </c>
      <c r="L364" s="4">
        <f t="shared" si="5"/>
        <v>317667</v>
      </c>
    </row>
    <row r="365" spans="1:12" x14ac:dyDescent="0.3">
      <c r="A365" s="9">
        <v>1364</v>
      </c>
      <c r="B365" s="9" t="s">
        <v>30</v>
      </c>
      <c r="C365" s="4" t="s">
        <v>26</v>
      </c>
      <c r="D365" s="4" t="s">
        <v>24</v>
      </c>
      <c r="E365" s="4" t="s">
        <v>11</v>
      </c>
      <c r="F365" s="4">
        <v>16</v>
      </c>
      <c r="G365" s="4">
        <v>1744</v>
      </c>
      <c r="H365" s="4">
        <v>15</v>
      </c>
      <c r="I365" s="7">
        <v>46031</v>
      </c>
      <c r="J365" s="7">
        <v>46033</v>
      </c>
      <c r="K365" s="4" t="s">
        <v>81</v>
      </c>
      <c r="L365" s="4">
        <f t="shared" si="5"/>
        <v>27904</v>
      </c>
    </row>
    <row r="366" spans="1:12" x14ac:dyDescent="0.3">
      <c r="A366" s="9">
        <v>1365</v>
      </c>
      <c r="B366" s="9" t="s">
        <v>44</v>
      </c>
      <c r="C366" s="4" t="s">
        <v>33</v>
      </c>
      <c r="D366" s="4" t="s">
        <v>20</v>
      </c>
      <c r="E366" s="4" t="s">
        <v>48</v>
      </c>
      <c r="F366" s="4">
        <v>17</v>
      </c>
      <c r="G366" s="4">
        <v>119</v>
      </c>
      <c r="H366" s="4">
        <v>7</v>
      </c>
      <c r="I366" s="7">
        <v>46070</v>
      </c>
      <c r="J366" s="7">
        <v>46072</v>
      </c>
      <c r="K366" s="4" t="s">
        <v>79</v>
      </c>
      <c r="L366" s="4">
        <f t="shared" si="5"/>
        <v>2023</v>
      </c>
    </row>
    <row r="367" spans="1:12" x14ac:dyDescent="0.3">
      <c r="A367" s="9">
        <v>1366</v>
      </c>
      <c r="B367" s="9" t="s">
        <v>28</v>
      </c>
      <c r="C367" s="4" t="s">
        <v>23</v>
      </c>
      <c r="D367" s="4" t="s">
        <v>34</v>
      </c>
      <c r="E367" s="4" t="s">
        <v>12</v>
      </c>
      <c r="F367" s="4">
        <v>20</v>
      </c>
      <c r="G367" s="4">
        <v>44312</v>
      </c>
      <c r="H367" s="4">
        <v>10</v>
      </c>
      <c r="I367" s="7">
        <v>46047</v>
      </c>
      <c r="J367" s="7">
        <v>46054</v>
      </c>
      <c r="K367" s="4" t="s">
        <v>49</v>
      </c>
      <c r="L367" s="4">
        <f t="shared" si="5"/>
        <v>886240</v>
      </c>
    </row>
    <row r="368" spans="1:12" x14ac:dyDescent="0.3">
      <c r="A368" s="9">
        <v>1367</v>
      </c>
      <c r="B368" s="9" t="s">
        <v>52</v>
      </c>
      <c r="C368" s="4" t="s">
        <v>27</v>
      </c>
      <c r="D368" s="4" t="s">
        <v>20</v>
      </c>
      <c r="E368" s="4" t="s">
        <v>51</v>
      </c>
      <c r="F368" s="4">
        <v>1</v>
      </c>
      <c r="G368" s="4">
        <v>371</v>
      </c>
      <c r="H368" s="4">
        <v>5</v>
      </c>
      <c r="I368" s="7">
        <v>46158</v>
      </c>
      <c r="J368" s="7">
        <v>46168</v>
      </c>
      <c r="K368" s="4" t="s">
        <v>49</v>
      </c>
      <c r="L368" s="4">
        <f t="shared" si="5"/>
        <v>371</v>
      </c>
    </row>
    <row r="369" spans="1:12" x14ac:dyDescent="0.3">
      <c r="A369" s="9">
        <v>1368</v>
      </c>
      <c r="B369" s="9" t="s">
        <v>53</v>
      </c>
      <c r="C369" s="4" t="s">
        <v>38</v>
      </c>
      <c r="D369" s="4" t="s">
        <v>20</v>
      </c>
      <c r="E369" s="4" t="s">
        <v>36</v>
      </c>
      <c r="F369" s="4">
        <v>9</v>
      </c>
      <c r="G369" s="4">
        <v>115</v>
      </c>
      <c r="H369" s="4">
        <v>0</v>
      </c>
      <c r="I369" s="7">
        <v>46036</v>
      </c>
      <c r="J369" s="7">
        <v>46045</v>
      </c>
      <c r="K369" s="4" t="s">
        <v>80</v>
      </c>
      <c r="L369" s="4">
        <f t="shared" si="5"/>
        <v>1035</v>
      </c>
    </row>
    <row r="370" spans="1:12" x14ac:dyDescent="0.3">
      <c r="A370" s="9">
        <v>1369</v>
      </c>
      <c r="B370" s="9" t="s">
        <v>54</v>
      </c>
      <c r="C370" s="4" t="s">
        <v>27</v>
      </c>
      <c r="D370" s="4" t="s">
        <v>24</v>
      </c>
      <c r="E370" s="4" t="s">
        <v>7</v>
      </c>
      <c r="F370" s="4">
        <v>19</v>
      </c>
      <c r="G370" s="4">
        <v>5840</v>
      </c>
      <c r="H370" s="4">
        <v>5</v>
      </c>
      <c r="I370" s="7">
        <v>46062</v>
      </c>
      <c r="J370" s="7">
        <v>46067</v>
      </c>
      <c r="K370" s="4" t="s">
        <v>78</v>
      </c>
      <c r="L370" s="4">
        <f t="shared" si="5"/>
        <v>110960</v>
      </c>
    </row>
    <row r="371" spans="1:12" x14ac:dyDescent="0.3">
      <c r="A371" s="9">
        <v>1370</v>
      </c>
      <c r="B371" s="9" t="s">
        <v>56</v>
      </c>
      <c r="C371" s="4" t="s">
        <v>38</v>
      </c>
      <c r="D371" s="4" t="s">
        <v>20</v>
      </c>
      <c r="E371" s="4" t="s">
        <v>51</v>
      </c>
      <c r="F371" s="4">
        <v>13</v>
      </c>
      <c r="G371" s="4">
        <v>337</v>
      </c>
      <c r="H371" s="4">
        <v>7</v>
      </c>
      <c r="I371" s="7">
        <v>46184</v>
      </c>
      <c r="J371" s="7">
        <v>46188</v>
      </c>
      <c r="K371" s="4" t="s">
        <v>78</v>
      </c>
      <c r="L371" s="4">
        <f t="shared" si="5"/>
        <v>4381</v>
      </c>
    </row>
    <row r="372" spans="1:12" x14ac:dyDescent="0.3">
      <c r="A372" s="9">
        <v>1371</v>
      </c>
      <c r="B372" s="9" t="s">
        <v>46</v>
      </c>
      <c r="C372" s="4" t="s">
        <v>38</v>
      </c>
      <c r="D372" s="4" t="s">
        <v>24</v>
      </c>
      <c r="E372" s="4" t="s">
        <v>7</v>
      </c>
      <c r="F372" s="4">
        <v>19</v>
      </c>
      <c r="G372" s="4">
        <v>1087</v>
      </c>
      <c r="H372" s="4">
        <v>15</v>
      </c>
      <c r="I372" s="7">
        <v>46072</v>
      </c>
      <c r="J372" s="7">
        <v>46082</v>
      </c>
      <c r="K372" s="4" t="s">
        <v>79</v>
      </c>
      <c r="L372" s="4">
        <f t="shared" si="5"/>
        <v>20653</v>
      </c>
    </row>
    <row r="373" spans="1:12" x14ac:dyDescent="0.3">
      <c r="A373" s="9">
        <v>1372</v>
      </c>
      <c r="B373" s="9" t="s">
        <v>46</v>
      </c>
      <c r="C373" s="4" t="s">
        <v>23</v>
      </c>
      <c r="D373" s="4" t="s">
        <v>34</v>
      </c>
      <c r="E373" s="4" t="s">
        <v>5</v>
      </c>
      <c r="F373" s="4">
        <v>9</v>
      </c>
      <c r="G373" s="4">
        <v>9551</v>
      </c>
      <c r="H373" s="4">
        <v>10</v>
      </c>
      <c r="I373" s="7">
        <v>46161</v>
      </c>
      <c r="J373" s="7">
        <v>46168</v>
      </c>
      <c r="K373" s="4" t="s">
        <v>78</v>
      </c>
      <c r="L373" s="4">
        <f t="shared" si="5"/>
        <v>85959</v>
      </c>
    </row>
    <row r="374" spans="1:12" x14ac:dyDescent="0.3">
      <c r="A374" s="9">
        <v>1373</v>
      </c>
      <c r="B374" s="9" t="s">
        <v>52</v>
      </c>
      <c r="C374" s="4" t="s">
        <v>27</v>
      </c>
      <c r="D374" s="4" t="s">
        <v>34</v>
      </c>
      <c r="E374" s="4" t="s">
        <v>9</v>
      </c>
      <c r="F374" s="4">
        <v>11</v>
      </c>
      <c r="G374" s="4">
        <v>47930</v>
      </c>
      <c r="H374" s="4">
        <v>12</v>
      </c>
      <c r="I374" s="7">
        <v>46191</v>
      </c>
      <c r="J374" s="7">
        <v>46201</v>
      </c>
      <c r="K374" s="4" t="s">
        <v>79</v>
      </c>
      <c r="L374" s="4">
        <f t="shared" si="5"/>
        <v>527230</v>
      </c>
    </row>
    <row r="375" spans="1:12" x14ac:dyDescent="0.3">
      <c r="A375" s="9">
        <v>1374</v>
      </c>
      <c r="B375" s="9" t="s">
        <v>54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7">
        <v>46063</v>
      </c>
      <c r="J375" s="7">
        <v>46066</v>
      </c>
      <c r="K375" s="4" t="s">
        <v>81</v>
      </c>
      <c r="L375" s="4">
        <f t="shared" si="5"/>
        <v>792624</v>
      </c>
    </row>
    <row r="376" spans="1:12" x14ac:dyDescent="0.3">
      <c r="A376" s="9">
        <v>1375</v>
      </c>
      <c r="B376" s="9" t="s">
        <v>44</v>
      </c>
      <c r="C376" s="4" t="s">
        <v>42</v>
      </c>
      <c r="D376" s="4" t="s">
        <v>34</v>
      </c>
      <c r="E376" s="4" t="s">
        <v>6</v>
      </c>
      <c r="F376" s="4">
        <v>20</v>
      </c>
      <c r="G376" s="4">
        <v>56766</v>
      </c>
      <c r="H376" s="4">
        <v>0</v>
      </c>
      <c r="I376" s="7">
        <v>46052</v>
      </c>
      <c r="J376" s="7">
        <v>46061</v>
      </c>
      <c r="K376" s="4" t="s">
        <v>80</v>
      </c>
      <c r="L376" s="4">
        <f t="shared" si="5"/>
        <v>1135320</v>
      </c>
    </row>
    <row r="377" spans="1:12" x14ac:dyDescent="0.3">
      <c r="A377" s="9">
        <v>1376</v>
      </c>
      <c r="B377" s="9" t="s">
        <v>50</v>
      </c>
      <c r="C377" s="4" t="s">
        <v>31</v>
      </c>
      <c r="D377" s="4" t="s">
        <v>20</v>
      </c>
      <c r="E377" s="4" t="s">
        <v>48</v>
      </c>
      <c r="F377" s="4">
        <v>20</v>
      </c>
      <c r="G377" s="4">
        <v>429</v>
      </c>
      <c r="H377" s="4">
        <v>5</v>
      </c>
      <c r="I377" s="7">
        <v>46178</v>
      </c>
      <c r="J377" s="7">
        <v>46184</v>
      </c>
      <c r="K377" s="4" t="s">
        <v>79</v>
      </c>
      <c r="L377" s="4">
        <f t="shared" si="5"/>
        <v>8580</v>
      </c>
    </row>
    <row r="378" spans="1:12" x14ac:dyDescent="0.3">
      <c r="A378" s="9">
        <v>1377</v>
      </c>
      <c r="B378" s="9" t="s">
        <v>32</v>
      </c>
      <c r="C378" s="4" t="s">
        <v>38</v>
      </c>
      <c r="D378" s="4" t="s">
        <v>24</v>
      </c>
      <c r="E378" s="4" t="s">
        <v>7</v>
      </c>
      <c r="F378" s="4">
        <v>3</v>
      </c>
      <c r="G378" s="4">
        <v>5480</v>
      </c>
      <c r="H378" s="4">
        <v>12</v>
      </c>
      <c r="I378" s="7">
        <v>46105</v>
      </c>
      <c r="J378" s="7">
        <v>46111</v>
      </c>
      <c r="K378" s="4" t="s">
        <v>80</v>
      </c>
      <c r="L378" s="4">
        <f t="shared" si="5"/>
        <v>16440</v>
      </c>
    </row>
    <row r="379" spans="1:12" x14ac:dyDescent="0.3">
      <c r="A379" s="9">
        <v>1378</v>
      </c>
      <c r="B379" s="9" t="s">
        <v>53</v>
      </c>
      <c r="C379" s="4" t="s">
        <v>26</v>
      </c>
      <c r="D379" s="4" t="s">
        <v>34</v>
      </c>
      <c r="E379" s="4" t="s">
        <v>6</v>
      </c>
      <c r="F379" s="4">
        <v>15</v>
      </c>
      <c r="G379" s="4">
        <v>22693</v>
      </c>
      <c r="H379" s="4">
        <v>12</v>
      </c>
      <c r="I379" s="7">
        <v>46074</v>
      </c>
      <c r="J379" s="7">
        <v>46080</v>
      </c>
      <c r="K379" s="4" t="s">
        <v>81</v>
      </c>
      <c r="L379" s="4">
        <f t="shared" si="5"/>
        <v>340395</v>
      </c>
    </row>
    <row r="380" spans="1:12" x14ac:dyDescent="0.3">
      <c r="A380" s="9">
        <v>1379</v>
      </c>
      <c r="B380" s="9" t="s">
        <v>45</v>
      </c>
      <c r="C380" s="4" t="s">
        <v>23</v>
      </c>
      <c r="D380" s="4" t="s">
        <v>20</v>
      </c>
      <c r="E380" s="4" t="s">
        <v>21</v>
      </c>
      <c r="F380" s="4">
        <v>11</v>
      </c>
      <c r="G380" s="4">
        <v>136</v>
      </c>
      <c r="H380" s="4">
        <v>15</v>
      </c>
      <c r="I380" s="7">
        <v>46106</v>
      </c>
      <c r="J380" s="7">
        <v>46107</v>
      </c>
      <c r="K380" s="4" t="s">
        <v>79</v>
      </c>
      <c r="L380" s="4">
        <f t="shared" si="5"/>
        <v>1496</v>
      </c>
    </row>
    <row r="381" spans="1:12" x14ac:dyDescent="0.3">
      <c r="A381" s="9">
        <v>1380</v>
      </c>
      <c r="B381" s="9" t="s">
        <v>50</v>
      </c>
      <c r="C381" s="4" t="s">
        <v>42</v>
      </c>
      <c r="D381" s="4" t="s">
        <v>20</v>
      </c>
      <c r="E381" s="4" t="s">
        <v>51</v>
      </c>
      <c r="F381" s="4">
        <v>3</v>
      </c>
      <c r="G381" s="4">
        <v>412</v>
      </c>
      <c r="H381" s="4">
        <v>7</v>
      </c>
      <c r="I381" s="7">
        <v>46128</v>
      </c>
      <c r="J381" s="7">
        <v>46138</v>
      </c>
      <c r="K381" s="4" t="s">
        <v>80</v>
      </c>
      <c r="L381" s="4">
        <f t="shared" si="5"/>
        <v>1236</v>
      </c>
    </row>
    <row r="382" spans="1:12" x14ac:dyDescent="0.3">
      <c r="A382" s="9">
        <v>1381</v>
      </c>
      <c r="B382" s="9" t="s">
        <v>53</v>
      </c>
      <c r="C382" s="4" t="s">
        <v>33</v>
      </c>
      <c r="D382" s="4" t="s">
        <v>24</v>
      </c>
      <c r="E382" s="4" t="s">
        <v>8</v>
      </c>
      <c r="F382" s="4">
        <v>5</v>
      </c>
      <c r="G382" s="4">
        <v>7484</v>
      </c>
      <c r="H382" s="4">
        <v>2</v>
      </c>
      <c r="I382" s="7">
        <v>46089</v>
      </c>
      <c r="J382" s="7">
        <v>46093</v>
      </c>
      <c r="K382" s="4" t="s">
        <v>79</v>
      </c>
      <c r="L382" s="4">
        <f t="shared" si="5"/>
        <v>37420</v>
      </c>
    </row>
    <row r="383" spans="1:12" x14ac:dyDescent="0.3">
      <c r="A383" s="9">
        <v>1382</v>
      </c>
      <c r="B383" s="9" t="s">
        <v>47</v>
      </c>
      <c r="C383" s="4" t="s">
        <v>33</v>
      </c>
      <c r="D383" s="4" t="s">
        <v>34</v>
      </c>
      <c r="E383" s="4" t="s">
        <v>9</v>
      </c>
      <c r="F383" s="4">
        <v>11</v>
      </c>
      <c r="G383" s="4">
        <v>36198</v>
      </c>
      <c r="H383" s="4">
        <v>0</v>
      </c>
      <c r="I383" s="7">
        <v>46130</v>
      </c>
      <c r="J383" s="7">
        <v>46134</v>
      </c>
      <c r="K383" s="4" t="s">
        <v>78</v>
      </c>
      <c r="L383" s="4">
        <f t="shared" si="5"/>
        <v>398178</v>
      </c>
    </row>
    <row r="384" spans="1:12" x14ac:dyDescent="0.3">
      <c r="A384" s="9">
        <v>1383</v>
      </c>
      <c r="B384" s="9" t="s">
        <v>32</v>
      </c>
      <c r="C384" s="4" t="s">
        <v>19</v>
      </c>
      <c r="D384" s="4" t="s">
        <v>20</v>
      </c>
      <c r="E384" s="4" t="s">
        <v>51</v>
      </c>
      <c r="F384" s="4">
        <v>14</v>
      </c>
      <c r="G384" s="4">
        <v>334</v>
      </c>
      <c r="H384" s="4">
        <v>10</v>
      </c>
      <c r="I384" s="7">
        <v>46196</v>
      </c>
      <c r="J384" s="7">
        <v>46203</v>
      </c>
      <c r="K384" s="4" t="s">
        <v>78</v>
      </c>
      <c r="L384" s="4">
        <f t="shared" si="5"/>
        <v>4676</v>
      </c>
    </row>
    <row r="385" spans="1:12" x14ac:dyDescent="0.3">
      <c r="A385" s="9">
        <v>1384</v>
      </c>
      <c r="B385" s="9" t="s">
        <v>56</v>
      </c>
      <c r="C385" s="4" t="s">
        <v>19</v>
      </c>
      <c r="D385" s="4" t="s">
        <v>34</v>
      </c>
      <c r="E385" s="4" t="s">
        <v>5</v>
      </c>
      <c r="F385" s="4">
        <v>15</v>
      </c>
      <c r="G385" s="4">
        <v>38116</v>
      </c>
      <c r="H385" s="4">
        <v>0</v>
      </c>
      <c r="I385" s="7">
        <v>46074</v>
      </c>
      <c r="J385" s="7">
        <v>46078</v>
      </c>
      <c r="K385" s="4" t="s">
        <v>49</v>
      </c>
      <c r="L385" s="4">
        <f t="shared" si="5"/>
        <v>571740</v>
      </c>
    </row>
    <row r="386" spans="1:12" x14ac:dyDescent="0.3">
      <c r="A386" s="9">
        <v>1385</v>
      </c>
      <c r="B386" s="9" t="s">
        <v>28</v>
      </c>
      <c r="C386" s="4" t="s">
        <v>33</v>
      </c>
      <c r="D386" s="4" t="s">
        <v>34</v>
      </c>
      <c r="E386" s="4" t="s">
        <v>5</v>
      </c>
      <c r="F386" s="4">
        <v>12</v>
      </c>
      <c r="G386" s="4">
        <v>61360</v>
      </c>
      <c r="H386" s="4">
        <v>10</v>
      </c>
      <c r="I386" s="7">
        <v>46048</v>
      </c>
      <c r="J386" s="7">
        <v>46053</v>
      </c>
      <c r="K386" s="4" t="s">
        <v>81</v>
      </c>
      <c r="L386" s="4">
        <f t="shared" si="5"/>
        <v>736320</v>
      </c>
    </row>
    <row r="387" spans="1:12" x14ac:dyDescent="0.3">
      <c r="A387" s="9">
        <v>1386</v>
      </c>
      <c r="B387" s="9" t="s">
        <v>29</v>
      </c>
      <c r="C387" s="4" t="s">
        <v>31</v>
      </c>
      <c r="D387" s="4" t="s">
        <v>24</v>
      </c>
      <c r="E387" s="4" t="s">
        <v>8</v>
      </c>
      <c r="F387" s="4">
        <v>9</v>
      </c>
      <c r="G387" s="4">
        <v>7509</v>
      </c>
      <c r="H387" s="4">
        <v>5</v>
      </c>
      <c r="I387" s="7">
        <v>46162</v>
      </c>
      <c r="J387" s="7">
        <v>46171</v>
      </c>
      <c r="K387" s="4" t="s">
        <v>81</v>
      </c>
      <c r="L387" s="4">
        <f t="shared" ref="L387:L401" si="6">G387*F387</f>
        <v>67581</v>
      </c>
    </row>
    <row r="388" spans="1:12" x14ac:dyDescent="0.3">
      <c r="A388" s="9">
        <v>1387</v>
      </c>
      <c r="B388" s="9" t="s">
        <v>52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7">
        <v>46102</v>
      </c>
      <c r="J388" s="7">
        <v>46112</v>
      </c>
      <c r="K388" s="4" t="s">
        <v>80</v>
      </c>
      <c r="L388" s="4">
        <f t="shared" si="6"/>
        <v>621665</v>
      </c>
    </row>
    <row r="389" spans="1:12" x14ac:dyDescent="0.3">
      <c r="A389" s="9">
        <v>1388</v>
      </c>
      <c r="B389" s="9" t="s">
        <v>53</v>
      </c>
      <c r="C389" s="4" t="s">
        <v>31</v>
      </c>
      <c r="D389" s="4" t="s">
        <v>24</v>
      </c>
      <c r="E389" s="4" t="s">
        <v>8</v>
      </c>
      <c r="F389" s="4">
        <v>12</v>
      </c>
      <c r="G389" s="4">
        <v>11662</v>
      </c>
      <c r="H389" s="4">
        <v>12</v>
      </c>
      <c r="I389" s="7">
        <v>46094</v>
      </c>
      <c r="J389" s="7">
        <v>46096</v>
      </c>
      <c r="K389" s="4" t="s">
        <v>79</v>
      </c>
      <c r="L389" s="4">
        <f t="shared" si="6"/>
        <v>139944</v>
      </c>
    </row>
    <row r="390" spans="1:12" x14ac:dyDescent="0.3">
      <c r="A390" s="9">
        <v>1389</v>
      </c>
      <c r="B390" s="9" t="s">
        <v>32</v>
      </c>
      <c r="C390" s="4" t="s">
        <v>19</v>
      </c>
      <c r="D390" s="4" t="s">
        <v>34</v>
      </c>
      <c r="E390" s="4" t="s">
        <v>40</v>
      </c>
      <c r="F390" s="4">
        <v>3</v>
      </c>
      <c r="G390" s="4">
        <v>56380</v>
      </c>
      <c r="H390" s="4">
        <v>5</v>
      </c>
      <c r="I390" s="7">
        <v>46044</v>
      </c>
      <c r="J390" s="7">
        <v>46048</v>
      </c>
      <c r="K390" s="4" t="s">
        <v>81</v>
      </c>
      <c r="L390" s="4">
        <f t="shared" si="6"/>
        <v>169140</v>
      </c>
    </row>
    <row r="391" spans="1:12" x14ac:dyDescent="0.3">
      <c r="A391" s="9">
        <v>1390</v>
      </c>
      <c r="B391" s="9" t="s">
        <v>55</v>
      </c>
      <c r="C391" s="4" t="s">
        <v>42</v>
      </c>
      <c r="D391" s="4" t="s">
        <v>24</v>
      </c>
      <c r="E391" s="4" t="s">
        <v>7</v>
      </c>
      <c r="F391" s="4">
        <v>9</v>
      </c>
      <c r="G391" s="4">
        <v>7670</v>
      </c>
      <c r="H391" s="4">
        <v>0</v>
      </c>
      <c r="I391" s="7">
        <v>46076</v>
      </c>
      <c r="J391" s="7">
        <v>46081</v>
      </c>
      <c r="K391" s="4" t="s">
        <v>81</v>
      </c>
      <c r="L391" s="4">
        <f t="shared" si="6"/>
        <v>69030</v>
      </c>
    </row>
    <row r="392" spans="1:12" x14ac:dyDescent="0.3">
      <c r="A392" s="9">
        <v>1391</v>
      </c>
      <c r="B392" s="9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7">
        <v>46100</v>
      </c>
      <c r="J392" s="7">
        <v>46103</v>
      </c>
      <c r="K392" s="4" t="s">
        <v>80</v>
      </c>
      <c r="L392" s="4">
        <f t="shared" si="6"/>
        <v>326350</v>
      </c>
    </row>
    <row r="393" spans="1:12" x14ac:dyDescent="0.3">
      <c r="A393" s="9">
        <v>1392</v>
      </c>
      <c r="B393" s="9" t="s">
        <v>49</v>
      </c>
      <c r="C393" s="4" t="s">
        <v>42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7">
        <v>46124</v>
      </c>
      <c r="J393" s="7">
        <v>46125</v>
      </c>
      <c r="K393" s="4" t="s">
        <v>49</v>
      </c>
      <c r="L393" s="4">
        <f t="shared" si="6"/>
        <v>310739</v>
      </c>
    </row>
    <row r="394" spans="1:12" x14ac:dyDescent="0.3">
      <c r="A394" s="9">
        <v>1393</v>
      </c>
      <c r="B394" s="9" t="s">
        <v>30</v>
      </c>
      <c r="C394" s="4" t="s">
        <v>27</v>
      </c>
      <c r="D394" s="4" t="s">
        <v>34</v>
      </c>
      <c r="E394" s="4" t="s">
        <v>6</v>
      </c>
      <c r="F394" s="4">
        <v>17</v>
      </c>
      <c r="G394" s="4">
        <v>30351</v>
      </c>
      <c r="H394" s="4">
        <v>15</v>
      </c>
      <c r="I394" s="7">
        <v>46047</v>
      </c>
      <c r="J394" s="7">
        <v>46051</v>
      </c>
      <c r="K394" s="4" t="s">
        <v>81</v>
      </c>
      <c r="L394" s="4">
        <f t="shared" si="6"/>
        <v>515967</v>
      </c>
    </row>
    <row r="395" spans="1:12" x14ac:dyDescent="0.3">
      <c r="A395" s="9">
        <v>1394</v>
      </c>
      <c r="B395" s="9" t="s">
        <v>52</v>
      </c>
      <c r="C395" s="4" t="s">
        <v>19</v>
      </c>
      <c r="D395" s="4" t="s">
        <v>20</v>
      </c>
      <c r="E395" s="4" t="s">
        <v>21</v>
      </c>
      <c r="F395" s="4">
        <v>10</v>
      </c>
      <c r="G395" s="4">
        <v>138</v>
      </c>
      <c r="H395" s="4">
        <v>2</v>
      </c>
      <c r="I395" s="7">
        <v>46056</v>
      </c>
      <c r="J395" s="7">
        <v>46057</v>
      </c>
      <c r="K395" s="4" t="s">
        <v>78</v>
      </c>
      <c r="L395" s="4">
        <f t="shared" si="6"/>
        <v>1380</v>
      </c>
    </row>
    <row r="396" spans="1:12" x14ac:dyDescent="0.3">
      <c r="A396" s="9">
        <v>1395</v>
      </c>
      <c r="B396" s="9" t="s">
        <v>52</v>
      </c>
      <c r="C396" s="4" t="s">
        <v>33</v>
      </c>
      <c r="D396" s="4" t="s">
        <v>24</v>
      </c>
      <c r="E396" s="4" t="s">
        <v>43</v>
      </c>
      <c r="F396" s="4">
        <v>18</v>
      </c>
      <c r="G396" s="4">
        <v>10402</v>
      </c>
      <c r="H396" s="4">
        <v>15</v>
      </c>
      <c r="I396" s="7">
        <v>46062</v>
      </c>
      <c r="J396" s="7">
        <v>46067</v>
      </c>
      <c r="K396" s="4" t="s">
        <v>49</v>
      </c>
      <c r="L396" s="4">
        <f t="shared" si="6"/>
        <v>187236</v>
      </c>
    </row>
    <row r="397" spans="1:12" x14ac:dyDescent="0.3">
      <c r="A397" s="9">
        <v>1396</v>
      </c>
      <c r="B397" s="9" t="s">
        <v>25</v>
      </c>
      <c r="C397" s="4" t="s">
        <v>38</v>
      </c>
      <c r="D397" s="4" t="s">
        <v>20</v>
      </c>
      <c r="E397" s="4" t="s">
        <v>51</v>
      </c>
      <c r="F397" s="4">
        <v>8</v>
      </c>
      <c r="G397" s="4">
        <v>54</v>
      </c>
      <c r="H397" s="4">
        <v>15</v>
      </c>
      <c r="I397" s="7">
        <v>46031</v>
      </c>
      <c r="J397" s="7">
        <v>46035</v>
      </c>
      <c r="K397" s="4" t="s">
        <v>78</v>
      </c>
      <c r="L397" s="4">
        <f t="shared" si="6"/>
        <v>432</v>
      </c>
    </row>
    <row r="398" spans="1:12" x14ac:dyDescent="0.3">
      <c r="A398" s="9">
        <v>1397</v>
      </c>
      <c r="B398" s="9" t="s">
        <v>25</v>
      </c>
      <c r="C398" s="4" t="s">
        <v>33</v>
      </c>
      <c r="D398" s="4" t="s">
        <v>24</v>
      </c>
      <c r="E398" s="4" t="s">
        <v>10</v>
      </c>
      <c r="F398" s="4">
        <v>1</v>
      </c>
      <c r="G398" s="4">
        <v>8948</v>
      </c>
      <c r="H398" s="4">
        <v>5</v>
      </c>
      <c r="I398" s="7">
        <v>46194</v>
      </c>
      <c r="J398" s="7">
        <v>46201</v>
      </c>
      <c r="K398" s="4" t="s">
        <v>81</v>
      </c>
      <c r="L398" s="4">
        <f t="shared" si="6"/>
        <v>8948</v>
      </c>
    </row>
    <row r="399" spans="1:12" x14ac:dyDescent="0.3">
      <c r="A399" s="9">
        <v>1398</v>
      </c>
      <c r="B399" s="9" t="s">
        <v>55</v>
      </c>
      <c r="C399" s="4" t="s">
        <v>42</v>
      </c>
      <c r="D399" s="4" t="s">
        <v>34</v>
      </c>
      <c r="E399" s="4" t="s">
        <v>5</v>
      </c>
      <c r="F399" s="4">
        <v>12</v>
      </c>
      <c r="G399" s="4">
        <v>10668</v>
      </c>
      <c r="H399" s="4">
        <v>0</v>
      </c>
      <c r="I399" s="7">
        <v>46170</v>
      </c>
      <c r="J399" s="7">
        <v>46176</v>
      </c>
      <c r="K399" s="4" t="s">
        <v>78</v>
      </c>
      <c r="L399" s="4">
        <f t="shared" si="6"/>
        <v>128016</v>
      </c>
    </row>
    <row r="400" spans="1:12" x14ac:dyDescent="0.3">
      <c r="A400" s="9">
        <v>1399</v>
      </c>
      <c r="B400" s="9" t="s">
        <v>46</v>
      </c>
      <c r="C400" s="4" t="s">
        <v>31</v>
      </c>
      <c r="D400" s="4" t="s">
        <v>20</v>
      </c>
      <c r="E400" s="4" t="s">
        <v>21</v>
      </c>
      <c r="F400" s="4">
        <v>15</v>
      </c>
      <c r="G400" s="4">
        <v>87</v>
      </c>
      <c r="H400" s="4">
        <v>15</v>
      </c>
      <c r="I400" s="7">
        <v>46089</v>
      </c>
      <c r="J400" s="7">
        <v>46093</v>
      </c>
      <c r="K400" s="4" t="s">
        <v>79</v>
      </c>
      <c r="L400" s="4">
        <f t="shared" si="6"/>
        <v>1305</v>
      </c>
    </row>
    <row r="401" spans="1:12" x14ac:dyDescent="0.3">
      <c r="A401" s="9">
        <v>1400</v>
      </c>
      <c r="B401" s="9" t="s">
        <v>39</v>
      </c>
      <c r="C401" s="4" t="s">
        <v>26</v>
      </c>
      <c r="D401" s="4" t="s">
        <v>34</v>
      </c>
      <c r="E401" s="4" t="s">
        <v>35</v>
      </c>
      <c r="F401" s="4">
        <v>13</v>
      </c>
      <c r="G401" s="4">
        <v>52411</v>
      </c>
      <c r="H401" s="4">
        <v>15</v>
      </c>
      <c r="I401" s="7">
        <v>46090</v>
      </c>
      <c r="J401" s="7">
        <v>46092</v>
      </c>
      <c r="K401" s="4" t="s">
        <v>79</v>
      </c>
      <c r="L401" s="4">
        <f t="shared" si="6"/>
        <v>681343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4976-92DE-47A5-AD68-9E356012E2A1}">
  <dimension ref="A1:L17"/>
  <sheetViews>
    <sheetView workbookViewId="0">
      <pane ySplit="1" topLeftCell="A2" activePane="bottomLeft" state="frozen"/>
      <selection pane="bottomLeft" activeCell="F16" sqref="F16"/>
    </sheetView>
  </sheetViews>
  <sheetFormatPr defaultRowHeight="14.4" x14ac:dyDescent="0.3"/>
  <cols>
    <col min="1" max="1" width="8.5546875" bestFit="1" customWidth="1"/>
    <col min="2" max="2" width="10.5546875" customWidth="1"/>
    <col min="3" max="3" width="10.6640625" bestFit="1" customWidth="1"/>
    <col min="4" max="4" width="9.88671875" bestFit="1" customWidth="1"/>
    <col min="5" max="5" width="8.6640625" bestFit="1" customWidth="1"/>
    <col min="6" max="6" width="8.33203125" bestFit="1" customWidth="1"/>
    <col min="7" max="7" width="9.6640625" bestFit="1" customWidth="1"/>
    <col min="8" max="8" width="10.77734375" bestFit="1" customWidth="1"/>
    <col min="9" max="9" width="10.6640625" bestFit="1" customWidth="1"/>
    <col min="10" max="10" width="12.6640625" bestFit="1" customWidth="1"/>
    <col min="11" max="11" width="11" bestFit="1" customWidth="1"/>
    <col min="12" max="12" width="12.21875" bestFit="1" customWidth="1"/>
  </cols>
  <sheetData>
    <row r="1" spans="1:12" x14ac:dyDescent="0.3">
      <c r="A1" s="10" t="s">
        <v>0</v>
      </c>
      <c r="B1" s="10" t="s">
        <v>13</v>
      </c>
      <c r="C1" s="10" t="s">
        <v>14</v>
      </c>
      <c r="D1" s="10" t="s">
        <v>15</v>
      </c>
      <c r="E1" s="10" t="s">
        <v>1</v>
      </c>
      <c r="F1" s="10" t="s">
        <v>4</v>
      </c>
      <c r="G1" s="10" t="s">
        <v>16</v>
      </c>
      <c r="H1" s="10" t="s">
        <v>17</v>
      </c>
      <c r="I1" s="10" t="s">
        <v>2</v>
      </c>
      <c r="J1" s="10" t="s">
        <v>3</v>
      </c>
      <c r="K1" s="13" t="s">
        <v>77</v>
      </c>
      <c r="L1" s="1" t="s">
        <v>65</v>
      </c>
    </row>
    <row r="2" spans="1:12" x14ac:dyDescent="0.3">
      <c r="A2" s="9">
        <v>1245</v>
      </c>
      <c r="B2" s="9" t="s">
        <v>53</v>
      </c>
      <c r="C2" s="4" t="s">
        <v>42</v>
      </c>
      <c r="D2" s="4" t="s">
        <v>34</v>
      </c>
      <c r="E2" s="4" t="s">
        <v>40</v>
      </c>
      <c r="F2" s="4">
        <v>19</v>
      </c>
      <c r="G2" s="4">
        <v>69029</v>
      </c>
      <c r="H2" s="4">
        <v>7</v>
      </c>
      <c r="I2" s="7">
        <v>46176</v>
      </c>
      <c r="J2" s="7">
        <v>46179</v>
      </c>
      <c r="K2" s="4" t="s">
        <v>49</v>
      </c>
      <c r="L2" s="16">
        <f>F2*G2*(1-H2/100)</f>
        <v>1219742.43</v>
      </c>
    </row>
    <row r="3" spans="1:12" x14ac:dyDescent="0.3">
      <c r="A3" s="9">
        <v>1090</v>
      </c>
      <c r="B3" s="9" t="s">
        <v>47</v>
      </c>
      <c r="C3" s="4" t="s">
        <v>31</v>
      </c>
      <c r="D3" s="4" t="s">
        <v>34</v>
      </c>
      <c r="E3" s="4" t="s">
        <v>6</v>
      </c>
      <c r="F3" s="4">
        <v>19</v>
      </c>
      <c r="G3" s="4">
        <v>66139</v>
      </c>
      <c r="H3" s="4">
        <v>5</v>
      </c>
      <c r="I3" s="7">
        <v>46088</v>
      </c>
      <c r="J3" s="7">
        <v>46095</v>
      </c>
      <c r="K3" s="4" t="s">
        <v>80</v>
      </c>
      <c r="L3" s="16">
        <f>F3*G3*(1-H3/100)</f>
        <v>1193808.95</v>
      </c>
    </row>
    <row r="4" spans="1:12" x14ac:dyDescent="0.3">
      <c r="A4" s="9">
        <v>1072</v>
      </c>
      <c r="B4" s="9" t="s">
        <v>22</v>
      </c>
      <c r="C4" s="4" t="s">
        <v>27</v>
      </c>
      <c r="D4" s="4" t="s">
        <v>34</v>
      </c>
      <c r="E4" s="4" t="s">
        <v>12</v>
      </c>
      <c r="F4" s="4">
        <v>20</v>
      </c>
      <c r="G4" s="4">
        <v>58779</v>
      </c>
      <c r="H4" s="4">
        <v>0</v>
      </c>
      <c r="I4" s="7">
        <v>46035</v>
      </c>
      <c r="J4" s="7">
        <v>46036</v>
      </c>
      <c r="K4" s="4" t="s">
        <v>80</v>
      </c>
      <c r="L4" s="16">
        <f>F4*G4*(1-H4/100)</f>
        <v>1175580</v>
      </c>
    </row>
    <row r="5" spans="1:12" x14ac:dyDescent="0.3">
      <c r="A5" s="9">
        <v>1349</v>
      </c>
      <c r="B5" s="9" t="s">
        <v>39</v>
      </c>
      <c r="C5" s="4" t="s">
        <v>33</v>
      </c>
      <c r="D5" s="4" t="s">
        <v>34</v>
      </c>
      <c r="E5" s="4" t="s">
        <v>35</v>
      </c>
      <c r="F5" s="4">
        <v>20</v>
      </c>
      <c r="G5" s="4">
        <v>62721</v>
      </c>
      <c r="H5" s="4">
        <v>7</v>
      </c>
      <c r="I5" s="7">
        <v>46079</v>
      </c>
      <c r="J5" s="7">
        <v>46083</v>
      </c>
      <c r="K5" s="4" t="s">
        <v>79</v>
      </c>
      <c r="L5" s="16">
        <f>F5*G5*(1-H5/100)</f>
        <v>1166610.5999999999</v>
      </c>
    </row>
    <row r="6" spans="1:12" x14ac:dyDescent="0.3">
      <c r="A6" s="9">
        <v>1375</v>
      </c>
      <c r="B6" s="9" t="s">
        <v>44</v>
      </c>
      <c r="C6" s="4" t="s">
        <v>42</v>
      </c>
      <c r="D6" s="4" t="s">
        <v>34</v>
      </c>
      <c r="E6" s="4" t="s">
        <v>6</v>
      </c>
      <c r="F6" s="4">
        <v>20</v>
      </c>
      <c r="G6" s="4">
        <v>56766</v>
      </c>
      <c r="H6" s="4">
        <v>0</v>
      </c>
      <c r="I6" s="7">
        <v>46052</v>
      </c>
      <c r="J6" s="7">
        <v>46061</v>
      </c>
      <c r="K6" s="4" t="s">
        <v>80</v>
      </c>
      <c r="L6" s="16">
        <f>F6*G6*(1-H6/100)</f>
        <v>1135320</v>
      </c>
    </row>
    <row r="7" spans="1:12" x14ac:dyDescent="0.3">
      <c r="A7" s="9">
        <v>1187</v>
      </c>
      <c r="B7" s="9" t="s">
        <v>52</v>
      </c>
      <c r="C7" s="4" t="s">
        <v>26</v>
      </c>
      <c r="D7" s="4" t="s">
        <v>34</v>
      </c>
      <c r="E7" s="4" t="s">
        <v>6</v>
      </c>
      <c r="F7" s="4">
        <v>18</v>
      </c>
      <c r="G7" s="4">
        <v>68527</v>
      </c>
      <c r="H7" s="4">
        <v>12</v>
      </c>
      <c r="I7" s="7">
        <v>46178</v>
      </c>
      <c r="J7" s="7">
        <v>46184</v>
      </c>
      <c r="K7" s="4" t="s">
        <v>81</v>
      </c>
      <c r="L7" s="16">
        <f>F7*G7*(1-H7/100)</f>
        <v>1085467.68</v>
      </c>
    </row>
    <row r="8" spans="1:12" x14ac:dyDescent="0.3">
      <c r="A8" s="9">
        <v>1279</v>
      </c>
      <c r="B8" s="9" t="s">
        <v>53</v>
      </c>
      <c r="C8" s="4" t="s">
        <v>33</v>
      </c>
      <c r="D8" s="4" t="s">
        <v>34</v>
      </c>
      <c r="E8" s="4" t="s">
        <v>6</v>
      </c>
      <c r="F8" s="4">
        <v>20</v>
      </c>
      <c r="G8" s="4">
        <v>49042</v>
      </c>
      <c r="H8" s="4">
        <v>2</v>
      </c>
      <c r="I8" s="7">
        <v>46124</v>
      </c>
      <c r="J8" s="7">
        <v>46126</v>
      </c>
      <c r="K8" s="4" t="s">
        <v>78</v>
      </c>
      <c r="L8" s="16">
        <f>F8*G8*(1-H8/100)</f>
        <v>961223.2</v>
      </c>
    </row>
    <row r="9" spans="1:12" x14ac:dyDescent="0.3">
      <c r="A9" s="9">
        <v>1135</v>
      </c>
      <c r="B9" s="9" t="s">
        <v>47</v>
      </c>
      <c r="C9" s="4" t="s">
        <v>42</v>
      </c>
      <c r="D9" s="4" t="s">
        <v>34</v>
      </c>
      <c r="E9" s="4" t="s">
        <v>5</v>
      </c>
      <c r="F9" s="4">
        <v>14</v>
      </c>
      <c r="G9" s="4">
        <v>68534</v>
      </c>
      <c r="H9" s="4">
        <v>0</v>
      </c>
      <c r="I9" s="7">
        <v>46041</v>
      </c>
      <c r="J9" s="7">
        <v>46042</v>
      </c>
      <c r="K9" s="4" t="s">
        <v>78</v>
      </c>
      <c r="L9" s="16">
        <f>F9*G9*(1-H9/100)</f>
        <v>959476</v>
      </c>
    </row>
    <row r="10" spans="1:12" x14ac:dyDescent="0.3">
      <c r="A10" s="9">
        <v>1061</v>
      </c>
      <c r="B10" s="9" t="s">
        <v>54</v>
      </c>
      <c r="C10" s="4" t="s">
        <v>19</v>
      </c>
      <c r="D10" s="4" t="s">
        <v>34</v>
      </c>
      <c r="E10" s="4" t="s">
        <v>40</v>
      </c>
      <c r="F10" s="4">
        <v>16</v>
      </c>
      <c r="G10" s="4">
        <v>59084</v>
      </c>
      <c r="H10" s="4">
        <v>0</v>
      </c>
      <c r="I10" s="7">
        <v>46060</v>
      </c>
      <c r="J10" s="7">
        <v>46069</v>
      </c>
      <c r="K10" s="4" t="s">
        <v>79</v>
      </c>
      <c r="L10" s="16">
        <f>F10*G10*(1-H10/100)</f>
        <v>945344</v>
      </c>
    </row>
    <row r="11" spans="1:12" x14ac:dyDescent="0.3">
      <c r="A11" s="9">
        <v>1260</v>
      </c>
      <c r="B11" s="9" t="s">
        <v>52</v>
      </c>
      <c r="C11" s="4" t="s">
        <v>38</v>
      </c>
      <c r="D11" s="4" t="s">
        <v>34</v>
      </c>
      <c r="E11" s="4" t="s">
        <v>40</v>
      </c>
      <c r="F11" s="4">
        <v>19</v>
      </c>
      <c r="G11" s="4">
        <v>54981</v>
      </c>
      <c r="H11" s="4">
        <v>10</v>
      </c>
      <c r="I11" s="7">
        <v>46040</v>
      </c>
      <c r="J11" s="7">
        <v>46045</v>
      </c>
      <c r="K11" s="4" t="s">
        <v>49</v>
      </c>
      <c r="L11" s="16">
        <f>F11*G11*(1-H11/100)</f>
        <v>940175.1</v>
      </c>
    </row>
    <row r="13" spans="1:12" x14ac:dyDescent="0.3">
      <c r="A13" s="18" t="s">
        <v>83</v>
      </c>
      <c r="B13" s="18"/>
      <c r="C13" s="4">
        <v>1219742</v>
      </c>
    </row>
    <row r="14" spans="1:12" x14ac:dyDescent="0.3">
      <c r="A14" s="18" t="s">
        <v>84</v>
      </c>
      <c r="B14" s="18"/>
      <c r="C14" s="17" t="s">
        <v>53</v>
      </c>
    </row>
    <row r="16" spans="1:12" ht="31.2" customHeight="1" x14ac:dyDescent="0.3">
      <c r="A16" s="23" t="s">
        <v>85</v>
      </c>
      <c r="B16" s="23"/>
      <c r="C16" s="22" t="s">
        <v>27</v>
      </c>
    </row>
    <row r="17" spans="1:3" x14ac:dyDescent="0.3">
      <c r="A17" s="24" t="s">
        <v>86</v>
      </c>
      <c r="B17" s="24"/>
      <c r="C17" s="4">
        <v>591</v>
      </c>
    </row>
  </sheetData>
  <mergeCells count="4">
    <mergeCell ref="A13:B13"/>
    <mergeCell ref="A14:B14"/>
    <mergeCell ref="A16:B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Dataset &amp; 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BISHT</dc:creator>
  <cp:lastModifiedBy>PRIYANSHU BISHT</cp:lastModifiedBy>
  <dcterms:created xsi:type="dcterms:W3CDTF">2026-09-25T16:52:42Z</dcterms:created>
  <dcterms:modified xsi:type="dcterms:W3CDTF">2026-10-01T21:29:34Z</dcterms:modified>
</cp:coreProperties>
</file>